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66" documentId="8_{3872242A-A274-43F2-AB88-D0F4812FB0B8}" xr6:coauthVersionLast="47" xr6:coauthVersionMax="47" xr10:uidLastSave="{E02A6392-F098-4DAE-91EE-477CDF616484}"/>
  <bookViews>
    <workbookView xWindow="-110" yWindow="-110" windowWidth="19420" windowHeight="11500" tabRatio="922" firstSheet="6" activeTab="12" xr2:uid="{00000000-000D-0000-FFFF-FFFF00000000}"/>
  </bookViews>
  <sheets>
    <sheet name="Figuur_2" sheetId="40" r:id="rId1"/>
    <sheet name="Figuur_4a" sheetId="48" r:id="rId2"/>
    <sheet name="Figuur_4b" sheetId="47" r:id="rId3"/>
    <sheet name="Figuur_4c" sheetId="46" r:id="rId4"/>
    <sheet name="Figuur_4d" sheetId="45" r:id="rId5"/>
    <sheet name="Figuur_4e" sheetId="44" r:id="rId6"/>
    <sheet name="Figuur_4f" sheetId="43" r:id="rId7"/>
    <sheet name="Figuur_5" sheetId="50" r:id="rId8"/>
    <sheet name="Figuur_7" sheetId="52" r:id="rId9"/>
    <sheet name="Figuur_Box" sheetId="49" r:id="rId10"/>
    <sheet name="Tabel_1" sheetId="53" r:id="rId11"/>
    <sheet name="Tabel_2" sheetId="55" r:id="rId12"/>
    <sheet name="T_B.1.1" sheetId="58" r:id="rId13"/>
    <sheet name="F_B.2.1" sheetId="36" r:id="rId14"/>
    <sheet name="F_B.2.2" sheetId="38" r:id="rId15"/>
    <sheet name="T_B.3.1" sheetId="51" r:id="rId16"/>
    <sheet name="T_B.3.2" sheetId="54" r:id="rId17"/>
    <sheet name="F_C.1.1" sheetId="59" r:id="rId18"/>
    <sheet name="F_C.1.2" sheetId="61" r:id="rId19"/>
    <sheet name="T_C.1.2" sheetId="62" r:id="rId20"/>
    <sheet name="T_C.1.3" sheetId="63" r:id="rId21"/>
    <sheet name="T_C.2.allen" sheetId="65" r:id="rId22"/>
    <sheet name="T_C.3.1" sheetId="60" r:id="rId23"/>
    <sheet name="T_C.3.2" sheetId="64"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95" i="65" l="1"/>
  <c r="U195" i="65"/>
  <c r="T195" i="65"/>
  <c r="S195" i="65"/>
  <c r="V182" i="65"/>
  <c r="U182" i="65"/>
  <c r="T182" i="65"/>
  <c r="S182" i="65"/>
  <c r="V181" i="65"/>
  <c r="U181" i="65"/>
  <c r="T181" i="65"/>
  <c r="S181" i="65"/>
  <c r="V180" i="65"/>
  <c r="U180" i="65"/>
  <c r="T180" i="65"/>
  <c r="S180" i="65"/>
  <c r="V179" i="65"/>
  <c r="U179" i="65"/>
  <c r="T179" i="65"/>
  <c r="S179" i="65"/>
  <c r="V178" i="65"/>
  <c r="U178" i="65"/>
  <c r="T178" i="65"/>
  <c r="S178" i="65"/>
  <c r="V177" i="65"/>
  <c r="U177" i="65"/>
  <c r="T177" i="65"/>
  <c r="S177" i="65"/>
  <c r="V176" i="65"/>
  <c r="U176" i="65"/>
  <c r="T176" i="65"/>
  <c r="S176" i="65"/>
  <c r="V175" i="65"/>
  <c r="U175" i="65"/>
  <c r="T175" i="65"/>
  <c r="S175" i="65"/>
  <c r="V174" i="65"/>
  <c r="U174" i="65"/>
  <c r="T174" i="65"/>
  <c r="S174" i="65"/>
  <c r="W167" i="65"/>
  <c r="V167" i="65"/>
  <c r="U167" i="65"/>
  <c r="T167" i="65"/>
  <c r="S167" i="65"/>
  <c r="W154" i="65"/>
  <c r="V154" i="65"/>
  <c r="U154" i="65"/>
  <c r="T154" i="65"/>
  <c r="S154" i="65"/>
  <c r="W153" i="65"/>
  <c r="V153" i="65"/>
  <c r="U153" i="65"/>
  <c r="T153" i="65"/>
  <c r="S153" i="65"/>
  <c r="W152" i="65"/>
  <c r="V152" i="65"/>
  <c r="U152" i="65"/>
  <c r="T152" i="65"/>
  <c r="S152" i="65"/>
  <c r="W151" i="65"/>
  <c r="V151" i="65"/>
  <c r="U151" i="65"/>
  <c r="T151" i="65"/>
  <c r="S151" i="65"/>
  <c r="W150" i="65"/>
  <c r="V150" i="65"/>
  <c r="U150" i="65"/>
  <c r="T150" i="65"/>
  <c r="S150" i="65"/>
  <c r="W149" i="65"/>
  <c r="V149" i="65"/>
  <c r="U149" i="65"/>
  <c r="T149" i="65"/>
  <c r="S149" i="65"/>
  <c r="W148" i="65"/>
  <c r="V148" i="65"/>
  <c r="U148" i="65"/>
  <c r="T148" i="65"/>
  <c r="S148" i="65"/>
  <c r="W147" i="65"/>
  <c r="V147" i="65"/>
  <c r="U147" i="65"/>
  <c r="T147" i="65"/>
  <c r="S147" i="65"/>
  <c r="W146" i="65"/>
  <c r="V146" i="65"/>
  <c r="U146" i="65"/>
  <c r="T146" i="65"/>
  <c r="S146" i="65"/>
  <c r="V139" i="65"/>
  <c r="U139" i="65"/>
  <c r="T139" i="65"/>
  <c r="S139" i="65"/>
  <c r="U126" i="65"/>
  <c r="T126" i="65"/>
  <c r="S126" i="65"/>
  <c r="U125" i="65"/>
  <c r="T125" i="65"/>
  <c r="S125" i="65"/>
  <c r="U124" i="65"/>
  <c r="T124" i="65"/>
  <c r="S124" i="65"/>
  <c r="U123" i="65"/>
  <c r="T123" i="65"/>
  <c r="S123" i="65"/>
  <c r="U122" i="65"/>
  <c r="T122" i="65"/>
  <c r="S122" i="65"/>
  <c r="U121" i="65"/>
  <c r="T121" i="65"/>
  <c r="S121" i="65"/>
  <c r="U120" i="65"/>
  <c r="T120" i="65"/>
  <c r="S120" i="65"/>
  <c r="U119" i="65"/>
  <c r="T119" i="65"/>
  <c r="S119" i="65"/>
  <c r="U118" i="65"/>
  <c r="T118" i="65"/>
  <c r="S118" i="65"/>
  <c r="W111" i="65"/>
  <c r="H111" i="65"/>
  <c r="V111" i="65" s="1"/>
  <c r="W98" i="65"/>
  <c r="H98" i="65"/>
  <c r="W97" i="65"/>
  <c r="H97" i="65"/>
  <c r="V97" i="65" s="1"/>
  <c r="W96" i="65"/>
  <c r="H96" i="65"/>
  <c r="V96" i="65" s="1"/>
  <c r="W95" i="65"/>
  <c r="H95" i="65"/>
  <c r="V95" i="65" s="1"/>
  <c r="W94" i="65"/>
  <c r="H94" i="65"/>
  <c r="T94" i="65" s="1"/>
  <c r="W93" i="65"/>
  <c r="H93" i="65"/>
  <c r="W92" i="65"/>
  <c r="H92" i="65"/>
  <c r="V92" i="65" s="1"/>
  <c r="W91" i="65"/>
  <c r="V91" i="65"/>
  <c r="U91" i="65"/>
  <c r="I91" i="65"/>
  <c r="H91" i="65"/>
  <c r="T91" i="65" s="1"/>
  <c r="W90" i="65"/>
  <c r="H90" i="65"/>
  <c r="V90" i="65" s="1"/>
  <c r="X83" i="65"/>
  <c r="W83" i="65"/>
  <c r="V83" i="65"/>
  <c r="U83" i="65"/>
  <c r="T83" i="65"/>
  <c r="S83" i="65"/>
  <c r="X70" i="65"/>
  <c r="W70" i="65"/>
  <c r="V70" i="65"/>
  <c r="U70" i="65"/>
  <c r="T70" i="65"/>
  <c r="S70" i="65"/>
  <c r="X69" i="65"/>
  <c r="W69" i="65"/>
  <c r="V69" i="65"/>
  <c r="U69" i="65"/>
  <c r="T69" i="65"/>
  <c r="S69" i="65"/>
  <c r="X68" i="65"/>
  <c r="W68" i="65"/>
  <c r="V68" i="65"/>
  <c r="U68" i="65"/>
  <c r="T68" i="65"/>
  <c r="S68" i="65"/>
  <c r="X67" i="65"/>
  <c r="W67" i="65"/>
  <c r="V67" i="65"/>
  <c r="U67" i="65"/>
  <c r="T67" i="65"/>
  <c r="S67" i="65"/>
  <c r="X66" i="65"/>
  <c r="W66" i="65"/>
  <c r="V66" i="65"/>
  <c r="U66" i="65"/>
  <c r="T66" i="65"/>
  <c r="S66" i="65"/>
  <c r="X65" i="65"/>
  <c r="W65" i="65"/>
  <c r="V65" i="65"/>
  <c r="U65" i="65"/>
  <c r="T65" i="65"/>
  <c r="S65" i="65"/>
  <c r="X64" i="65"/>
  <c r="W64" i="65"/>
  <c r="V64" i="65"/>
  <c r="U64" i="65"/>
  <c r="T64" i="65"/>
  <c r="S64" i="65"/>
  <c r="X63" i="65"/>
  <c r="W63" i="65"/>
  <c r="V63" i="65"/>
  <c r="U63" i="65"/>
  <c r="T63" i="65"/>
  <c r="S63" i="65"/>
  <c r="I63" i="65"/>
  <c r="X62" i="65"/>
  <c r="W62" i="65"/>
  <c r="V62" i="65"/>
  <c r="U62" i="65"/>
  <c r="T62" i="65"/>
  <c r="S62" i="65"/>
  <c r="T55" i="65"/>
  <c r="S55" i="65"/>
  <c r="T42" i="65"/>
  <c r="S42" i="65"/>
  <c r="T41" i="65"/>
  <c r="S41" i="65"/>
  <c r="T40" i="65"/>
  <c r="S40" i="65"/>
  <c r="T39" i="65"/>
  <c r="S39" i="65"/>
  <c r="T38" i="65"/>
  <c r="S38" i="65"/>
  <c r="T37" i="65"/>
  <c r="S37" i="65"/>
  <c r="T36" i="65"/>
  <c r="S36" i="65"/>
  <c r="T35" i="65"/>
  <c r="S35" i="65"/>
  <c r="T34" i="65"/>
  <c r="S34" i="65"/>
  <c r="O13" i="65"/>
  <c r="G126" i="65" s="1"/>
  <c r="N13" i="65"/>
  <c r="M13" i="65"/>
  <c r="L13" i="65"/>
  <c r="K13" i="65"/>
  <c r="J13" i="65"/>
  <c r="I13" i="65"/>
  <c r="H13" i="65"/>
  <c r="G13" i="65"/>
  <c r="F13" i="65"/>
  <c r="E13" i="65"/>
  <c r="D13" i="65"/>
  <c r="C13" i="65"/>
  <c r="B13" i="65"/>
  <c r="S13" i="65" s="1"/>
  <c r="O12" i="65"/>
  <c r="G181" i="65" s="1"/>
  <c r="N12" i="65"/>
  <c r="M12" i="65"/>
  <c r="L12" i="65"/>
  <c r="K12" i="65"/>
  <c r="J12" i="65"/>
  <c r="I12" i="65"/>
  <c r="H12" i="65"/>
  <c r="G12" i="65"/>
  <c r="F12" i="65"/>
  <c r="E12" i="65"/>
  <c r="D12" i="65"/>
  <c r="C12" i="65"/>
  <c r="B12" i="65"/>
  <c r="S12" i="65" s="1"/>
  <c r="O11" i="65"/>
  <c r="I152" i="65" s="1"/>
  <c r="N11" i="65"/>
  <c r="M11" i="65"/>
  <c r="L11" i="65"/>
  <c r="K11" i="65"/>
  <c r="J11" i="65"/>
  <c r="I11" i="65"/>
  <c r="H11" i="65"/>
  <c r="G11" i="65"/>
  <c r="F11" i="65"/>
  <c r="E11" i="65"/>
  <c r="D11" i="65"/>
  <c r="C11" i="65"/>
  <c r="B11" i="65"/>
  <c r="S11" i="65" s="1"/>
  <c r="O10" i="65"/>
  <c r="I67" i="65" s="1"/>
  <c r="N10" i="65"/>
  <c r="M10" i="65"/>
  <c r="L10" i="65"/>
  <c r="K10" i="65"/>
  <c r="J10" i="65"/>
  <c r="I10" i="65"/>
  <c r="H10" i="65"/>
  <c r="G10" i="65"/>
  <c r="F10" i="65"/>
  <c r="E10" i="65"/>
  <c r="D10" i="65"/>
  <c r="C10" i="65"/>
  <c r="B10" i="65"/>
  <c r="S10" i="65" s="1"/>
  <c r="O9" i="65"/>
  <c r="G122" i="65" s="1"/>
  <c r="N9" i="65"/>
  <c r="M9" i="65"/>
  <c r="L9" i="65"/>
  <c r="K9" i="65"/>
  <c r="J9" i="65"/>
  <c r="I9" i="65"/>
  <c r="H9" i="65"/>
  <c r="G9" i="65"/>
  <c r="F9" i="65"/>
  <c r="E9" i="65"/>
  <c r="D9" i="65"/>
  <c r="C9" i="65"/>
  <c r="B9" i="65"/>
  <c r="S9" i="65" s="1"/>
  <c r="O8" i="65"/>
  <c r="I149" i="65" s="1"/>
  <c r="N8" i="65"/>
  <c r="M8" i="65"/>
  <c r="L8" i="65"/>
  <c r="K8" i="65"/>
  <c r="J8" i="65"/>
  <c r="I8" i="65"/>
  <c r="H8" i="65"/>
  <c r="G8" i="65"/>
  <c r="F8" i="65"/>
  <c r="E8" i="65"/>
  <c r="D8" i="65"/>
  <c r="C8" i="65"/>
  <c r="B8" i="65"/>
  <c r="S8" i="65" s="1"/>
  <c r="O7" i="65"/>
  <c r="E36" i="65" s="1"/>
  <c r="N7" i="65"/>
  <c r="M7" i="65"/>
  <c r="L7" i="65"/>
  <c r="K7" i="65"/>
  <c r="J7" i="65"/>
  <c r="I7" i="65"/>
  <c r="H7" i="65"/>
  <c r="G7" i="65"/>
  <c r="F7" i="65"/>
  <c r="E7" i="65"/>
  <c r="D7" i="65"/>
  <c r="C7" i="65"/>
  <c r="B7" i="65"/>
  <c r="S7" i="65" s="1"/>
  <c r="S6" i="65"/>
  <c r="O6" i="65"/>
  <c r="T6" i="65" s="1"/>
  <c r="N6" i="65"/>
  <c r="M6" i="65"/>
  <c r="L6" i="65"/>
  <c r="K6" i="65"/>
  <c r="J6" i="65"/>
  <c r="I6" i="65"/>
  <c r="H6" i="65"/>
  <c r="G6" i="65"/>
  <c r="F6" i="65"/>
  <c r="E6" i="65"/>
  <c r="D6" i="65"/>
  <c r="C6" i="65"/>
  <c r="B6" i="65"/>
  <c r="O5" i="65"/>
  <c r="I62" i="65" s="1"/>
  <c r="N5" i="65"/>
  <c r="M5" i="65"/>
  <c r="L5" i="65"/>
  <c r="K5" i="65"/>
  <c r="J5" i="65"/>
  <c r="I5" i="65"/>
  <c r="H5" i="65"/>
  <c r="G5" i="65"/>
  <c r="F5" i="65"/>
  <c r="E5" i="65"/>
  <c r="D5" i="65"/>
  <c r="C5" i="65"/>
  <c r="B5" i="65"/>
  <c r="S5" i="65" s="1"/>
  <c r="AQ27" i="64"/>
  <c r="AP27" i="64"/>
  <c r="AO27" i="64"/>
  <c r="AN27" i="64"/>
  <c r="AM27" i="64"/>
  <c r="AL27" i="64"/>
  <c r="AK27" i="64"/>
  <c r="AJ27" i="64"/>
  <c r="AI27" i="64"/>
  <c r="AH27" i="64"/>
  <c r="AG27" i="64"/>
  <c r="AF27" i="64"/>
  <c r="AE27" i="64"/>
  <c r="AD27" i="64"/>
  <c r="AC27" i="64"/>
  <c r="AB27" i="64"/>
  <c r="AA27" i="64"/>
  <c r="Z27" i="64"/>
  <c r="Y27" i="64"/>
  <c r="BM16" i="64"/>
  <c r="BJ16" i="64"/>
  <c r="BD16" i="64"/>
  <c r="AQ16" i="64"/>
  <c r="AP16" i="64"/>
  <c r="AO16" i="64"/>
  <c r="BL16" i="64" s="1"/>
  <c r="AN16" i="64"/>
  <c r="BK16" i="64" s="1"/>
  <c r="AM16" i="64"/>
  <c r="AL16" i="64"/>
  <c r="BI16" i="64" s="1"/>
  <c r="AK16" i="64"/>
  <c r="AJ16" i="64"/>
  <c r="AI16" i="64"/>
  <c r="AH16" i="64"/>
  <c r="AG16" i="64"/>
  <c r="AF16" i="64"/>
  <c r="BC16" i="64" s="1"/>
  <c r="AE16" i="64"/>
  <c r="BB16" i="64" s="1"/>
  <c r="AD16" i="64"/>
  <c r="BA16" i="64" s="1"/>
  <c r="AC16" i="64"/>
  <c r="AZ16" i="64" s="1"/>
  <c r="AB16" i="64"/>
  <c r="AY16" i="64" s="1"/>
  <c r="AA16" i="64"/>
  <c r="Z16" i="64"/>
  <c r="AW16" i="64" s="1"/>
  <c r="Y16" i="64"/>
  <c r="AQ15" i="64"/>
  <c r="BL15" i="64" s="1"/>
  <c r="AP15" i="64"/>
  <c r="BM15" i="64" s="1"/>
  <c r="AO15" i="64"/>
  <c r="AN15" i="64"/>
  <c r="AM15" i="64"/>
  <c r="AL15" i="64"/>
  <c r="AK15" i="64"/>
  <c r="AJ15" i="64"/>
  <c r="AI15" i="64"/>
  <c r="BF15" i="64" s="1"/>
  <c r="AH15" i="64"/>
  <c r="BE15" i="64" s="1"/>
  <c r="AG15" i="64"/>
  <c r="BD15" i="64" s="1"/>
  <c r="AF15" i="64"/>
  <c r="BC15" i="64" s="1"/>
  <c r="AE15" i="64"/>
  <c r="BB15" i="64" s="1"/>
  <c r="AD15" i="64"/>
  <c r="BA15" i="64" s="1"/>
  <c r="AC15" i="64"/>
  <c r="AB15" i="64"/>
  <c r="AA15" i="64"/>
  <c r="Z15" i="64"/>
  <c r="Y15" i="64"/>
  <c r="AQ14" i="64"/>
  <c r="BH14" i="64" s="1"/>
  <c r="AP14" i="64"/>
  <c r="BM14" i="64" s="1"/>
  <c r="AO14" i="64"/>
  <c r="AN14" i="64"/>
  <c r="AM14" i="64"/>
  <c r="AL14" i="64"/>
  <c r="AK14" i="64"/>
  <c r="AJ14" i="64"/>
  <c r="AI14" i="64"/>
  <c r="BF14" i="64" s="1"/>
  <c r="AH14" i="64"/>
  <c r="BE14" i="64" s="1"/>
  <c r="AG14" i="64"/>
  <c r="BD14" i="64" s="1"/>
  <c r="AF14" i="64"/>
  <c r="BC14" i="64" s="1"/>
  <c r="AE14" i="64"/>
  <c r="BB14" i="64" s="1"/>
  <c r="AD14" i="64"/>
  <c r="BA14" i="64" s="1"/>
  <c r="AC14" i="64"/>
  <c r="AB14" i="64"/>
  <c r="AA14" i="64"/>
  <c r="Z14" i="64"/>
  <c r="Y14" i="64"/>
  <c r="AQ13" i="64"/>
  <c r="BJ13" i="64" s="1"/>
  <c r="AP13" i="64"/>
  <c r="BM13" i="64" s="1"/>
  <c r="AO13" i="64"/>
  <c r="BL13" i="64" s="1"/>
  <c r="AN13" i="64"/>
  <c r="BK13" i="64" s="1"/>
  <c r="AM13" i="64"/>
  <c r="AL13" i="64"/>
  <c r="AK13" i="64"/>
  <c r="AJ13" i="64"/>
  <c r="AI13" i="64"/>
  <c r="AH13" i="64"/>
  <c r="AG13" i="64"/>
  <c r="AF13" i="64"/>
  <c r="AE13" i="64"/>
  <c r="BB13" i="64" s="1"/>
  <c r="AD13" i="64"/>
  <c r="BA13" i="64" s="1"/>
  <c r="AC13" i="64"/>
  <c r="AZ13" i="64" s="1"/>
  <c r="AB13" i="64"/>
  <c r="AY13" i="64" s="1"/>
  <c r="AA13" i="64"/>
  <c r="Z13" i="64"/>
  <c r="Y13" i="64"/>
  <c r="BF12" i="64"/>
  <c r="AQ12" i="64"/>
  <c r="AP12" i="64"/>
  <c r="BM12" i="64" s="1"/>
  <c r="AO12" i="64"/>
  <c r="AN12" i="64"/>
  <c r="AM12" i="64"/>
  <c r="AL12" i="64"/>
  <c r="AK12" i="64"/>
  <c r="AJ12" i="64"/>
  <c r="AI12" i="64"/>
  <c r="AH12" i="64"/>
  <c r="BE12" i="64" s="1"/>
  <c r="AG12" i="64"/>
  <c r="BD12" i="64" s="1"/>
  <c r="AF12" i="64"/>
  <c r="BC12" i="64" s="1"/>
  <c r="AE12" i="64"/>
  <c r="BB12" i="64" s="1"/>
  <c r="AD12" i="64"/>
  <c r="BA12" i="64" s="1"/>
  <c r="AC12" i="64"/>
  <c r="AB12" i="64"/>
  <c r="AA12" i="64"/>
  <c r="Z12" i="64"/>
  <c r="Y12" i="64"/>
  <c r="BM11" i="64"/>
  <c r="BJ11" i="64"/>
  <c r="BI11" i="64"/>
  <c r="BB11" i="64"/>
  <c r="BA11" i="64"/>
  <c r="AZ11" i="64"/>
  <c r="AY11" i="64"/>
  <c r="AW11" i="64"/>
  <c r="AQ11" i="64"/>
  <c r="AP11" i="64"/>
  <c r="AO11" i="64"/>
  <c r="BL11" i="64" s="1"/>
  <c r="AN11" i="64"/>
  <c r="BK11" i="64" s="1"/>
  <c r="AM11" i="64"/>
  <c r="AL11" i="64"/>
  <c r="AK11" i="64"/>
  <c r="BH11" i="64" s="1"/>
  <c r="AJ11" i="64"/>
  <c r="BG11" i="64" s="1"/>
  <c r="AI11" i="64"/>
  <c r="BF11" i="64" s="1"/>
  <c r="AH11" i="64"/>
  <c r="BE11" i="64" s="1"/>
  <c r="AG11" i="64"/>
  <c r="BD11" i="64" s="1"/>
  <c r="AF11" i="64"/>
  <c r="BC11" i="64" s="1"/>
  <c r="AE11" i="64"/>
  <c r="AD11" i="64"/>
  <c r="AC11" i="64"/>
  <c r="AB11" i="64"/>
  <c r="AA11" i="64"/>
  <c r="Z11" i="64"/>
  <c r="Y11" i="64"/>
  <c r="BD10" i="64"/>
  <c r="AQ10" i="64"/>
  <c r="AP10" i="64"/>
  <c r="BM10" i="64" s="1"/>
  <c r="AO10" i="64"/>
  <c r="BL10" i="64" s="1"/>
  <c r="AN10" i="64"/>
  <c r="BK10" i="64" s="1"/>
  <c r="AM10" i="64"/>
  <c r="BJ10" i="64" s="1"/>
  <c r="AL10" i="64"/>
  <c r="BI10" i="64" s="1"/>
  <c r="AK10" i="64"/>
  <c r="AJ10" i="64"/>
  <c r="AI10" i="64"/>
  <c r="AH10" i="64"/>
  <c r="AG10" i="64"/>
  <c r="AF10" i="64"/>
  <c r="BC10" i="64" s="1"/>
  <c r="AE10" i="64"/>
  <c r="BB10" i="64" s="1"/>
  <c r="AD10" i="64"/>
  <c r="BA10" i="64" s="1"/>
  <c r="AC10" i="64"/>
  <c r="AZ10" i="64" s="1"/>
  <c r="AB10" i="64"/>
  <c r="AY10" i="64" s="1"/>
  <c r="AA10" i="64"/>
  <c r="AX10" i="64" s="1"/>
  <c r="Z10" i="64"/>
  <c r="AW10" i="64" s="1"/>
  <c r="Y10" i="64"/>
  <c r="AQ9" i="64"/>
  <c r="BL9" i="64" s="1"/>
  <c r="AP9" i="64"/>
  <c r="BM9" i="64" s="1"/>
  <c r="AO9" i="64"/>
  <c r="AN9" i="64"/>
  <c r="AM9" i="64"/>
  <c r="AL9" i="64"/>
  <c r="AK9" i="64"/>
  <c r="AJ9" i="64"/>
  <c r="AI9" i="64"/>
  <c r="BF9" i="64" s="1"/>
  <c r="AH9" i="64"/>
  <c r="BE9" i="64" s="1"/>
  <c r="AG9" i="64"/>
  <c r="BD9" i="64" s="1"/>
  <c r="AF9" i="64"/>
  <c r="BC9" i="64" s="1"/>
  <c r="AE9" i="64"/>
  <c r="BB9" i="64" s="1"/>
  <c r="AD9" i="64"/>
  <c r="BA9" i="64" s="1"/>
  <c r="AC9" i="64"/>
  <c r="AB9" i="64"/>
  <c r="AA9" i="64"/>
  <c r="Z9" i="64"/>
  <c r="Y9" i="64"/>
  <c r="AQ8" i="64"/>
  <c r="BH8" i="64" s="1"/>
  <c r="AP8" i="64"/>
  <c r="BM8" i="64" s="1"/>
  <c r="AO8" i="64"/>
  <c r="AN8" i="64"/>
  <c r="AM8" i="64"/>
  <c r="AL8" i="64"/>
  <c r="AK8" i="64"/>
  <c r="AJ8" i="64"/>
  <c r="AI8" i="64"/>
  <c r="BF8" i="64" s="1"/>
  <c r="AH8" i="64"/>
  <c r="BE8" i="64" s="1"/>
  <c r="AG8" i="64"/>
  <c r="BD8" i="64" s="1"/>
  <c r="AF8" i="64"/>
  <c r="BC8" i="64" s="1"/>
  <c r="AE8" i="64"/>
  <c r="BB8" i="64" s="1"/>
  <c r="AD8" i="64"/>
  <c r="BA8" i="64" s="1"/>
  <c r="AC8" i="64"/>
  <c r="AB8" i="64"/>
  <c r="AA8" i="64"/>
  <c r="Z8" i="64"/>
  <c r="Y8" i="64"/>
  <c r="D33" i="61"/>
  <c r="D34" i="61"/>
  <c r="D35" i="61"/>
  <c r="D36" i="61"/>
  <c r="D37" i="61"/>
  <c r="D38" i="61"/>
  <c r="D39" i="61"/>
  <c r="D40" i="61"/>
  <c r="E40" i="61" s="1"/>
  <c r="E68" i="61" s="1"/>
  <c r="D32" i="61"/>
  <c r="E32" i="61" s="1"/>
  <c r="E60" i="61" s="1"/>
  <c r="AK27" i="63"/>
  <c r="AJ27" i="63"/>
  <c r="AI27" i="63"/>
  <c r="AH27" i="63"/>
  <c r="AG27" i="63"/>
  <c r="AF27" i="63"/>
  <c r="Y27" i="63"/>
  <c r="U27" i="63"/>
  <c r="AQ27" i="63" s="1"/>
  <c r="T27" i="63"/>
  <c r="AP27" i="63" s="1"/>
  <c r="S27" i="63"/>
  <c r="AO27" i="63" s="1"/>
  <c r="R27" i="63"/>
  <c r="AN27" i="63" s="1"/>
  <c r="Q27" i="63"/>
  <c r="AM27" i="63" s="1"/>
  <c r="P27" i="63"/>
  <c r="AL27" i="63" s="1"/>
  <c r="O27" i="63"/>
  <c r="N27" i="63"/>
  <c r="M27" i="63"/>
  <c r="L27" i="63"/>
  <c r="K27" i="63"/>
  <c r="J27" i="63"/>
  <c r="I27" i="63"/>
  <c r="AE27" i="63" s="1"/>
  <c r="H27" i="63"/>
  <c r="AD27" i="63" s="1"/>
  <c r="G27" i="63"/>
  <c r="AC27" i="63" s="1"/>
  <c r="F27" i="63"/>
  <c r="AB27" i="63" s="1"/>
  <c r="E27" i="63"/>
  <c r="AA27" i="63" s="1"/>
  <c r="AX25" i="63" s="1"/>
  <c r="D27" i="63"/>
  <c r="Z27" i="63" s="1"/>
  <c r="C27" i="63"/>
  <c r="B27" i="63"/>
  <c r="AQ16" i="63"/>
  <c r="AP16" i="63"/>
  <c r="AO16" i="63"/>
  <c r="AN16" i="63"/>
  <c r="AM16" i="63"/>
  <c r="AL16" i="63"/>
  <c r="AK16" i="63"/>
  <c r="AJ16" i="63"/>
  <c r="AI16" i="63"/>
  <c r="BF16" i="63" s="1"/>
  <c r="AH16" i="63"/>
  <c r="AG16" i="63"/>
  <c r="AF16" i="63"/>
  <c r="AE16" i="63"/>
  <c r="AD16" i="63"/>
  <c r="AC16" i="63"/>
  <c r="AB16" i="63"/>
  <c r="AA16" i="63"/>
  <c r="Z16" i="63"/>
  <c r="Y16" i="63"/>
  <c r="AQ15" i="63"/>
  <c r="AP15" i="63"/>
  <c r="AO15" i="63"/>
  <c r="AN15" i="63"/>
  <c r="AM15" i="63"/>
  <c r="AL15" i="63"/>
  <c r="AK15" i="63"/>
  <c r="AJ15" i="63"/>
  <c r="AI15" i="63"/>
  <c r="AH15" i="63"/>
  <c r="AG15" i="63"/>
  <c r="AF15" i="63"/>
  <c r="AE15" i="63"/>
  <c r="AD15" i="63"/>
  <c r="AC15" i="63"/>
  <c r="AB15" i="63"/>
  <c r="AA15" i="63"/>
  <c r="Z15" i="63"/>
  <c r="Y15" i="63"/>
  <c r="AQ14" i="63"/>
  <c r="AP14" i="63"/>
  <c r="AO14" i="63"/>
  <c r="AN14" i="63"/>
  <c r="AM14" i="63"/>
  <c r="AL14" i="63"/>
  <c r="AK14" i="63"/>
  <c r="AJ14" i="63"/>
  <c r="AI14" i="63"/>
  <c r="AH14" i="63"/>
  <c r="AG14" i="63"/>
  <c r="AF14" i="63"/>
  <c r="AE14" i="63"/>
  <c r="AD14" i="63"/>
  <c r="AC14" i="63"/>
  <c r="AB14" i="63"/>
  <c r="AA14" i="63"/>
  <c r="Z14" i="63"/>
  <c r="Y14" i="63"/>
  <c r="AQ13" i="63"/>
  <c r="AP13" i="63"/>
  <c r="AO13" i="63"/>
  <c r="AN13" i="63"/>
  <c r="AM13" i="63"/>
  <c r="AL13" i="63"/>
  <c r="AK13" i="63"/>
  <c r="AJ13" i="63"/>
  <c r="AI13" i="63"/>
  <c r="AH13" i="63"/>
  <c r="AG13" i="63"/>
  <c r="AF13" i="63"/>
  <c r="AE13" i="63"/>
  <c r="AD13" i="63"/>
  <c r="AC13" i="63"/>
  <c r="AB13" i="63"/>
  <c r="AA13" i="63"/>
  <c r="Z13" i="63"/>
  <c r="Y13" i="63"/>
  <c r="AQ12" i="63"/>
  <c r="AP12" i="63"/>
  <c r="AO12" i="63"/>
  <c r="AN12" i="63"/>
  <c r="AM12" i="63"/>
  <c r="AL12" i="63"/>
  <c r="AK12" i="63"/>
  <c r="AJ12" i="63"/>
  <c r="AI12" i="63"/>
  <c r="AH12" i="63"/>
  <c r="AG12" i="63"/>
  <c r="AF12" i="63"/>
  <c r="AE12" i="63"/>
  <c r="AD12" i="63"/>
  <c r="AC12" i="63"/>
  <c r="AB12" i="63"/>
  <c r="AA12" i="63"/>
  <c r="Z12" i="63"/>
  <c r="Y12" i="63"/>
  <c r="AQ11" i="63"/>
  <c r="AP11" i="63"/>
  <c r="AO11" i="63"/>
  <c r="AN11" i="63"/>
  <c r="AM11" i="63"/>
  <c r="AL11" i="63"/>
  <c r="AK11" i="63"/>
  <c r="AJ11" i="63"/>
  <c r="AI11" i="63"/>
  <c r="AH11" i="63"/>
  <c r="AG11" i="63"/>
  <c r="AF11" i="63"/>
  <c r="AE11" i="63"/>
  <c r="AD11" i="63"/>
  <c r="AC11" i="63"/>
  <c r="AB11" i="63"/>
  <c r="AA11" i="63"/>
  <c r="Z11" i="63"/>
  <c r="Y11" i="63"/>
  <c r="AQ10" i="63"/>
  <c r="AP10" i="63"/>
  <c r="AO10" i="63"/>
  <c r="AN10" i="63"/>
  <c r="AM10" i="63"/>
  <c r="AL10" i="63"/>
  <c r="AK10" i="63"/>
  <c r="AJ10" i="63"/>
  <c r="AI10" i="63"/>
  <c r="AH10" i="63"/>
  <c r="AG10" i="63"/>
  <c r="AF10" i="63"/>
  <c r="AE10" i="63"/>
  <c r="AD10" i="63"/>
  <c r="AC10" i="63"/>
  <c r="AB10" i="63"/>
  <c r="AA10" i="63"/>
  <c r="Z10" i="63"/>
  <c r="Y10" i="63"/>
  <c r="AQ9" i="63"/>
  <c r="AP9" i="63"/>
  <c r="AO9" i="63"/>
  <c r="AN9" i="63"/>
  <c r="AM9" i="63"/>
  <c r="AL9" i="63"/>
  <c r="AK9" i="63"/>
  <c r="AJ9" i="63"/>
  <c r="AI9" i="63"/>
  <c r="AH9" i="63"/>
  <c r="AG9" i="63"/>
  <c r="AF9" i="63"/>
  <c r="AE9" i="63"/>
  <c r="AD9" i="63"/>
  <c r="AC9" i="63"/>
  <c r="AB9" i="63"/>
  <c r="AA9" i="63"/>
  <c r="Z9" i="63"/>
  <c r="Y9" i="63"/>
  <c r="AQ8" i="63"/>
  <c r="AP8" i="63"/>
  <c r="AO8" i="63"/>
  <c r="AN8" i="63"/>
  <c r="AM8" i="63"/>
  <c r="AL8" i="63"/>
  <c r="AK8" i="63"/>
  <c r="AJ8" i="63"/>
  <c r="AI8" i="63"/>
  <c r="AH8" i="63"/>
  <c r="AG8" i="63"/>
  <c r="AF8" i="63"/>
  <c r="AE8" i="63"/>
  <c r="AD8" i="63"/>
  <c r="AC8" i="63"/>
  <c r="AB8" i="63"/>
  <c r="AA8" i="63"/>
  <c r="Z8" i="63"/>
  <c r="Y8" i="63"/>
  <c r="C33" i="61"/>
  <c r="C34" i="61"/>
  <c r="C35" i="61"/>
  <c r="C36" i="61"/>
  <c r="C37" i="61"/>
  <c r="C38" i="61"/>
  <c r="C39" i="61"/>
  <c r="E39" i="61" s="1"/>
  <c r="E67" i="61" s="1"/>
  <c r="C40" i="61"/>
  <c r="C32" i="61"/>
  <c r="C6" i="61"/>
  <c r="C7" i="61"/>
  <c r="E7" i="61" s="1"/>
  <c r="D62" i="61" s="1"/>
  <c r="C8" i="61"/>
  <c r="E8" i="61" s="1"/>
  <c r="D63" i="61" s="1"/>
  <c r="C9" i="61"/>
  <c r="E9" i="61" s="1"/>
  <c r="C10" i="61"/>
  <c r="C11" i="61"/>
  <c r="C12" i="61"/>
  <c r="C13" i="61"/>
  <c r="C5" i="61"/>
  <c r="V8" i="60"/>
  <c r="D6" i="61"/>
  <c r="D7" i="61"/>
  <c r="D8" i="61"/>
  <c r="D9" i="61"/>
  <c r="D10" i="61"/>
  <c r="D11" i="61"/>
  <c r="D12" i="61"/>
  <c r="D13" i="61"/>
  <c r="D5" i="61"/>
  <c r="E6" i="61"/>
  <c r="E10" i="61"/>
  <c r="D65" i="61" s="1"/>
  <c r="E11" i="61"/>
  <c r="D66" i="61" s="1"/>
  <c r="E12" i="61"/>
  <c r="D67" i="61" s="1"/>
  <c r="U27" i="62"/>
  <c r="C27" i="62"/>
  <c r="D27" i="62"/>
  <c r="Z27" i="62" s="1"/>
  <c r="AW25" i="62" s="1"/>
  <c r="E27" i="62"/>
  <c r="F27" i="62"/>
  <c r="G27" i="62"/>
  <c r="AC27" i="62" s="1"/>
  <c r="H27" i="62"/>
  <c r="AD27" i="62" s="1"/>
  <c r="I27" i="62"/>
  <c r="AE27" i="62" s="1"/>
  <c r="J27" i="62"/>
  <c r="AF27" i="62" s="1"/>
  <c r="K27" i="62"/>
  <c r="AG27" i="62" s="1"/>
  <c r="BD25" i="62" s="1"/>
  <c r="L27" i="62"/>
  <c r="AH27" i="62" s="1"/>
  <c r="M27" i="62"/>
  <c r="AI27" i="62" s="1"/>
  <c r="N27" i="62"/>
  <c r="AJ27" i="62" s="1"/>
  <c r="O27" i="62"/>
  <c r="P27" i="62"/>
  <c r="AL27" i="62" s="1"/>
  <c r="BI25" i="62" s="1"/>
  <c r="Q27" i="62"/>
  <c r="AM27" i="62" s="1"/>
  <c r="R27" i="62"/>
  <c r="AN27" i="62" s="1"/>
  <c r="S27" i="62"/>
  <c r="AO27" i="62" s="1"/>
  <c r="T27" i="62"/>
  <c r="B27" i="62"/>
  <c r="AQ27" i="62"/>
  <c r="AP27" i="62"/>
  <c r="AK27" i="62"/>
  <c r="AB27" i="62"/>
  <c r="AY25" i="62" s="1"/>
  <c r="AA27" i="62"/>
  <c r="AX25" i="62" s="1"/>
  <c r="Y27" i="62"/>
  <c r="BE25" i="62" s="1"/>
  <c r="AQ16" i="62"/>
  <c r="AP16" i="62"/>
  <c r="AO16" i="62"/>
  <c r="AN16" i="62"/>
  <c r="AM16" i="62"/>
  <c r="AL16" i="62"/>
  <c r="AK16" i="62"/>
  <c r="AJ16" i="62"/>
  <c r="AI16" i="62"/>
  <c r="AH16" i="62"/>
  <c r="AG16" i="62"/>
  <c r="AF16" i="62"/>
  <c r="AE16" i="62"/>
  <c r="BB16" i="62" s="1"/>
  <c r="AD16" i="62"/>
  <c r="BC16" i="62" s="1"/>
  <c r="AC16" i="62"/>
  <c r="AB16" i="62"/>
  <c r="AA16" i="62"/>
  <c r="Z16" i="62"/>
  <c r="Y16" i="62"/>
  <c r="AQ15" i="62"/>
  <c r="AP15" i="62"/>
  <c r="AO15" i="62"/>
  <c r="AN15" i="62"/>
  <c r="AM15" i="62"/>
  <c r="AL15" i="62"/>
  <c r="AK15" i="62"/>
  <c r="BH15" i="62" s="1"/>
  <c r="AJ15" i="62"/>
  <c r="AI15" i="62"/>
  <c r="AH15" i="62"/>
  <c r="AG15" i="62"/>
  <c r="AF15" i="62"/>
  <c r="AE15" i="62"/>
  <c r="AD15" i="62"/>
  <c r="AC15" i="62"/>
  <c r="AB15" i="62"/>
  <c r="AA15" i="62"/>
  <c r="Z15" i="62"/>
  <c r="AW15" i="62" s="1"/>
  <c r="Y15" i="62"/>
  <c r="AV15" i="62" s="1"/>
  <c r="AQ14" i="62"/>
  <c r="AP14" i="62"/>
  <c r="AO14" i="62"/>
  <c r="AN14" i="62"/>
  <c r="AM14" i="62"/>
  <c r="AL14" i="62"/>
  <c r="AK14" i="62"/>
  <c r="AJ14" i="62"/>
  <c r="AI14" i="62"/>
  <c r="AH14" i="62"/>
  <c r="AG14" i="62"/>
  <c r="BD14" i="62" s="1"/>
  <c r="AF14" i="62"/>
  <c r="AE14" i="62"/>
  <c r="AD14" i="62"/>
  <c r="AC14" i="62"/>
  <c r="AB14" i="62"/>
  <c r="AA14" i="62"/>
  <c r="Z14" i="62"/>
  <c r="Y14" i="62"/>
  <c r="AQ13" i="62"/>
  <c r="AP13" i="62"/>
  <c r="AO13" i="62"/>
  <c r="AN13" i="62"/>
  <c r="AM13" i="62"/>
  <c r="AL13" i="62"/>
  <c r="AK13" i="62"/>
  <c r="AJ13" i="62"/>
  <c r="AI13" i="62"/>
  <c r="AH13" i="62"/>
  <c r="AG13" i="62"/>
  <c r="AF13" i="62"/>
  <c r="AE13" i="62"/>
  <c r="AD13" i="62"/>
  <c r="AC13" i="62"/>
  <c r="AB13" i="62"/>
  <c r="AY13" i="62" s="1"/>
  <c r="AA13" i="62"/>
  <c r="Z13" i="62"/>
  <c r="Y13" i="62"/>
  <c r="AQ12" i="62"/>
  <c r="AP12" i="62"/>
  <c r="AO12" i="62"/>
  <c r="AN12" i="62"/>
  <c r="AM12" i="62"/>
  <c r="AL12" i="62"/>
  <c r="AK12" i="62"/>
  <c r="AJ12" i="62"/>
  <c r="AI12" i="62"/>
  <c r="BF12" i="62" s="1"/>
  <c r="AH12" i="62"/>
  <c r="AG12" i="62"/>
  <c r="AF12" i="62"/>
  <c r="AE12" i="62"/>
  <c r="AD12" i="62"/>
  <c r="AC12" i="62"/>
  <c r="AB12" i="62"/>
  <c r="AA12" i="62"/>
  <c r="Z12" i="62"/>
  <c r="Y12" i="62"/>
  <c r="AQ11" i="62"/>
  <c r="AP11" i="62"/>
  <c r="AO11" i="62"/>
  <c r="AN11" i="62"/>
  <c r="AM11" i="62"/>
  <c r="AL11" i="62"/>
  <c r="AK11" i="62"/>
  <c r="AJ11" i="62"/>
  <c r="AI11" i="62"/>
  <c r="AH11" i="62"/>
  <c r="AG11" i="62"/>
  <c r="AF11" i="62"/>
  <c r="AE11" i="62"/>
  <c r="AD11" i="62"/>
  <c r="BA11" i="62" s="1"/>
  <c r="AC11" i="62"/>
  <c r="AB11" i="62"/>
  <c r="AA11" i="62"/>
  <c r="Z11" i="62"/>
  <c r="Y11" i="62"/>
  <c r="AQ10" i="62"/>
  <c r="AP10" i="62"/>
  <c r="AO10" i="62"/>
  <c r="AN10" i="62"/>
  <c r="AM10" i="62"/>
  <c r="AL10" i="62"/>
  <c r="AK10" i="62"/>
  <c r="BH10" i="62" s="1"/>
  <c r="AJ10" i="62"/>
  <c r="AI10" i="62"/>
  <c r="AH10" i="62"/>
  <c r="AG10" i="62"/>
  <c r="AF10" i="62"/>
  <c r="AE10" i="62"/>
  <c r="AD10" i="62"/>
  <c r="AC10" i="62"/>
  <c r="AB10" i="62"/>
  <c r="AA10" i="62"/>
  <c r="Z10" i="62"/>
  <c r="Y10" i="62"/>
  <c r="BI10" i="62" s="1"/>
  <c r="AQ9" i="62"/>
  <c r="AP9" i="62"/>
  <c r="AO9" i="62"/>
  <c r="AN9" i="62"/>
  <c r="AM9" i="62"/>
  <c r="AL9" i="62"/>
  <c r="AK9" i="62"/>
  <c r="AJ9" i="62"/>
  <c r="AI9" i="62"/>
  <c r="AH9" i="62"/>
  <c r="AG9" i="62"/>
  <c r="AF9" i="62"/>
  <c r="BC9" i="62" s="1"/>
  <c r="AE9" i="62"/>
  <c r="BA9" i="62" s="1"/>
  <c r="AD9" i="62"/>
  <c r="AC9" i="62"/>
  <c r="AB9" i="62"/>
  <c r="AA9" i="62"/>
  <c r="Z9" i="62"/>
  <c r="Y9" i="62"/>
  <c r="AQ8" i="62"/>
  <c r="AP8" i="62"/>
  <c r="AO8" i="62"/>
  <c r="AN8" i="62"/>
  <c r="AM8" i="62"/>
  <c r="BJ8" i="62" s="1"/>
  <c r="AL8" i="62"/>
  <c r="AK8" i="62"/>
  <c r="AJ8" i="62"/>
  <c r="AI8" i="62"/>
  <c r="AH8" i="62"/>
  <c r="AG8" i="62"/>
  <c r="AF8" i="62"/>
  <c r="AE8" i="62"/>
  <c r="AD8" i="62"/>
  <c r="AC8" i="62"/>
  <c r="AB8" i="62"/>
  <c r="AA8" i="62"/>
  <c r="BK8" i="62" s="1"/>
  <c r="Z8" i="62"/>
  <c r="Y8" i="62"/>
  <c r="D51" i="61"/>
  <c r="E51" i="61" s="1"/>
  <c r="E79" i="61" s="1"/>
  <c r="C51" i="61"/>
  <c r="E37" i="61"/>
  <c r="E65" i="61" s="1"/>
  <c r="E35" i="61"/>
  <c r="E63" i="61" s="1"/>
  <c r="E34" i="61"/>
  <c r="E62" i="61" s="1"/>
  <c r="E33" i="61"/>
  <c r="E61" i="61" s="1"/>
  <c r="E24" i="61"/>
  <c r="D79" i="61" s="1"/>
  <c r="D24" i="61"/>
  <c r="C24" i="61"/>
  <c r="D61" i="61"/>
  <c r="AL5" i="59"/>
  <c r="AL6" i="59"/>
  <c r="AL7" i="59"/>
  <c r="AL8" i="59"/>
  <c r="AL9" i="59"/>
  <c r="AL10" i="59"/>
  <c r="AL11" i="59"/>
  <c r="AL12" i="59"/>
  <c r="AL4" i="59"/>
  <c r="AK5" i="59"/>
  <c r="AK6" i="59"/>
  <c r="AK7" i="59"/>
  <c r="AK8" i="59"/>
  <c r="AK9" i="59"/>
  <c r="AK10" i="59"/>
  <c r="AK11" i="59"/>
  <c r="AK12" i="59"/>
  <c r="AK23" i="59"/>
  <c r="AK4" i="59"/>
  <c r="BM9" i="60"/>
  <c r="BM10" i="60"/>
  <c r="BM11" i="60"/>
  <c r="BM12" i="60"/>
  <c r="BM13" i="60"/>
  <c r="BM14" i="60"/>
  <c r="BM15" i="60"/>
  <c r="BM16" i="60"/>
  <c r="AV9" i="60"/>
  <c r="AW9" i="60"/>
  <c r="AX9" i="60"/>
  <c r="AY9" i="60"/>
  <c r="AZ9" i="60"/>
  <c r="BA9" i="60"/>
  <c r="BB9" i="60"/>
  <c r="BC9" i="60"/>
  <c r="BD9" i="60"/>
  <c r="BE9" i="60"/>
  <c r="BF9" i="60"/>
  <c r="BG9" i="60"/>
  <c r="BH9" i="60"/>
  <c r="BI9" i="60"/>
  <c r="BJ9" i="60"/>
  <c r="BK9" i="60"/>
  <c r="BL9" i="60"/>
  <c r="AV10" i="60"/>
  <c r="AW10" i="60"/>
  <c r="AX10" i="60"/>
  <c r="AY10" i="60"/>
  <c r="AZ10" i="60"/>
  <c r="BA10" i="60"/>
  <c r="BB10" i="60"/>
  <c r="BC10" i="60"/>
  <c r="BD10" i="60"/>
  <c r="BE10" i="60"/>
  <c r="BF10" i="60"/>
  <c r="BG10" i="60"/>
  <c r="BH10" i="60"/>
  <c r="BI10" i="60"/>
  <c r="BJ10" i="60"/>
  <c r="BK10" i="60"/>
  <c r="BL10" i="60"/>
  <c r="AV11" i="60"/>
  <c r="AW11" i="60"/>
  <c r="AX11" i="60"/>
  <c r="AY11" i="60"/>
  <c r="AZ11" i="60"/>
  <c r="BA11" i="60"/>
  <c r="BB11" i="60"/>
  <c r="BC11" i="60"/>
  <c r="BD11" i="60"/>
  <c r="BE11" i="60"/>
  <c r="BF11" i="60"/>
  <c r="BG11" i="60"/>
  <c r="BH11" i="60"/>
  <c r="BI11" i="60"/>
  <c r="BJ11" i="60"/>
  <c r="BK11" i="60"/>
  <c r="BL11" i="60"/>
  <c r="AV12" i="60"/>
  <c r="AW12" i="60"/>
  <c r="AX12" i="60"/>
  <c r="AY12" i="60"/>
  <c r="AZ12" i="60"/>
  <c r="BA12" i="60"/>
  <c r="BB12" i="60"/>
  <c r="BC12" i="60"/>
  <c r="BD12" i="60"/>
  <c r="BE12" i="60"/>
  <c r="BF12" i="60"/>
  <c r="BG12" i="60"/>
  <c r="BH12" i="60"/>
  <c r="BI12" i="60"/>
  <c r="BJ12" i="60"/>
  <c r="BK12" i="60"/>
  <c r="BL12" i="60"/>
  <c r="AV13" i="60"/>
  <c r="AW13" i="60"/>
  <c r="AX13" i="60"/>
  <c r="AY13" i="60"/>
  <c r="AZ13" i="60"/>
  <c r="BA13" i="60"/>
  <c r="BB13" i="60"/>
  <c r="BC13" i="60"/>
  <c r="BD13" i="60"/>
  <c r="BE13" i="60"/>
  <c r="BF13" i="60"/>
  <c r="BG13" i="60"/>
  <c r="BH13" i="60"/>
  <c r="BI13" i="60"/>
  <c r="BJ13" i="60"/>
  <c r="BK13" i="60"/>
  <c r="BL13" i="60"/>
  <c r="AV14" i="60"/>
  <c r="AW14" i="60"/>
  <c r="AX14" i="60"/>
  <c r="AY14" i="60"/>
  <c r="AZ14" i="60"/>
  <c r="BA14" i="60"/>
  <c r="BB14" i="60"/>
  <c r="BC14" i="60"/>
  <c r="BD14" i="60"/>
  <c r="BE14" i="60"/>
  <c r="BF14" i="60"/>
  <c r="BG14" i="60"/>
  <c r="BH14" i="60"/>
  <c r="BI14" i="60"/>
  <c r="BJ14" i="60"/>
  <c r="BK14" i="60"/>
  <c r="BL14" i="60"/>
  <c r="AV15" i="60"/>
  <c r="AW15" i="60"/>
  <c r="AX15" i="60"/>
  <c r="AY15" i="60"/>
  <c r="AZ15" i="60"/>
  <c r="BA15" i="60"/>
  <c r="BB15" i="60"/>
  <c r="BC15" i="60"/>
  <c r="BD15" i="60"/>
  <c r="BE15" i="60"/>
  <c r="BF15" i="60"/>
  <c r="BG15" i="60"/>
  <c r="BH15" i="60"/>
  <c r="BI15" i="60"/>
  <c r="BJ15" i="60"/>
  <c r="BK15" i="60"/>
  <c r="BL15" i="60"/>
  <c r="AV16" i="60"/>
  <c r="AW16" i="60"/>
  <c r="AX16" i="60"/>
  <c r="AY16" i="60"/>
  <c r="AZ16" i="60"/>
  <c r="BA16" i="60"/>
  <c r="BB16" i="60"/>
  <c r="BC16" i="60"/>
  <c r="BD16" i="60"/>
  <c r="BE16" i="60"/>
  <c r="BF16" i="60"/>
  <c r="BG16" i="60"/>
  <c r="BH16" i="60"/>
  <c r="BI16" i="60"/>
  <c r="BJ16" i="60"/>
  <c r="BK16" i="60"/>
  <c r="BL16" i="60"/>
  <c r="AW8" i="60"/>
  <c r="AX8" i="60"/>
  <c r="AY8" i="60"/>
  <c r="AZ8" i="60"/>
  <c r="BA8" i="60"/>
  <c r="BB8" i="60"/>
  <c r="BC8" i="60"/>
  <c r="BD8" i="60"/>
  <c r="BE8" i="60"/>
  <c r="BF8" i="60"/>
  <c r="BG8" i="60"/>
  <c r="BH8" i="60"/>
  <c r="BI8" i="60"/>
  <c r="BJ8" i="60"/>
  <c r="BK8" i="60"/>
  <c r="BL8" i="60"/>
  <c r="AV8" i="60"/>
  <c r="Z8" i="60"/>
  <c r="AA8" i="60"/>
  <c r="AB8" i="60"/>
  <c r="AC8" i="60"/>
  <c r="AD8" i="60"/>
  <c r="AE8" i="60"/>
  <c r="AF8" i="60"/>
  <c r="AG8" i="60"/>
  <c r="AH8" i="60"/>
  <c r="AI8" i="60"/>
  <c r="AJ8" i="60"/>
  <c r="AK8" i="60"/>
  <c r="AL8" i="60"/>
  <c r="AM8" i="60"/>
  <c r="AN8" i="60"/>
  <c r="AO8" i="60"/>
  <c r="AP8" i="60"/>
  <c r="BM8" i="60" s="1"/>
  <c r="AQ8" i="60"/>
  <c r="AQ27" i="60"/>
  <c r="AP27" i="60"/>
  <c r="AO27" i="60"/>
  <c r="AN27" i="60"/>
  <c r="AM27" i="60"/>
  <c r="AL27" i="60"/>
  <c r="AK27" i="60"/>
  <c r="AJ27" i="60"/>
  <c r="AI27" i="60"/>
  <c r="AH27" i="60"/>
  <c r="AG27" i="60"/>
  <c r="AF27" i="60"/>
  <c r="AE27" i="60"/>
  <c r="AD27" i="60"/>
  <c r="AC27" i="60"/>
  <c r="AB27" i="60"/>
  <c r="AA27" i="60"/>
  <c r="Z27" i="60"/>
  <c r="Y27" i="60"/>
  <c r="AQ16" i="60"/>
  <c r="AP16" i="60"/>
  <c r="AO16" i="60"/>
  <c r="AN16" i="60"/>
  <c r="AM16" i="60"/>
  <c r="AL16" i="60"/>
  <c r="AK16" i="60"/>
  <c r="AJ16" i="60"/>
  <c r="AI16" i="60"/>
  <c r="AH16" i="60"/>
  <c r="AG16" i="60"/>
  <c r="AF16" i="60"/>
  <c r="AE16" i="60"/>
  <c r="AD16" i="60"/>
  <c r="AC16" i="60"/>
  <c r="AB16" i="60"/>
  <c r="AA16" i="60"/>
  <c r="Z16" i="60"/>
  <c r="Y16" i="60"/>
  <c r="AQ15" i="60"/>
  <c r="AP15" i="60"/>
  <c r="AO15" i="60"/>
  <c r="AN15" i="60"/>
  <c r="AM15" i="60"/>
  <c r="AL15" i="60"/>
  <c r="AK15" i="60"/>
  <c r="AJ15" i="60"/>
  <c r="AI15" i="60"/>
  <c r="AH15" i="60"/>
  <c r="AG15" i="60"/>
  <c r="AF15" i="60"/>
  <c r="AE15" i="60"/>
  <c r="AD15" i="60"/>
  <c r="AC15" i="60"/>
  <c r="AB15" i="60"/>
  <c r="AA15" i="60"/>
  <c r="Z15" i="60"/>
  <c r="Y15" i="60"/>
  <c r="AQ14" i="60"/>
  <c r="AP14" i="60"/>
  <c r="AO14" i="60"/>
  <c r="AN14" i="60"/>
  <c r="AM14" i="60"/>
  <c r="AL14" i="60"/>
  <c r="AK14" i="60"/>
  <c r="AJ14" i="60"/>
  <c r="AI14" i="60"/>
  <c r="AH14" i="60"/>
  <c r="AG14" i="60"/>
  <c r="AF14" i="60"/>
  <c r="AE14" i="60"/>
  <c r="AD14" i="60"/>
  <c r="AC14" i="60"/>
  <c r="AB14" i="60"/>
  <c r="AA14" i="60"/>
  <c r="Z14" i="60"/>
  <c r="Y14" i="60"/>
  <c r="AQ13" i="60"/>
  <c r="AP13" i="60"/>
  <c r="AO13" i="60"/>
  <c r="AN13" i="60"/>
  <c r="AM13" i="60"/>
  <c r="AL13" i="60"/>
  <c r="AK13" i="60"/>
  <c r="AJ13" i="60"/>
  <c r="AI13" i="60"/>
  <c r="AH13" i="60"/>
  <c r="AG13" i="60"/>
  <c r="AF13" i="60"/>
  <c r="AE13" i="60"/>
  <c r="AD13" i="60"/>
  <c r="AC13" i="60"/>
  <c r="AB13" i="60"/>
  <c r="AA13" i="60"/>
  <c r="Z13" i="60"/>
  <c r="Y13" i="60"/>
  <c r="AQ12" i="60"/>
  <c r="AP12" i="60"/>
  <c r="AO12" i="60"/>
  <c r="AN12" i="60"/>
  <c r="AM12" i="60"/>
  <c r="AL12" i="60"/>
  <c r="AK12" i="60"/>
  <c r="AJ12" i="60"/>
  <c r="AI12" i="60"/>
  <c r="AH12" i="60"/>
  <c r="AG12" i="60"/>
  <c r="AF12" i="60"/>
  <c r="AE12" i="60"/>
  <c r="AD12" i="60"/>
  <c r="AC12" i="60"/>
  <c r="AB12" i="60"/>
  <c r="AA12" i="60"/>
  <c r="Z12" i="60"/>
  <c r="Y12" i="60"/>
  <c r="AQ11" i="60"/>
  <c r="AP11" i="60"/>
  <c r="AO11" i="60"/>
  <c r="AN11" i="60"/>
  <c r="AM11" i="60"/>
  <c r="AL11" i="60"/>
  <c r="AK11" i="60"/>
  <c r="AJ11" i="60"/>
  <c r="AI11" i="60"/>
  <c r="AH11" i="60"/>
  <c r="AG11" i="60"/>
  <c r="AF11" i="60"/>
  <c r="AE11" i="60"/>
  <c r="AD11" i="60"/>
  <c r="AC11" i="60"/>
  <c r="AB11" i="60"/>
  <c r="AA11" i="60"/>
  <c r="Z11" i="60"/>
  <c r="Y11" i="60"/>
  <c r="AQ10" i="60"/>
  <c r="AP10" i="60"/>
  <c r="AO10" i="60"/>
  <c r="AN10" i="60"/>
  <c r="AM10" i="60"/>
  <c r="AL10" i="60"/>
  <c r="AK10" i="60"/>
  <c r="AJ10" i="60"/>
  <c r="AI10" i="60"/>
  <c r="AH10" i="60"/>
  <c r="AG10" i="60"/>
  <c r="AF10" i="60"/>
  <c r="AE10" i="60"/>
  <c r="AD10" i="60"/>
  <c r="AC10" i="60"/>
  <c r="AB10" i="60"/>
  <c r="AA10" i="60"/>
  <c r="Z10" i="60"/>
  <c r="Y10" i="60"/>
  <c r="AQ9" i="60"/>
  <c r="AP9" i="60"/>
  <c r="AO9" i="60"/>
  <c r="AN9" i="60"/>
  <c r="AM9" i="60"/>
  <c r="AL9" i="60"/>
  <c r="AK9" i="60"/>
  <c r="AJ9" i="60"/>
  <c r="AI9" i="60"/>
  <c r="AH9" i="60"/>
  <c r="AG9" i="60"/>
  <c r="AF9" i="60"/>
  <c r="AE9" i="60"/>
  <c r="AD9" i="60"/>
  <c r="AC9" i="60"/>
  <c r="AB9" i="60"/>
  <c r="AA9" i="60"/>
  <c r="Z9" i="60"/>
  <c r="Y9" i="60"/>
  <c r="Y8" i="60"/>
  <c r="AM5" i="59"/>
  <c r="AM6" i="59"/>
  <c r="AM7" i="59"/>
  <c r="AP7" i="59" s="1"/>
  <c r="AM8" i="59"/>
  <c r="AM9" i="59"/>
  <c r="AM10" i="59"/>
  <c r="AM11" i="59"/>
  <c r="AM12" i="59"/>
  <c r="AM23" i="59"/>
  <c r="AM32" i="59"/>
  <c r="AM33" i="59"/>
  <c r="AM34" i="59"/>
  <c r="AM35" i="59"/>
  <c r="AM36" i="59"/>
  <c r="AM37" i="59"/>
  <c r="AM38" i="59"/>
  <c r="AM39" i="59"/>
  <c r="AM50" i="59"/>
  <c r="AM31" i="59"/>
  <c r="AK32" i="59"/>
  <c r="AK33" i="59"/>
  <c r="AK34" i="59"/>
  <c r="AK35" i="59"/>
  <c r="AK36" i="59"/>
  <c r="AK37" i="59"/>
  <c r="AK38" i="59"/>
  <c r="AK39" i="59"/>
  <c r="AK50" i="59"/>
  <c r="AK31" i="59"/>
  <c r="AL32" i="59"/>
  <c r="AQ32" i="59" s="1"/>
  <c r="AL33" i="59"/>
  <c r="AL34" i="59"/>
  <c r="AL35" i="59"/>
  <c r="AL36" i="59"/>
  <c r="AP37" i="59"/>
  <c r="AL37" i="59"/>
  <c r="AL38" i="59"/>
  <c r="AL39" i="59"/>
  <c r="AL50" i="59"/>
  <c r="AG105" i="59"/>
  <c r="AF105" i="59"/>
  <c r="AE105" i="59"/>
  <c r="AD105" i="59"/>
  <c r="AC105" i="59"/>
  <c r="AB105" i="59"/>
  <c r="AA105" i="59"/>
  <c r="Z105" i="59"/>
  <c r="Y105" i="59"/>
  <c r="X105" i="59"/>
  <c r="W105" i="59"/>
  <c r="V105" i="59"/>
  <c r="U105" i="59"/>
  <c r="T105" i="59"/>
  <c r="AG94" i="59"/>
  <c r="AF94" i="59"/>
  <c r="AE94" i="59"/>
  <c r="AD94" i="59"/>
  <c r="AC94" i="59"/>
  <c r="AB94" i="59"/>
  <c r="AA94" i="59"/>
  <c r="Z94" i="59"/>
  <c r="Y94" i="59"/>
  <c r="X94" i="59"/>
  <c r="W94" i="59"/>
  <c r="V94" i="59"/>
  <c r="U94" i="59"/>
  <c r="T94" i="59"/>
  <c r="AG93" i="59"/>
  <c r="AF93" i="59"/>
  <c r="AE93" i="59"/>
  <c r="AD93" i="59"/>
  <c r="AC93" i="59"/>
  <c r="AB93" i="59"/>
  <c r="AA93" i="59"/>
  <c r="Z93" i="59"/>
  <c r="Y93" i="59"/>
  <c r="X93" i="59"/>
  <c r="W93" i="59"/>
  <c r="V93" i="59"/>
  <c r="U93" i="59"/>
  <c r="T93" i="59"/>
  <c r="AG92" i="59"/>
  <c r="AQ10" i="59" s="1"/>
  <c r="AF92" i="59"/>
  <c r="AE92" i="59"/>
  <c r="AD92" i="59"/>
  <c r="AC92" i="59"/>
  <c r="AB92" i="59"/>
  <c r="AA92" i="59"/>
  <c r="Z92" i="59"/>
  <c r="Y92" i="59"/>
  <c r="X92" i="59"/>
  <c r="W92" i="59"/>
  <c r="V92" i="59"/>
  <c r="U92" i="59"/>
  <c r="T92" i="59"/>
  <c r="AG91" i="59"/>
  <c r="AF91" i="59"/>
  <c r="AE91" i="59"/>
  <c r="AD91" i="59"/>
  <c r="AC91" i="59"/>
  <c r="AB91" i="59"/>
  <c r="AA91" i="59"/>
  <c r="Z91" i="59"/>
  <c r="Y91" i="59"/>
  <c r="X91" i="59"/>
  <c r="W91" i="59"/>
  <c r="V91" i="59"/>
  <c r="U91" i="59"/>
  <c r="T91" i="59"/>
  <c r="AG90" i="59"/>
  <c r="AF90" i="59"/>
  <c r="AE90" i="59"/>
  <c r="AD90" i="59"/>
  <c r="AC90" i="59"/>
  <c r="AB90" i="59"/>
  <c r="AA90" i="59"/>
  <c r="Z90" i="59"/>
  <c r="Y90" i="59"/>
  <c r="X90" i="59"/>
  <c r="W90" i="59"/>
  <c r="V90" i="59"/>
  <c r="U90" i="59"/>
  <c r="T90" i="59"/>
  <c r="AG89" i="59"/>
  <c r="AF89" i="59"/>
  <c r="AE89" i="59"/>
  <c r="AD89" i="59"/>
  <c r="AC89" i="59"/>
  <c r="AB89" i="59"/>
  <c r="AA89" i="59"/>
  <c r="Z89" i="59"/>
  <c r="Y89" i="59"/>
  <c r="X89" i="59"/>
  <c r="W89" i="59"/>
  <c r="V89" i="59"/>
  <c r="U89" i="59"/>
  <c r="T89" i="59"/>
  <c r="AG88" i="59"/>
  <c r="AF88" i="59"/>
  <c r="AE88" i="59"/>
  <c r="AD88" i="59"/>
  <c r="AC88" i="59"/>
  <c r="AB88" i="59"/>
  <c r="AA88" i="59"/>
  <c r="Z88" i="59"/>
  <c r="Y88" i="59"/>
  <c r="X88" i="59"/>
  <c r="W88" i="59"/>
  <c r="V88" i="59"/>
  <c r="U88" i="59"/>
  <c r="T88" i="59"/>
  <c r="AG87" i="59"/>
  <c r="AF87" i="59"/>
  <c r="AE87" i="59"/>
  <c r="AD87" i="59"/>
  <c r="AC87" i="59"/>
  <c r="AB87" i="59"/>
  <c r="AA87" i="59"/>
  <c r="Z87" i="59"/>
  <c r="Y87" i="59"/>
  <c r="X87" i="59"/>
  <c r="W87" i="59"/>
  <c r="V87" i="59"/>
  <c r="U87" i="59"/>
  <c r="T87" i="59"/>
  <c r="AG86" i="59"/>
  <c r="AF86" i="59"/>
  <c r="AE86" i="59"/>
  <c r="AD86" i="59"/>
  <c r="AC86" i="59"/>
  <c r="AB86" i="59"/>
  <c r="AA86" i="59"/>
  <c r="Z86" i="59"/>
  <c r="Y86" i="59"/>
  <c r="X86" i="59"/>
  <c r="W86" i="59"/>
  <c r="V86" i="59"/>
  <c r="U86" i="59"/>
  <c r="T86" i="59"/>
  <c r="AG78" i="59"/>
  <c r="AF78" i="59"/>
  <c r="AE78" i="59"/>
  <c r="AD78" i="59"/>
  <c r="AC78" i="59"/>
  <c r="AB78" i="59"/>
  <c r="AA78" i="59"/>
  <c r="Z78" i="59"/>
  <c r="Y78" i="59"/>
  <c r="X78" i="59"/>
  <c r="W78" i="59"/>
  <c r="V78" i="59"/>
  <c r="U78" i="59"/>
  <c r="T78" i="59"/>
  <c r="AG67" i="59"/>
  <c r="AF67" i="59"/>
  <c r="AE67" i="59"/>
  <c r="AD67" i="59"/>
  <c r="AC67" i="59"/>
  <c r="AB67" i="59"/>
  <c r="AA67" i="59"/>
  <c r="Z67" i="59"/>
  <c r="Y67" i="59"/>
  <c r="X67" i="59"/>
  <c r="W67" i="59"/>
  <c r="V67" i="59"/>
  <c r="U67" i="59"/>
  <c r="T67" i="59"/>
  <c r="AG66" i="59"/>
  <c r="AF66" i="59"/>
  <c r="AE66" i="59"/>
  <c r="AD66" i="59"/>
  <c r="AC66" i="59"/>
  <c r="AB66" i="59"/>
  <c r="AA66" i="59"/>
  <c r="Z66" i="59"/>
  <c r="Y66" i="59"/>
  <c r="X66" i="59"/>
  <c r="W66" i="59"/>
  <c r="V66" i="59"/>
  <c r="U66" i="59"/>
  <c r="T66" i="59"/>
  <c r="AG65" i="59"/>
  <c r="AF65" i="59"/>
  <c r="AE65" i="59"/>
  <c r="AD65" i="59"/>
  <c r="AC65" i="59"/>
  <c r="AB65" i="59"/>
  <c r="AA65" i="59"/>
  <c r="Z65" i="59"/>
  <c r="Y65" i="59"/>
  <c r="X65" i="59"/>
  <c r="W65" i="59"/>
  <c r="V65" i="59"/>
  <c r="U65" i="59"/>
  <c r="T65" i="59"/>
  <c r="AG64" i="59"/>
  <c r="AF64" i="59"/>
  <c r="AE64" i="59"/>
  <c r="AD64" i="59"/>
  <c r="AC64" i="59"/>
  <c r="AB64" i="59"/>
  <c r="AA64" i="59"/>
  <c r="Z64" i="59"/>
  <c r="Y64" i="59"/>
  <c r="X64" i="59"/>
  <c r="W64" i="59"/>
  <c r="V64" i="59"/>
  <c r="U64" i="59"/>
  <c r="T64" i="59"/>
  <c r="AG63" i="59"/>
  <c r="AF63" i="59"/>
  <c r="AE63" i="59"/>
  <c r="AD63" i="59"/>
  <c r="AC63" i="59"/>
  <c r="AB63" i="59"/>
  <c r="AA63" i="59"/>
  <c r="Z63" i="59"/>
  <c r="Y63" i="59"/>
  <c r="X63" i="59"/>
  <c r="W63" i="59"/>
  <c r="V63" i="59"/>
  <c r="U63" i="59"/>
  <c r="T63" i="59"/>
  <c r="AG62" i="59"/>
  <c r="AF62" i="59"/>
  <c r="AE62" i="59"/>
  <c r="AD62" i="59"/>
  <c r="AC62" i="59"/>
  <c r="AB62" i="59"/>
  <c r="AA62" i="59"/>
  <c r="Z62" i="59"/>
  <c r="Y62" i="59"/>
  <c r="X62" i="59"/>
  <c r="W62" i="59"/>
  <c r="V62" i="59"/>
  <c r="U62" i="59"/>
  <c r="T62" i="59"/>
  <c r="AG61" i="59"/>
  <c r="AF61" i="59"/>
  <c r="AE61" i="59"/>
  <c r="AD61" i="59"/>
  <c r="AC61" i="59"/>
  <c r="AB61" i="59"/>
  <c r="AA61" i="59"/>
  <c r="Z61" i="59"/>
  <c r="Y61" i="59"/>
  <c r="X61" i="59"/>
  <c r="W61" i="59"/>
  <c r="V61" i="59"/>
  <c r="U61" i="59"/>
  <c r="T61" i="59"/>
  <c r="AG60" i="59"/>
  <c r="AF60" i="59"/>
  <c r="AE60" i="59"/>
  <c r="AD60" i="59"/>
  <c r="AC60" i="59"/>
  <c r="AB60" i="59"/>
  <c r="AA60" i="59"/>
  <c r="Z60" i="59"/>
  <c r="Y60" i="59"/>
  <c r="X60" i="59"/>
  <c r="W60" i="59"/>
  <c r="V60" i="59"/>
  <c r="U60" i="59"/>
  <c r="T60" i="59"/>
  <c r="AG59" i="59"/>
  <c r="AF59" i="59"/>
  <c r="AE59" i="59"/>
  <c r="AD59" i="59"/>
  <c r="AC59" i="59"/>
  <c r="AB59" i="59"/>
  <c r="AA59" i="59"/>
  <c r="Z59" i="59"/>
  <c r="Y59" i="59"/>
  <c r="X59" i="59"/>
  <c r="W59" i="59"/>
  <c r="V59" i="59"/>
  <c r="U59" i="59"/>
  <c r="T59" i="59"/>
  <c r="P107" i="59"/>
  <c r="O107" i="59"/>
  <c r="N107" i="59"/>
  <c r="M107" i="59"/>
  <c r="L107" i="59"/>
  <c r="K107" i="59"/>
  <c r="J107" i="59"/>
  <c r="I107" i="59"/>
  <c r="H107" i="59"/>
  <c r="G107" i="59"/>
  <c r="F107" i="59"/>
  <c r="E107" i="59"/>
  <c r="D107" i="59"/>
  <c r="C107" i="59"/>
  <c r="B107" i="59"/>
  <c r="AG51" i="59"/>
  <c r="AF51" i="59"/>
  <c r="AE51" i="59"/>
  <c r="AD51" i="59"/>
  <c r="AC51" i="59"/>
  <c r="AB51" i="59"/>
  <c r="AA51" i="59"/>
  <c r="Z51" i="59"/>
  <c r="Y51" i="59"/>
  <c r="X51" i="59"/>
  <c r="W51" i="59"/>
  <c r="V51" i="59"/>
  <c r="U51" i="59"/>
  <c r="T51" i="59"/>
  <c r="T24" i="59"/>
  <c r="AG40" i="59"/>
  <c r="AF40" i="59"/>
  <c r="AE40" i="59"/>
  <c r="AD40" i="59"/>
  <c r="AC40" i="59"/>
  <c r="AB40" i="59"/>
  <c r="AA40" i="59"/>
  <c r="Z40" i="59"/>
  <c r="Y40" i="59"/>
  <c r="X40" i="59"/>
  <c r="W40" i="59"/>
  <c r="V40" i="59"/>
  <c r="U40" i="59"/>
  <c r="T40" i="59"/>
  <c r="AG39" i="59"/>
  <c r="AF39" i="59"/>
  <c r="AE39" i="59"/>
  <c r="AD39" i="59"/>
  <c r="AC39" i="59"/>
  <c r="AB39" i="59"/>
  <c r="AA39" i="59"/>
  <c r="Z39" i="59"/>
  <c r="Y39" i="59"/>
  <c r="X39" i="59"/>
  <c r="W39" i="59"/>
  <c r="V39" i="59"/>
  <c r="U39" i="59"/>
  <c r="T39" i="59"/>
  <c r="AG38" i="59"/>
  <c r="AF38" i="59"/>
  <c r="AE38" i="59"/>
  <c r="AD38" i="59"/>
  <c r="AC38" i="59"/>
  <c r="AB38" i="59"/>
  <c r="AA38" i="59"/>
  <c r="Z38" i="59"/>
  <c r="Y38" i="59"/>
  <c r="X38" i="59"/>
  <c r="W38" i="59"/>
  <c r="V38" i="59"/>
  <c r="U38" i="59"/>
  <c r="T38" i="59"/>
  <c r="AG37" i="59"/>
  <c r="AF37" i="59"/>
  <c r="AE37" i="59"/>
  <c r="AD37" i="59"/>
  <c r="AC37" i="59"/>
  <c r="AB37" i="59"/>
  <c r="AA37" i="59"/>
  <c r="Z37" i="59"/>
  <c r="Y37" i="59"/>
  <c r="X37" i="59"/>
  <c r="W37" i="59"/>
  <c r="V37" i="59"/>
  <c r="U37" i="59"/>
  <c r="T37" i="59"/>
  <c r="AG36" i="59"/>
  <c r="AF36" i="59"/>
  <c r="AE36" i="59"/>
  <c r="AD36" i="59"/>
  <c r="AC36" i="59"/>
  <c r="AB36" i="59"/>
  <c r="AA36" i="59"/>
  <c r="Z36" i="59"/>
  <c r="Y36" i="59"/>
  <c r="X36" i="59"/>
  <c r="W36" i="59"/>
  <c r="V36" i="59"/>
  <c r="U36" i="59"/>
  <c r="T36" i="59"/>
  <c r="AG35" i="59"/>
  <c r="AF35" i="59"/>
  <c r="AE35" i="59"/>
  <c r="AD35" i="59"/>
  <c r="AC35" i="59"/>
  <c r="AB35" i="59"/>
  <c r="AA35" i="59"/>
  <c r="Z35" i="59"/>
  <c r="Y35" i="59"/>
  <c r="X35" i="59"/>
  <c r="W35" i="59"/>
  <c r="V35" i="59"/>
  <c r="U35" i="59"/>
  <c r="T35" i="59"/>
  <c r="AG34" i="59"/>
  <c r="AF34" i="59"/>
  <c r="AE34" i="59"/>
  <c r="AD34" i="59"/>
  <c r="AC34" i="59"/>
  <c r="AB34" i="59"/>
  <c r="AA34" i="59"/>
  <c r="Z34" i="59"/>
  <c r="Y34" i="59"/>
  <c r="X34" i="59"/>
  <c r="W34" i="59"/>
  <c r="V34" i="59"/>
  <c r="U34" i="59"/>
  <c r="T34" i="59"/>
  <c r="AG33" i="59"/>
  <c r="AF33" i="59"/>
  <c r="AE33" i="59"/>
  <c r="AD33" i="59"/>
  <c r="AC33" i="59"/>
  <c r="AB33" i="59"/>
  <c r="AA33" i="59"/>
  <c r="Z33" i="59"/>
  <c r="Y33" i="59"/>
  <c r="X33" i="59"/>
  <c r="W33" i="59"/>
  <c r="V33" i="59"/>
  <c r="U33" i="59"/>
  <c r="T33" i="59"/>
  <c r="AG32" i="59"/>
  <c r="AF32" i="59"/>
  <c r="AE32" i="59"/>
  <c r="AD32" i="59"/>
  <c r="AC32" i="59"/>
  <c r="AB32" i="59"/>
  <c r="AA32" i="59"/>
  <c r="Z32" i="59"/>
  <c r="Y32" i="59"/>
  <c r="X32" i="59"/>
  <c r="W32" i="59"/>
  <c r="V32" i="59"/>
  <c r="U32" i="59"/>
  <c r="T32" i="59"/>
  <c r="U5" i="59"/>
  <c r="V5" i="59"/>
  <c r="W5" i="59"/>
  <c r="X5" i="59"/>
  <c r="Y5" i="59"/>
  <c r="Z5" i="59"/>
  <c r="AA5" i="59"/>
  <c r="AB5" i="59"/>
  <c r="AC5" i="59"/>
  <c r="AD5" i="59"/>
  <c r="AE5" i="59"/>
  <c r="AF5" i="59"/>
  <c r="AG5" i="59"/>
  <c r="U6" i="59"/>
  <c r="V6" i="59"/>
  <c r="W6" i="59"/>
  <c r="X6" i="59"/>
  <c r="Y6" i="59"/>
  <c r="Z6" i="59"/>
  <c r="AA6" i="59"/>
  <c r="AB6" i="59"/>
  <c r="AC6" i="59"/>
  <c r="AD6" i="59"/>
  <c r="AE6" i="59"/>
  <c r="AF6" i="59"/>
  <c r="AG6" i="59"/>
  <c r="U7" i="59"/>
  <c r="V7" i="59"/>
  <c r="W7" i="59"/>
  <c r="X7" i="59"/>
  <c r="Y7" i="59"/>
  <c r="Z7" i="59"/>
  <c r="AA7" i="59"/>
  <c r="AB7" i="59"/>
  <c r="AC7" i="59"/>
  <c r="AD7" i="59"/>
  <c r="AE7" i="59"/>
  <c r="AF7" i="59"/>
  <c r="AG7" i="59"/>
  <c r="U8" i="59"/>
  <c r="V8" i="59"/>
  <c r="W8" i="59"/>
  <c r="X8" i="59"/>
  <c r="Y8" i="59"/>
  <c r="Z8" i="59"/>
  <c r="AA8" i="59"/>
  <c r="AB8" i="59"/>
  <c r="AC8" i="59"/>
  <c r="AD8" i="59"/>
  <c r="AE8" i="59"/>
  <c r="AF8" i="59"/>
  <c r="AG8" i="59"/>
  <c r="U9" i="59"/>
  <c r="V9" i="59"/>
  <c r="W9" i="59"/>
  <c r="X9" i="59"/>
  <c r="Y9" i="59"/>
  <c r="Z9" i="59"/>
  <c r="AA9" i="59"/>
  <c r="AB9" i="59"/>
  <c r="AC9" i="59"/>
  <c r="AD9" i="59"/>
  <c r="AE9" i="59"/>
  <c r="AF9" i="59"/>
  <c r="AG9" i="59"/>
  <c r="U10" i="59"/>
  <c r="V10" i="59"/>
  <c r="W10" i="59"/>
  <c r="X10" i="59"/>
  <c r="Y10" i="59"/>
  <c r="Z10" i="59"/>
  <c r="AA10" i="59"/>
  <c r="AB10" i="59"/>
  <c r="AC10" i="59"/>
  <c r="AD10" i="59"/>
  <c r="AE10" i="59"/>
  <c r="AF10" i="59"/>
  <c r="AG10" i="59"/>
  <c r="U11" i="59"/>
  <c r="V11" i="59"/>
  <c r="W11" i="59"/>
  <c r="X11" i="59"/>
  <c r="Y11" i="59"/>
  <c r="Z11" i="59"/>
  <c r="AA11" i="59"/>
  <c r="AB11" i="59"/>
  <c r="AC11" i="59"/>
  <c r="AD11" i="59"/>
  <c r="AE11" i="59"/>
  <c r="AF11" i="59"/>
  <c r="AG11" i="59"/>
  <c r="U12" i="59"/>
  <c r="V12" i="59"/>
  <c r="W12" i="59"/>
  <c r="X12" i="59"/>
  <c r="Y12" i="59"/>
  <c r="Z12" i="59"/>
  <c r="AA12" i="59"/>
  <c r="AB12" i="59"/>
  <c r="AC12" i="59"/>
  <c r="AD12" i="59"/>
  <c r="AE12" i="59"/>
  <c r="AF12" i="59"/>
  <c r="AG12" i="59"/>
  <c r="U13" i="59"/>
  <c r="V13" i="59"/>
  <c r="W13" i="59"/>
  <c r="X13" i="59"/>
  <c r="Y13" i="59"/>
  <c r="Z13" i="59"/>
  <c r="AA13" i="59"/>
  <c r="AB13" i="59"/>
  <c r="AC13" i="59"/>
  <c r="AD13" i="59"/>
  <c r="AE13" i="59"/>
  <c r="AF13" i="59"/>
  <c r="AG13" i="59"/>
  <c r="U24" i="59"/>
  <c r="V24" i="59"/>
  <c r="W24" i="59"/>
  <c r="X24" i="59"/>
  <c r="Y24" i="59"/>
  <c r="Z24" i="59"/>
  <c r="AA24" i="59"/>
  <c r="AB24" i="59"/>
  <c r="AC24" i="59"/>
  <c r="AD24" i="59"/>
  <c r="AE24" i="59"/>
  <c r="AF24" i="59"/>
  <c r="AG24" i="59"/>
  <c r="T6" i="59"/>
  <c r="T7" i="59"/>
  <c r="T8" i="59"/>
  <c r="T9" i="59"/>
  <c r="T10" i="59"/>
  <c r="T11" i="59"/>
  <c r="T12" i="59"/>
  <c r="T13" i="59"/>
  <c r="AQ23" i="59"/>
  <c r="AM4" i="59"/>
  <c r="AL31" i="59"/>
  <c r="AQ31" i="59" s="1"/>
  <c r="AP32" i="59"/>
  <c r="AP31" i="59"/>
  <c r="AL23" i="59"/>
  <c r="T5" i="59"/>
  <c r="AV7" i="53"/>
  <c r="AX7" i="53"/>
  <c r="AY7" i="53"/>
  <c r="AZ7" i="53"/>
  <c r="BA7" i="53"/>
  <c r="BB7" i="53"/>
  <c r="BC7" i="53"/>
  <c r="BD7" i="53"/>
  <c r="BE7" i="53"/>
  <c r="BF7" i="53"/>
  <c r="BG7" i="53"/>
  <c r="BH7" i="53"/>
  <c r="BI7" i="53"/>
  <c r="BJ7" i="53"/>
  <c r="BK7" i="53"/>
  <c r="BL7" i="53"/>
  <c r="BM7" i="53"/>
  <c r="AV8" i="53"/>
  <c r="AW8" i="53"/>
  <c r="AY8" i="53"/>
  <c r="AZ8" i="53"/>
  <c r="BA8" i="53"/>
  <c r="BB8" i="53"/>
  <c r="BC8" i="53"/>
  <c r="BD8" i="53"/>
  <c r="BE8" i="53"/>
  <c r="BF8" i="53"/>
  <c r="BG8" i="53"/>
  <c r="BH8" i="53"/>
  <c r="BI8" i="53"/>
  <c r="BJ8" i="53"/>
  <c r="BK8" i="53"/>
  <c r="BL8" i="53"/>
  <c r="BM8" i="53"/>
  <c r="AV9" i="53"/>
  <c r="AW9" i="53"/>
  <c r="AX9" i="53"/>
  <c r="AZ9" i="53"/>
  <c r="BA9" i="53"/>
  <c r="BB9" i="53"/>
  <c r="BC9" i="53"/>
  <c r="BD9" i="53"/>
  <c r="BE9" i="53"/>
  <c r="BF9" i="53"/>
  <c r="BG9" i="53"/>
  <c r="BH9" i="53"/>
  <c r="BI9" i="53"/>
  <c r="BJ9" i="53"/>
  <c r="BK9" i="53"/>
  <c r="BL9" i="53"/>
  <c r="BM9" i="53"/>
  <c r="AV10" i="53"/>
  <c r="AW10" i="53"/>
  <c r="AX10" i="53"/>
  <c r="AY10" i="53"/>
  <c r="BA10" i="53"/>
  <c r="BB10" i="53"/>
  <c r="BC10" i="53"/>
  <c r="BD10" i="53"/>
  <c r="BE10" i="53"/>
  <c r="BF10" i="53"/>
  <c r="BG10" i="53"/>
  <c r="BH10" i="53"/>
  <c r="BI10" i="53"/>
  <c r="BJ10" i="53"/>
  <c r="BK10" i="53"/>
  <c r="BL10" i="53"/>
  <c r="BM10" i="53"/>
  <c r="AV11" i="53"/>
  <c r="AW11" i="53"/>
  <c r="AX11" i="53"/>
  <c r="AY11" i="53"/>
  <c r="AZ11" i="53"/>
  <c r="BB11" i="53"/>
  <c r="BC11" i="53"/>
  <c r="BD11" i="53"/>
  <c r="BE11" i="53"/>
  <c r="BF11" i="53"/>
  <c r="BG11" i="53"/>
  <c r="BH11" i="53"/>
  <c r="BI11" i="53"/>
  <c r="BJ11" i="53"/>
  <c r="BK11" i="53"/>
  <c r="BL11" i="53"/>
  <c r="BM11" i="53"/>
  <c r="AV12" i="53"/>
  <c r="AW12" i="53"/>
  <c r="AX12" i="53"/>
  <c r="AY12" i="53"/>
  <c r="AZ12" i="53"/>
  <c r="BA12" i="53"/>
  <c r="BC12" i="53"/>
  <c r="BD12" i="53"/>
  <c r="BE12" i="53"/>
  <c r="BF12" i="53"/>
  <c r="BG12" i="53"/>
  <c r="BH12" i="53"/>
  <c r="BI12" i="53"/>
  <c r="BJ12" i="53"/>
  <c r="BK12" i="53"/>
  <c r="BL12" i="53"/>
  <c r="BM12" i="53"/>
  <c r="AV13" i="53"/>
  <c r="AW13" i="53"/>
  <c r="AX13" i="53"/>
  <c r="AY13" i="53"/>
  <c r="AZ13" i="53"/>
  <c r="BA13" i="53"/>
  <c r="BB13" i="53"/>
  <c r="BD13" i="53"/>
  <c r="BE13" i="53"/>
  <c r="BF13" i="53"/>
  <c r="BG13" i="53"/>
  <c r="BH13" i="53"/>
  <c r="BI13" i="53"/>
  <c r="BJ13" i="53"/>
  <c r="BK13" i="53"/>
  <c r="BL13" i="53"/>
  <c r="BM13" i="53"/>
  <c r="AV14" i="53"/>
  <c r="AW14" i="53"/>
  <c r="AX14" i="53"/>
  <c r="AY14" i="53"/>
  <c r="AZ14" i="53"/>
  <c r="BA14" i="53"/>
  <c r="BB14" i="53"/>
  <c r="BC14" i="53"/>
  <c r="BE14" i="53"/>
  <c r="BF14" i="53"/>
  <c r="BG14" i="53"/>
  <c r="BH14" i="53"/>
  <c r="BI14" i="53"/>
  <c r="BJ14" i="53"/>
  <c r="BK14" i="53"/>
  <c r="BL14" i="53"/>
  <c r="BM14" i="53"/>
  <c r="AV15" i="53"/>
  <c r="AW15" i="53"/>
  <c r="AX15" i="53"/>
  <c r="AY15" i="53"/>
  <c r="AZ15" i="53"/>
  <c r="BA15" i="53"/>
  <c r="BB15" i="53"/>
  <c r="BC15" i="53"/>
  <c r="BD15" i="53"/>
  <c r="BF15" i="53"/>
  <c r="BG15" i="53"/>
  <c r="BH15" i="53"/>
  <c r="BI15" i="53"/>
  <c r="BJ15" i="53"/>
  <c r="BK15" i="53"/>
  <c r="BL15" i="53"/>
  <c r="BM15" i="53"/>
  <c r="AV16" i="53"/>
  <c r="AW16" i="53"/>
  <c r="AX16" i="53"/>
  <c r="AY16" i="53"/>
  <c r="AZ16" i="53"/>
  <c r="BA16" i="53"/>
  <c r="BB16" i="53"/>
  <c r="BC16" i="53"/>
  <c r="BD16" i="53"/>
  <c r="BE16" i="53"/>
  <c r="BG16" i="53"/>
  <c r="BH16" i="53"/>
  <c r="BI16" i="53"/>
  <c r="BJ16" i="53"/>
  <c r="BK16" i="53"/>
  <c r="BL16" i="53"/>
  <c r="BM16" i="53"/>
  <c r="AV17" i="53"/>
  <c r="AW17" i="53"/>
  <c r="AX17" i="53"/>
  <c r="AY17" i="53"/>
  <c r="AZ17" i="53"/>
  <c r="BA17" i="53"/>
  <c r="BB17" i="53"/>
  <c r="BC17" i="53"/>
  <c r="BD17" i="53"/>
  <c r="BE17" i="53"/>
  <c r="BF17" i="53"/>
  <c r="BH17" i="53"/>
  <c r="BI17" i="53"/>
  <c r="BJ17" i="53"/>
  <c r="BK17" i="53"/>
  <c r="BL17" i="53"/>
  <c r="BM17" i="53"/>
  <c r="AV18" i="53"/>
  <c r="AW18" i="53"/>
  <c r="AX18" i="53"/>
  <c r="AY18" i="53"/>
  <c r="AZ18" i="53"/>
  <c r="BA18" i="53"/>
  <c r="BB18" i="53"/>
  <c r="BC18" i="53"/>
  <c r="BD18" i="53"/>
  <c r="BE18" i="53"/>
  <c r="BF18" i="53"/>
  <c r="BG18" i="53"/>
  <c r="BI18" i="53"/>
  <c r="BJ18" i="53"/>
  <c r="BK18" i="53"/>
  <c r="BL18" i="53"/>
  <c r="BM18" i="53"/>
  <c r="AV19" i="53"/>
  <c r="AW19" i="53"/>
  <c r="AX19" i="53"/>
  <c r="AY19" i="53"/>
  <c r="AZ19" i="53"/>
  <c r="BA19" i="53"/>
  <c r="BB19" i="53"/>
  <c r="BC19" i="53"/>
  <c r="BD19" i="53"/>
  <c r="BE19" i="53"/>
  <c r="BF19" i="53"/>
  <c r="BG19" i="53"/>
  <c r="BH19" i="53"/>
  <c r="BJ19" i="53"/>
  <c r="BK19" i="53"/>
  <c r="BL19" i="53"/>
  <c r="BM19" i="53"/>
  <c r="AV20" i="53"/>
  <c r="AW20" i="53"/>
  <c r="AX20" i="53"/>
  <c r="AY20" i="53"/>
  <c r="AZ20" i="53"/>
  <c r="BA20" i="53"/>
  <c r="BB20" i="53"/>
  <c r="BC20" i="53"/>
  <c r="BD20" i="53"/>
  <c r="BE20" i="53"/>
  <c r="BF20" i="53"/>
  <c r="BG20" i="53"/>
  <c r="BH20" i="53"/>
  <c r="BI20" i="53"/>
  <c r="BK20" i="53"/>
  <c r="BL20" i="53"/>
  <c r="BM20" i="53"/>
  <c r="AV21" i="53"/>
  <c r="AW21" i="53"/>
  <c r="AX21" i="53"/>
  <c r="AY21" i="53"/>
  <c r="AZ21" i="53"/>
  <c r="BA21" i="53"/>
  <c r="BB21" i="53"/>
  <c r="BC21" i="53"/>
  <c r="BD21" i="53"/>
  <c r="BE21" i="53"/>
  <c r="BF21" i="53"/>
  <c r="BG21" i="53"/>
  <c r="BH21" i="53"/>
  <c r="BI21" i="53"/>
  <c r="BJ21" i="53"/>
  <c r="BL21" i="53"/>
  <c r="BM21" i="53"/>
  <c r="AV22" i="53"/>
  <c r="AW22" i="53"/>
  <c r="AX22" i="53"/>
  <c r="AY22" i="53"/>
  <c r="AZ22" i="53"/>
  <c r="BA22" i="53"/>
  <c r="BB22" i="53"/>
  <c r="BC22" i="53"/>
  <c r="BD22" i="53"/>
  <c r="BE22" i="53"/>
  <c r="BF22" i="53"/>
  <c r="BG22" i="53"/>
  <c r="BH22" i="53"/>
  <c r="BI22" i="53"/>
  <c r="BJ22" i="53"/>
  <c r="BK22" i="53"/>
  <c r="BM22" i="53"/>
  <c r="AV23" i="53"/>
  <c r="AW23" i="53"/>
  <c r="AX23" i="53"/>
  <c r="AY23" i="53"/>
  <c r="AZ23" i="53"/>
  <c r="BA23" i="53"/>
  <c r="BB23" i="53"/>
  <c r="BC23" i="53"/>
  <c r="BD23" i="53"/>
  <c r="BE23" i="53"/>
  <c r="BF23" i="53"/>
  <c r="BG23" i="53"/>
  <c r="BH23" i="53"/>
  <c r="BI23" i="53"/>
  <c r="BJ23" i="53"/>
  <c r="BK23" i="53"/>
  <c r="BL23" i="53"/>
  <c r="AW6" i="53"/>
  <c r="AX6" i="53"/>
  <c r="AY6" i="53"/>
  <c r="AZ6" i="53"/>
  <c r="BA6" i="53"/>
  <c r="BB6" i="53"/>
  <c r="BC6" i="53"/>
  <c r="BD6" i="53"/>
  <c r="BE6" i="53"/>
  <c r="BF6" i="53"/>
  <c r="BG6" i="53"/>
  <c r="BH6" i="53"/>
  <c r="BI6" i="53"/>
  <c r="BJ6" i="53"/>
  <c r="BK6" i="53"/>
  <c r="BL6" i="53"/>
  <c r="BM6" i="53"/>
  <c r="E61" i="52"/>
  <c r="E62" i="52"/>
  <c r="E63" i="52"/>
  <c r="E64" i="52"/>
  <c r="E65" i="52"/>
  <c r="E66" i="52"/>
  <c r="E67" i="52"/>
  <c r="E68" i="52"/>
  <c r="E69" i="52"/>
  <c r="E70" i="52"/>
  <c r="E71" i="52"/>
  <c r="D72" i="52"/>
  <c r="E72" i="52"/>
  <c r="E73" i="52"/>
  <c r="E74" i="52"/>
  <c r="E75" i="52"/>
  <c r="E76" i="52"/>
  <c r="E77" i="52"/>
  <c r="E79" i="52"/>
  <c r="E60" i="52"/>
  <c r="E43" i="52"/>
  <c r="E40" i="52"/>
  <c r="E39" i="52"/>
  <c r="D33" i="52"/>
  <c r="E33" i="52" s="1"/>
  <c r="D34" i="52"/>
  <c r="E34" i="52" s="1"/>
  <c r="D35" i="52"/>
  <c r="E35" i="52" s="1"/>
  <c r="D36" i="52"/>
  <c r="E36" i="52" s="1"/>
  <c r="D37" i="52"/>
  <c r="E37" i="52" s="1"/>
  <c r="D38" i="52"/>
  <c r="E38" i="52" s="1"/>
  <c r="D39" i="52"/>
  <c r="D40" i="52"/>
  <c r="D41" i="52"/>
  <c r="D42" i="52"/>
  <c r="D43" i="52"/>
  <c r="D44" i="52"/>
  <c r="E44" i="52" s="1"/>
  <c r="D45" i="52"/>
  <c r="E45" i="52" s="1"/>
  <c r="D46" i="52"/>
  <c r="E46" i="52" s="1"/>
  <c r="D47" i="52"/>
  <c r="E47" i="52" s="1"/>
  <c r="D48" i="52"/>
  <c r="E48" i="52" s="1"/>
  <c r="D49" i="52"/>
  <c r="E49" i="52" s="1"/>
  <c r="D51" i="52"/>
  <c r="E51" i="52" s="1"/>
  <c r="D32" i="52"/>
  <c r="C33" i="52"/>
  <c r="C34" i="52"/>
  <c r="C35" i="52"/>
  <c r="C36" i="52"/>
  <c r="C37" i="52"/>
  <c r="C38" i="52"/>
  <c r="C39" i="52"/>
  <c r="C40" i="52"/>
  <c r="C41" i="52"/>
  <c r="E41" i="52" s="1"/>
  <c r="C42" i="52"/>
  <c r="E42" i="52" s="1"/>
  <c r="C43" i="52"/>
  <c r="C44" i="52"/>
  <c r="C45" i="52"/>
  <c r="C46" i="52"/>
  <c r="C47" i="52"/>
  <c r="C48" i="52"/>
  <c r="C49" i="52"/>
  <c r="C51" i="52"/>
  <c r="C32" i="52"/>
  <c r="E32" i="52" s="1"/>
  <c r="C6" i="52"/>
  <c r="D6" i="52"/>
  <c r="C7" i="52"/>
  <c r="E7" i="52" s="1"/>
  <c r="D62" i="52" s="1"/>
  <c r="D7" i="52"/>
  <c r="C8" i="52"/>
  <c r="E8" i="52" s="1"/>
  <c r="D63" i="52" s="1"/>
  <c r="D8" i="52"/>
  <c r="C9" i="52"/>
  <c r="E9" i="52" s="1"/>
  <c r="D64" i="52" s="1"/>
  <c r="D9" i="52"/>
  <c r="C10" i="52"/>
  <c r="D10" i="52"/>
  <c r="C11" i="52"/>
  <c r="D11" i="52"/>
  <c r="C12" i="52"/>
  <c r="D12" i="52"/>
  <c r="E12" i="52" s="1"/>
  <c r="D67" i="52" s="1"/>
  <c r="C13" i="52"/>
  <c r="E13" i="52" s="1"/>
  <c r="D68" i="52" s="1"/>
  <c r="D13" i="52"/>
  <c r="C14" i="52"/>
  <c r="D14" i="52"/>
  <c r="E14" i="52" s="1"/>
  <c r="D69" i="52" s="1"/>
  <c r="C15" i="52"/>
  <c r="D15" i="52"/>
  <c r="C16" i="52"/>
  <c r="E16" i="52" s="1"/>
  <c r="D71" i="52" s="1"/>
  <c r="D16" i="52"/>
  <c r="C17" i="52"/>
  <c r="D17" i="52"/>
  <c r="E17" i="52" s="1"/>
  <c r="C18" i="52"/>
  <c r="D18" i="52"/>
  <c r="C19" i="52"/>
  <c r="D19" i="52"/>
  <c r="C20" i="52"/>
  <c r="E20" i="52" s="1"/>
  <c r="D75" i="52" s="1"/>
  <c r="D20" i="52"/>
  <c r="C21" i="52"/>
  <c r="E21" i="52" s="1"/>
  <c r="D76" i="52" s="1"/>
  <c r="D21" i="52"/>
  <c r="C22" i="52"/>
  <c r="D22" i="52"/>
  <c r="C24" i="52"/>
  <c r="E24" i="52" s="1"/>
  <c r="D79" i="52" s="1"/>
  <c r="D24" i="52"/>
  <c r="D5" i="52"/>
  <c r="AR25" i="55"/>
  <c r="AQ25" i="55"/>
  <c r="AP25" i="55"/>
  <c r="AO25" i="55"/>
  <c r="AN25" i="55"/>
  <c r="AM25" i="55"/>
  <c r="AL25" i="55"/>
  <c r="AK25" i="55"/>
  <c r="AJ25" i="55"/>
  <c r="AI25" i="55"/>
  <c r="AH25" i="55"/>
  <c r="AG25" i="55"/>
  <c r="AF25" i="55"/>
  <c r="AE25" i="55"/>
  <c r="AD25" i="55"/>
  <c r="AC25" i="55"/>
  <c r="AB25" i="55"/>
  <c r="AA25" i="55"/>
  <c r="Z25" i="55"/>
  <c r="Y25" i="55"/>
  <c r="AR23" i="55"/>
  <c r="AQ23" i="55"/>
  <c r="AP23" i="55"/>
  <c r="AO23" i="55"/>
  <c r="AN23" i="55"/>
  <c r="AM23" i="55"/>
  <c r="AL23" i="55"/>
  <c r="AK23" i="55"/>
  <c r="AJ23" i="55"/>
  <c r="AI23" i="55"/>
  <c r="AH23" i="55"/>
  <c r="AG23" i="55"/>
  <c r="AF23" i="55"/>
  <c r="AE23" i="55"/>
  <c r="AD23" i="55"/>
  <c r="AC23" i="55"/>
  <c r="AB23" i="55"/>
  <c r="AA23" i="55"/>
  <c r="Z23" i="55"/>
  <c r="Y23" i="55"/>
  <c r="AR22" i="55"/>
  <c r="AQ22" i="55"/>
  <c r="AP22" i="55"/>
  <c r="AO22" i="55"/>
  <c r="AN22" i="55"/>
  <c r="AM22" i="55"/>
  <c r="AL22" i="55"/>
  <c r="AK22" i="55"/>
  <c r="AJ22" i="55"/>
  <c r="AI22" i="55"/>
  <c r="AH22" i="55"/>
  <c r="AG22" i="55"/>
  <c r="AF22" i="55"/>
  <c r="AE22" i="55"/>
  <c r="AD22" i="55"/>
  <c r="AC22" i="55"/>
  <c r="AB22" i="55"/>
  <c r="AA22" i="55"/>
  <c r="Z22" i="55"/>
  <c r="Y22" i="55"/>
  <c r="AR21" i="55"/>
  <c r="AQ21" i="55"/>
  <c r="AP21" i="55"/>
  <c r="AO21" i="55"/>
  <c r="AN21" i="55"/>
  <c r="AM21" i="55"/>
  <c r="AL21" i="55"/>
  <c r="AK21" i="55"/>
  <c r="AJ21" i="55"/>
  <c r="AI21" i="55"/>
  <c r="AH21" i="55"/>
  <c r="AG21" i="55"/>
  <c r="AF21" i="55"/>
  <c r="AE21" i="55"/>
  <c r="AD21" i="55"/>
  <c r="AC21" i="55"/>
  <c r="AB21" i="55"/>
  <c r="AA21" i="55"/>
  <c r="Z21" i="55"/>
  <c r="Y21" i="55"/>
  <c r="AR20" i="55"/>
  <c r="AQ20" i="55"/>
  <c r="AP20" i="55"/>
  <c r="AO20" i="55"/>
  <c r="AN20" i="55"/>
  <c r="AM20" i="55"/>
  <c r="AL20" i="55"/>
  <c r="AK20" i="55"/>
  <c r="AJ20" i="55"/>
  <c r="AI20" i="55"/>
  <c r="AH20" i="55"/>
  <c r="AG20" i="55"/>
  <c r="AF20" i="55"/>
  <c r="AE20" i="55"/>
  <c r="AD20" i="55"/>
  <c r="AC20" i="55"/>
  <c r="AB20" i="55"/>
  <c r="AA20" i="55"/>
  <c r="Z20" i="55"/>
  <c r="Y20" i="55"/>
  <c r="AR19" i="55"/>
  <c r="AQ19" i="55"/>
  <c r="AP19" i="55"/>
  <c r="AO19" i="55"/>
  <c r="AN19" i="55"/>
  <c r="AM19" i="55"/>
  <c r="AL19" i="55"/>
  <c r="AK19" i="55"/>
  <c r="AJ19" i="55"/>
  <c r="AI19" i="55"/>
  <c r="AH19" i="55"/>
  <c r="AG19" i="55"/>
  <c r="AF19" i="55"/>
  <c r="AE19" i="55"/>
  <c r="AD19" i="55"/>
  <c r="AC19" i="55"/>
  <c r="AB19" i="55"/>
  <c r="AA19" i="55"/>
  <c r="Z19" i="55"/>
  <c r="Y19" i="55"/>
  <c r="AR18" i="55"/>
  <c r="AQ18" i="55"/>
  <c r="AP18" i="55"/>
  <c r="AO18" i="55"/>
  <c r="AN18" i="55"/>
  <c r="AM18" i="55"/>
  <c r="AL18" i="55"/>
  <c r="AK18" i="55"/>
  <c r="AJ18" i="55"/>
  <c r="AI18" i="55"/>
  <c r="AH18" i="55"/>
  <c r="AG18" i="55"/>
  <c r="AF18" i="55"/>
  <c r="AE18" i="55"/>
  <c r="AD18" i="55"/>
  <c r="AC18" i="55"/>
  <c r="AB18" i="55"/>
  <c r="AA18" i="55"/>
  <c r="Z18" i="55"/>
  <c r="Y18" i="55"/>
  <c r="AR17" i="55"/>
  <c r="AQ17" i="55"/>
  <c r="AP17" i="55"/>
  <c r="AO17" i="55"/>
  <c r="AN17" i="55"/>
  <c r="AM17" i="55"/>
  <c r="AL17" i="55"/>
  <c r="AK17" i="55"/>
  <c r="AJ17" i="55"/>
  <c r="AI17" i="55"/>
  <c r="AH17" i="55"/>
  <c r="AG17" i="55"/>
  <c r="AF17" i="55"/>
  <c r="AE17" i="55"/>
  <c r="AD17" i="55"/>
  <c r="AC17" i="55"/>
  <c r="AB17" i="55"/>
  <c r="AA17" i="55"/>
  <c r="Z17" i="55"/>
  <c r="Y17" i="55"/>
  <c r="AR16" i="55"/>
  <c r="AQ16" i="55"/>
  <c r="AP16" i="55"/>
  <c r="AO16" i="55"/>
  <c r="AN16" i="55"/>
  <c r="AM16" i="55"/>
  <c r="AL16" i="55"/>
  <c r="AK16" i="55"/>
  <c r="AJ16" i="55"/>
  <c r="AI16" i="55"/>
  <c r="AH16" i="55"/>
  <c r="AG16" i="55"/>
  <c r="AF16" i="55"/>
  <c r="AE16" i="55"/>
  <c r="AD16" i="55"/>
  <c r="AC16" i="55"/>
  <c r="AB16" i="55"/>
  <c r="AA16" i="55"/>
  <c r="Z16" i="55"/>
  <c r="Y16" i="55"/>
  <c r="AR15" i="55"/>
  <c r="AQ15" i="55"/>
  <c r="AP15" i="55"/>
  <c r="AO15" i="55"/>
  <c r="AN15" i="55"/>
  <c r="AM15" i="55"/>
  <c r="AL15" i="55"/>
  <c r="AK15" i="55"/>
  <c r="AJ15" i="55"/>
  <c r="AI15" i="55"/>
  <c r="AH15" i="55"/>
  <c r="AG15" i="55"/>
  <c r="AF15" i="55"/>
  <c r="AE15" i="55"/>
  <c r="AD15" i="55"/>
  <c r="AC15" i="55"/>
  <c r="AB15" i="55"/>
  <c r="AA15" i="55"/>
  <c r="Z15" i="55"/>
  <c r="Y15" i="55"/>
  <c r="AR14" i="55"/>
  <c r="AQ14" i="55"/>
  <c r="AP14" i="55"/>
  <c r="AO14" i="55"/>
  <c r="AN14" i="55"/>
  <c r="AM14" i="55"/>
  <c r="AL14" i="55"/>
  <c r="AK14" i="55"/>
  <c r="AJ14" i="55"/>
  <c r="AI14" i="55"/>
  <c r="AH14" i="55"/>
  <c r="AG14" i="55"/>
  <c r="AF14" i="55"/>
  <c r="AE14" i="55"/>
  <c r="AD14" i="55"/>
  <c r="AC14" i="55"/>
  <c r="AB14" i="55"/>
  <c r="AA14" i="55"/>
  <c r="Z14" i="55"/>
  <c r="Y14" i="55"/>
  <c r="AR13" i="55"/>
  <c r="AQ13" i="55"/>
  <c r="AP13" i="55"/>
  <c r="AO13" i="55"/>
  <c r="AN13" i="55"/>
  <c r="AM13" i="55"/>
  <c r="AL13" i="55"/>
  <c r="AK13" i="55"/>
  <c r="AJ13" i="55"/>
  <c r="AI13" i="55"/>
  <c r="AH13" i="55"/>
  <c r="AG13" i="55"/>
  <c r="AF13" i="55"/>
  <c r="AE13" i="55"/>
  <c r="AD13" i="55"/>
  <c r="AC13" i="55"/>
  <c r="AB13" i="55"/>
  <c r="AA13" i="55"/>
  <c r="Z13" i="55"/>
  <c r="Y13" i="55"/>
  <c r="AR12" i="55"/>
  <c r="AQ12" i="55"/>
  <c r="AP12" i="55"/>
  <c r="AO12" i="55"/>
  <c r="AN12" i="55"/>
  <c r="AM12" i="55"/>
  <c r="AL12" i="55"/>
  <c r="AK12" i="55"/>
  <c r="AJ12" i="55"/>
  <c r="AI12" i="55"/>
  <c r="AH12" i="55"/>
  <c r="AG12" i="55"/>
  <c r="AF12" i="55"/>
  <c r="AE12" i="55"/>
  <c r="AD12" i="55"/>
  <c r="AC12" i="55"/>
  <c r="AB12" i="55"/>
  <c r="AA12" i="55"/>
  <c r="Z12" i="55"/>
  <c r="Y12" i="55"/>
  <c r="AR11" i="55"/>
  <c r="AQ11" i="55"/>
  <c r="AP11" i="55"/>
  <c r="AO11" i="55"/>
  <c r="AN11" i="55"/>
  <c r="AM11" i="55"/>
  <c r="AL11" i="55"/>
  <c r="AK11" i="55"/>
  <c r="AJ11" i="55"/>
  <c r="AI11" i="55"/>
  <c r="AH11" i="55"/>
  <c r="AG11" i="55"/>
  <c r="AF11" i="55"/>
  <c r="AE11" i="55"/>
  <c r="AD11" i="55"/>
  <c r="AC11" i="55"/>
  <c r="AB11" i="55"/>
  <c r="AA11" i="55"/>
  <c r="Z11" i="55"/>
  <c r="Y11" i="55"/>
  <c r="AR10" i="55"/>
  <c r="AQ10" i="55"/>
  <c r="AP10" i="55"/>
  <c r="AO10" i="55"/>
  <c r="AN10" i="55"/>
  <c r="AM10" i="55"/>
  <c r="AL10" i="55"/>
  <c r="AK10" i="55"/>
  <c r="AJ10" i="55"/>
  <c r="AI10" i="55"/>
  <c r="AH10" i="55"/>
  <c r="AG10" i="55"/>
  <c r="AF10" i="55"/>
  <c r="AE10" i="55"/>
  <c r="AD10" i="55"/>
  <c r="AC10" i="55"/>
  <c r="AB10" i="55"/>
  <c r="AA10" i="55"/>
  <c r="Z10" i="55"/>
  <c r="Y10" i="55"/>
  <c r="AR9" i="55"/>
  <c r="AQ9" i="55"/>
  <c r="AP9" i="55"/>
  <c r="AO9" i="55"/>
  <c r="AN9" i="55"/>
  <c r="AM9" i="55"/>
  <c r="AL9" i="55"/>
  <c r="AK9" i="55"/>
  <c r="AJ9" i="55"/>
  <c r="AI9" i="55"/>
  <c r="AH9" i="55"/>
  <c r="AG9" i="55"/>
  <c r="AF9" i="55"/>
  <c r="AE9" i="55"/>
  <c r="AD9" i="55"/>
  <c r="AC9" i="55"/>
  <c r="AB9" i="55"/>
  <c r="AA9" i="55"/>
  <c r="Z9" i="55"/>
  <c r="Y9" i="55"/>
  <c r="AR8" i="55"/>
  <c r="AQ8" i="55"/>
  <c r="AP8" i="55"/>
  <c r="AO8" i="55"/>
  <c r="AN8" i="55"/>
  <c r="AM8" i="55"/>
  <c r="AL8" i="55"/>
  <c r="AK8" i="55"/>
  <c r="AJ8" i="55"/>
  <c r="AI8" i="55"/>
  <c r="AH8" i="55"/>
  <c r="AG8" i="55"/>
  <c r="AF8" i="55"/>
  <c r="AE8" i="55"/>
  <c r="AD8" i="55"/>
  <c r="AC8" i="55"/>
  <c r="AB8" i="55"/>
  <c r="AA8" i="55"/>
  <c r="Z8" i="55"/>
  <c r="Y8" i="55"/>
  <c r="AR7" i="55"/>
  <c r="AQ7" i="55"/>
  <c r="AP7" i="55"/>
  <c r="AO7" i="55"/>
  <c r="AN7" i="55"/>
  <c r="AM7" i="55"/>
  <c r="AL7" i="55"/>
  <c r="AK7" i="55"/>
  <c r="AJ7" i="55"/>
  <c r="AI7" i="55"/>
  <c r="AH7" i="55"/>
  <c r="AG7" i="55"/>
  <c r="AF7" i="55"/>
  <c r="AE7" i="55"/>
  <c r="AD7" i="55"/>
  <c r="AC7" i="55"/>
  <c r="AB7" i="55"/>
  <c r="AA7" i="55"/>
  <c r="Z7" i="55"/>
  <c r="Y7" i="55"/>
  <c r="AR6" i="55"/>
  <c r="AQ6" i="55"/>
  <c r="AP6" i="55"/>
  <c r="AO6" i="55"/>
  <c r="AN6" i="55"/>
  <c r="AM6" i="55"/>
  <c r="AL6" i="55"/>
  <c r="AK6" i="55"/>
  <c r="AJ6" i="55"/>
  <c r="AI6" i="55"/>
  <c r="AH6" i="55"/>
  <c r="AG6" i="55"/>
  <c r="AF6" i="55"/>
  <c r="AE6" i="55"/>
  <c r="AD6" i="55"/>
  <c r="AC6" i="55"/>
  <c r="AB6" i="55"/>
  <c r="AA6" i="55"/>
  <c r="Z6" i="55"/>
  <c r="Y6" i="55"/>
  <c r="AR27" i="54"/>
  <c r="AQ27" i="54"/>
  <c r="AP27" i="54"/>
  <c r="AO27" i="54"/>
  <c r="AN27" i="54"/>
  <c r="AM27" i="54"/>
  <c r="AL27" i="54"/>
  <c r="AK27" i="54"/>
  <c r="AJ27" i="54"/>
  <c r="AI27" i="54"/>
  <c r="AH27" i="54"/>
  <c r="AG27" i="54"/>
  <c r="AF27" i="54"/>
  <c r="AE27" i="54"/>
  <c r="AD27" i="54"/>
  <c r="AC27" i="54"/>
  <c r="AB27" i="54"/>
  <c r="AA27" i="54"/>
  <c r="Z27" i="54"/>
  <c r="Y27" i="54"/>
  <c r="AR25" i="54"/>
  <c r="BD25" i="54" s="1"/>
  <c r="AQ25" i="54"/>
  <c r="AP25" i="54"/>
  <c r="AO25" i="54"/>
  <c r="AN25" i="54"/>
  <c r="AM25" i="54"/>
  <c r="AL25" i="54"/>
  <c r="AK25" i="54"/>
  <c r="AJ25" i="54"/>
  <c r="AI25" i="54"/>
  <c r="AH25" i="54"/>
  <c r="BJ25" i="54" s="1"/>
  <c r="AG25" i="54"/>
  <c r="AF25" i="54"/>
  <c r="BH25" i="54" s="1"/>
  <c r="AE25" i="54"/>
  <c r="AD25" i="54"/>
  <c r="AC25" i="54"/>
  <c r="AB25" i="54"/>
  <c r="AA25" i="54"/>
  <c r="Z25" i="54"/>
  <c r="Y25" i="54"/>
  <c r="AR24" i="54"/>
  <c r="BA24" i="54" s="1"/>
  <c r="AQ24" i="54"/>
  <c r="BS24" i="54" s="1"/>
  <c r="AP24" i="54"/>
  <c r="BR24" i="54" s="1"/>
  <c r="AO24" i="54"/>
  <c r="AN24" i="54"/>
  <c r="AM24" i="54"/>
  <c r="AL24" i="54"/>
  <c r="AK24" i="54"/>
  <c r="AJ24" i="54"/>
  <c r="AI24" i="54"/>
  <c r="AH24" i="54"/>
  <c r="AG24" i="54"/>
  <c r="AF24" i="54"/>
  <c r="BH24" i="54" s="1"/>
  <c r="AE24" i="54"/>
  <c r="BG24" i="54" s="1"/>
  <c r="AD24" i="54"/>
  <c r="BF24" i="54" s="1"/>
  <c r="AC24" i="54"/>
  <c r="AB24" i="54"/>
  <c r="AA24" i="54"/>
  <c r="Z24" i="54"/>
  <c r="Y24" i="54"/>
  <c r="AR23" i="54"/>
  <c r="AQ23" i="54"/>
  <c r="AP23" i="54"/>
  <c r="AO23" i="54"/>
  <c r="AN23" i="54"/>
  <c r="AM23" i="54"/>
  <c r="AL23" i="54"/>
  <c r="AK23" i="54"/>
  <c r="AJ23" i="54"/>
  <c r="AI23" i="54"/>
  <c r="AH23" i="54"/>
  <c r="AG23" i="54"/>
  <c r="AF23" i="54"/>
  <c r="BH23" i="54" s="1"/>
  <c r="AE23" i="54"/>
  <c r="AD23" i="54"/>
  <c r="AC23" i="54"/>
  <c r="AB23" i="54"/>
  <c r="AA23" i="54"/>
  <c r="Z23" i="54"/>
  <c r="Y23" i="54"/>
  <c r="AR22" i="54"/>
  <c r="AQ22" i="54"/>
  <c r="AP22" i="54"/>
  <c r="AO22" i="54"/>
  <c r="AN22" i="54"/>
  <c r="AM22" i="54"/>
  <c r="AL22" i="54"/>
  <c r="AK22" i="54"/>
  <c r="AJ22" i="54"/>
  <c r="AI22" i="54"/>
  <c r="AH22" i="54"/>
  <c r="AG22" i="54"/>
  <c r="AF22" i="54"/>
  <c r="BH22" i="54" s="1"/>
  <c r="AE22" i="54"/>
  <c r="AD22" i="54"/>
  <c r="AC22" i="54"/>
  <c r="AB22" i="54"/>
  <c r="AA22" i="54"/>
  <c r="Z22" i="54"/>
  <c r="Y22" i="54"/>
  <c r="BS21" i="54"/>
  <c r="BR21" i="54"/>
  <c r="BI21" i="54"/>
  <c r="BG21" i="54"/>
  <c r="AR21" i="54"/>
  <c r="AQ21" i="54"/>
  <c r="AP21" i="54"/>
  <c r="AO21" i="54"/>
  <c r="BQ21" i="54" s="1"/>
  <c r="AN21" i="54"/>
  <c r="BP21" i="54" s="1"/>
  <c r="AM21" i="54"/>
  <c r="BO21" i="54" s="1"/>
  <c r="AL21" i="54"/>
  <c r="BN21" i="54" s="1"/>
  <c r="AK21" i="54"/>
  <c r="BM21" i="54" s="1"/>
  <c r="AJ21" i="54"/>
  <c r="BL21" i="54" s="1"/>
  <c r="AI21" i="54"/>
  <c r="AH21" i="54"/>
  <c r="AG21" i="54"/>
  <c r="AF21" i="54"/>
  <c r="BH21" i="54" s="1"/>
  <c r="AE21" i="54"/>
  <c r="AD21" i="54"/>
  <c r="BF21" i="54" s="1"/>
  <c r="AC21" i="54"/>
  <c r="BE21" i="54" s="1"/>
  <c r="AB21" i="54"/>
  <c r="BD21" i="54" s="1"/>
  <c r="AA21" i="54"/>
  <c r="BC21" i="54" s="1"/>
  <c r="Z21" i="54"/>
  <c r="BB21" i="54" s="1"/>
  <c r="Y21" i="54"/>
  <c r="BA21" i="54" s="1"/>
  <c r="AR20" i="54"/>
  <c r="AQ20" i="54"/>
  <c r="AP20" i="54"/>
  <c r="AO20" i="54"/>
  <c r="AN20" i="54"/>
  <c r="AM20" i="54"/>
  <c r="AL20" i="54"/>
  <c r="AK20" i="54"/>
  <c r="AJ20" i="54"/>
  <c r="AI20" i="54"/>
  <c r="AH20" i="54"/>
  <c r="AG20" i="54"/>
  <c r="AF20" i="54"/>
  <c r="BH20" i="54" s="1"/>
  <c r="AE20" i="54"/>
  <c r="AD20" i="54"/>
  <c r="AC20" i="54"/>
  <c r="AB20" i="54"/>
  <c r="AA20" i="54"/>
  <c r="Z20" i="54"/>
  <c r="Y20" i="54"/>
  <c r="AR19" i="54"/>
  <c r="AQ19" i="54"/>
  <c r="AP19" i="54"/>
  <c r="AO19" i="54"/>
  <c r="AN19" i="54"/>
  <c r="AM19" i="54"/>
  <c r="AL19" i="54"/>
  <c r="AK19" i="54"/>
  <c r="AJ19" i="54"/>
  <c r="AI19" i="54"/>
  <c r="AH19" i="54"/>
  <c r="AG19" i="54"/>
  <c r="AF19" i="54"/>
  <c r="BH19" i="54" s="1"/>
  <c r="AE19" i="54"/>
  <c r="AD19" i="54"/>
  <c r="AC19" i="54"/>
  <c r="AB19" i="54"/>
  <c r="AA19" i="54"/>
  <c r="Z19" i="54"/>
  <c r="Y19" i="54"/>
  <c r="AR18" i="54"/>
  <c r="AQ18" i="54"/>
  <c r="AP18" i="54"/>
  <c r="AO18" i="54"/>
  <c r="AN18" i="54"/>
  <c r="AM18" i="54"/>
  <c r="AL18" i="54"/>
  <c r="AK18" i="54"/>
  <c r="AJ18" i="54"/>
  <c r="AI18" i="54"/>
  <c r="AH18" i="54"/>
  <c r="AG18" i="54"/>
  <c r="AF18" i="54"/>
  <c r="BH18" i="54" s="1"/>
  <c r="AE18" i="54"/>
  <c r="AD18" i="54"/>
  <c r="AC18" i="54"/>
  <c r="AB18" i="54"/>
  <c r="AA18" i="54"/>
  <c r="Z18" i="54"/>
  <c r="Y18" i="54"/>
  <c r="AR17" i="54"/>
  <c r="BC17" i="54" s="1"/>
  <c r="AQ17" i="54"/>
  <c r="AP17" i="54"/>
  <c r="AO17" i="54"/>
  <c r="AN17" i="54"/>
  <c r="AM17" i="54"/>
  <c r="AL17" i="54"/>
  <c r="AK17" i="54"/>
  <c r="AJ17" i="54"/>
  <c r="AI17" i="54"/>
  <c r="AH17" i="54"/>
  <c r="AG17" i="54"/>
  <c r="AF17" i="54"/>
  <c r="BH17" i="54" s="1"/>
  <c r="AE17" i="54"/>
  <c r="AD17" i="54"/>
  <c r="AC17" i="54"/>
  <c r="AB17" i="54"/>
  <c r="AA17" i="54"/>
  <c r="Z17" i="54"/>
  <c r="Y17" i="54"/>
  <c r="BQ16" i="54"/>
  <c r="BP16" i="54"/>
  <c r="BE16" i="54"/>
  <c r="BD16" i="54"/>
  <c r="AR16" i="54"/>
  <c r="AQ16" i="54"/>
  <c r="BS16" i="54" s="1"/>
  <c r="AP16" i="54"/>
  <c r="AO16" i="54"/>
  <c r="AN16" i="54"/>
  <c r="AM16" i="54"/>
  <c r="BO16" i="54" s="1"/>
  <c r="AL16" i="54"/>
  <c r="BN16" i="54" s="1"/>
  <c r="AK16" i="54"/>
  <c r="BM16" i="54" s="1"/>
  <c r="AJ16" i="54"/>
  <c r="BL16" i="54" s="1"/>
  <c r="AI16" i="54"/>
  <c r="BK16" i="54" s="1"/>
  <c r="AH16" i="54"/>
  <c r="BJ16" i="54" s="1"/>
  <c r="AG16" i="54"/>
  <c r="BI16" i="54" s="1"/>
  <c r="AF16" i="54"/>
  <c r="BH16" i="54" s="1"/>
  <c r="AE16" i="54"/>
  <c r="BG16" i="54" s="1"/>
  <c r="AD16" i="54"/>
  <c r="AC16" i="54"/>
  <c r="AB16" i="54"/>
  <c r="AA16" i="54"/>
  <c r="BC16" i="54" s="1"/>
  <c r="Z16" i="54"/>
  <c r="BB16" i="54" s="1"/>
  <c r="Y16" i="54"/>
  <c r="BA16" i="54" s="1"/>
  <c r="AR15" i="54"/>
  <c r="BJ15" i="54" s="1"/>
  <c r="AQ15" i="54"/>
  <c r="AP15" i="54"/>
  <c r="AO15" i="54"/>
  <c r="AN15" i="54"/>
  <c r="AM15" i="54"/>
  <c r="AL15" i="54"/>
  <c r="AK15" i="54"/>
  <c r="AJ15" i="54"/>
  <c r="AI15" i="54"/>
  <c r="AH15" i="54"/>
  <c r="AG15" i="54"/>
  <c r="AF15" i="54"/>
  <c r="BH15" i="54" s="1"/>
  <c r="AE15" i="54"/>
  <c r="AD15" i="54"/>
  <c r="AC15" i="54"/>
  <c r="AB15" i="54"/>
  <c r="AA15" i="54"/>
  <c r="Z15" i="54"/>
  <c r="Y15" i="54"/>
  <c r="AR14" i="54"/>
  <c r="BL14" i="54" s="1"/>
  <c r="AQ14" i="54"/>
  <c r="BS14" i="54" s="1"/>
  <c r="AP14" i="54"/>
  <c r="BR14" i="54" s="1"/>
  <c r="AO14" i="54"/>
  <c r="BQ14" i="54" s="1"/>
  <c r="AN14" i="54"/>
  <c r="AM14" i="54"/>
  <c r="AL14" i="54"/>
  <c r="AK14" i="54"/>
  <c r="AJ14" i="54"/>
  <c r="AI14" i="54"/>
  <c r="AH14" i="54"/>
  <c r="AG14" i="54"/>
  <c r="AF14" i="54"/>
  <c r="BH14" i="54" s="1"/>
  <c r="AE14" i="54"/>
  <c r="BG14" i="54" s="1"/>
  <c r="AD14" i="54"/>
  <c r="BF14" i="54" s="1"/>
  <c r="AC14" i="54"/>
  <c r="BE14" i="54" s="1"/>
  <c r="AB14" i="54"/>
  <c r="AA14" i="54"/>
  <c r="Z14" i="54"/>
  <c r="Y14" i="54"/>
  <c r="AR13" i="54"/>
  <c r="AQ13" i="54"/>
  <c r="BS13" i="54" s="1"/>
  <c r="AP13" i="54"/>
  <c r="BR13" i="54" s="1"/>
  <c r="AO13" i="54"/>
  <c r="AN13" i="54"/>
  <c r="AM13" i="54"/>
  <c r="AL13" i="54"/>
  <c r="AK13" i="54"/>
  <c r="BM13" i="54" s="1"/>
  <c r="AJ13" i="54"/>
  <c r="AI13" i="54"/>
  <c r="AH13" i="54"/>
  <c r="AG13" i="54"/>
  <c r="AF13" i="54"/>
  <c r="BH13" i="54" s="1"/>
  <c r="AE13" i="54"/>
  <c r="BG13" i="54" s="1"/>
  <c r="AD13" i="54"/>
  <c r="BF13" i="54" s="1"/>
  <c r="AC13" i="54"/>
  <c r="AB13" i="54"/>
  <c r="AA13" i="54"/>
  <c r="Z13" i="54"/>
  <c r="Y13" i="54"/>
  <c r="AR12" i="54"/>
  <c r="AQ12" i="54"/>
  <c r="BS12" i="54" s="1"/>
  <c r="AP12" i="54"/>
  <c r="BR12" i="54" s="1"/>
  <c r="AO12" i="54"/>
  <c r="BQ12" i="54" s="1"/>
  <c r="AN12" i="54"/>
  <c r="AM12" i="54"/>
  <c r="BO12" i="54" s="1"/>
  <c r="AL12" i="54"/>
  <c r="BN12" i="54" s="1"/>
  <c r="AK12" i="54"/>
  <c r="BM12" i="54" s="1"/>
  <c r="AJ12" i="54"/>
  <c r="AI12" i="54"/>
  <c r="BK12" i="54" s="1"/>
  <c r="AH12" i="54"/>
  <c r="BJ12" i="54" s="1"/>
  <c r="AG12" i="54"/>
  <c r="BI12" i="54" s="1"/>
  <c r="AF12" i="54"/>
  <c r="BH12" i="54" s="1"/>
  <c r="AE12" i="54"/>
  <c r="BG12" i="54" s="1"/>
  <c r="AD12" i="54"/>
  <c r="BF12" i="54" s="1"/>
  <c r="AC12" i="54"/>
  <c r="BE12" i="54" s="1"/>
  <c r="AB12" i="54"/>
  <c r="AA12" i="54"/>
  <c r="Z12" i="54"/>
  <c r="Y12" i="54"/>
  <c r="BA12" i="54" s="1"/>
  <c r="AR11" i="54"/>
  <c r="BK11" i="54" s="1"/>
  <c r="AQ11" i="54"/>
  <c r="BS11" i="54" s="1"/>
  <c r="AP11" i="54"/>
  <c r="AO11" i="54"/>
  <c r="AN11" i="54"/>
  <c r="AM11" i="54"/>
  <c r="AL11" i="54"/>
  <c r="AK11" i="54"/>
  <c r="AJ11" i="54"/>
  <c r="AI11" i="54"/>
  <c r="AH11" i="54"/>
  <c r="AG11" i="54"/>
  <c r="AF11" i="54"/>
  <c r="BH11" i="54" s="1"/>
  <c r="AE11" i="54"/>
  <c r="BG11" i="54" s="1"/>
  <c r="AD11" i="54"/>
  <c r="AC11" i="54"/>
  <c r="AB11" i="54"/>
  <c r="AA11" i="54"/>
  <c r="Z11" i="54"/>
  <c r="Y11" i="54"/>
  <c r="AR10" i="54"/>
  <c r="AQ10" i="54"/>
  <c r="AP10" i="54"/>
  <c r="BR10" i="54" s="1"/>
  <c r="AO10" i="54"/>
  <c r="BQ10" i="54" s="1"/>
  <c r="AN10" i="54"/>
  <c r="BP10" i="54" s="1"/>
  <c r="AM10" i="54"/>
  <c r="BO10" i="54" s="1"/>
  <c r="AL10" i="54"/>
  <c r="AK10" i="54"/>
  <c r="AJ10" i="54"/>
  <c r="AI10" i="54"/>
  <c r="AH10" i="54"/>
  <c r="AG10" i="54"/>
  <c r="AF10" i="54"/>
  <c r="BH10" i="54" s="1"/>
  <c r="AE10" i="54"/>
  <c r="AD10" i="54"/>
  <c r="BF10" i="54" s="1"/>
  <c r="AC10" i="54"/>
  <c r="BE10" i="54" s="1"/>
  <c r="AB10" i="54"/>
  <c r="BD10" i="54" s="1"/>
  <c r="AA10" i="54"/>
  <c r="Z10" i="54"/>
  <c r="Y10" i="54"/>
  <c r="AR9" i="54"/>
  <c r="AQ9" i="54"/>
  <c r="BS9" i="54" s="1"/>
  <c r="AP9" i="54"/>
  <c r="AO9" i="54"/>
  <c r="AN9" i="54"/>
  <c r="AM9" i="54"/>
  <c r="AL9" i="54"/>
  <c r="AK9" i="54"/>
  <c r="AJ9" i="54"/>
  <c r="AI9" i="54"/>
  <c r="AH9" i="54"/>
  <c r="BJ9" i="54" s="1"/>
  <c r="AG9" i="54"/>
  <c r="AF9" i="54"/>
  <c r="BH9" i="54" s="1"/>
  <c r="AE9" i="54"/>
  <c r="BG9" i="54" s="1"/>
  <c r="AD9" i="54"/>
  <c r="AC9" i="54"/>
  <c r="AB9" i="54"/>
  <c r="AA9" i="54"/>
  <c r="Z9" i="54"/>
  <c r="Y9" i="54"/>
  <c r="BS8" i="54"/>
  <c r="BQ8" i="54"/>
  <c r="BI8" i="54"/>
  <c r="AR8" i="54"/>
  <c r="AQ8" i="54"/>
  <c r="AP8" i="54"/>
  <c r="BR8" i="54" s="1"/>
  <c r="AO8" i="54"/>
  <c r="AN8" i="54"/>
  <c r="BP8" i="54" s="1"/>
  <c r="AM8" i="54"/>
  <c r="AL8" i="54"/>
  <c r="BN8" i="54" s="1"/>
  <c r="AK8" i="54"/>
  <c r="BM8" i="54" s="1"/>
  <c r="AJ8" i="54"/>
  <c r="BL8" i="54" s="1"/>
  <c r="AI8" i="54"/>
  <c r="AH8" i="54"/>
  <c r="AG8" i="54"/>
  <c r="AF8" i="54"/>
  <c r="BH8" i="54" s="1"/>
  <c r="AE8" i="54"/>
  <c r="BG8" i="54" s="1"/>
  <c r="AD8" i="54"/>
  <c r="BF8" i="54" s="1"/>
  <c r="AC8" i="54"/>
  <c r="AB8" i="54"/>
  <c r="BD8" i="54" s="1"/>
  <c r="AA8" i="54"/>
  <c r="BC8" i="54" s="1"/>
  <c r="Z8" i="54"/>
  <c r="BB8" i="54" s="1"/>
  <c r="Y8" i="54"/>
  <c r="BA8" i="54" s="1"/>
  <c r="AR25" i="53"/>
  <c r="AQ25" i="53"/>
  <c r="AP25" i="53"/>
  <c r="AO25" i="53"/>
  <c r="AN25" i="53"/>
  <c r="AM25" i="53"/>
  <c r="AL25" i="53"/>
  <c r="AK25" i="53"/>
  <c r="AJ25" i="53"/>
  <c r="AI25" i="53"/>
  <c r="AH25" i="53"/>
  <c r="AG25" i="53"/>
  <c r="AF25" i="53"/>
  <c r="AE25" i="53"/>
  <c r="AD25" i="53"/>
  <c r="AC25" i="53"/>
  <c r="AB25" i="53"/>
  <c r="AA25" i="53"/>
  <c r="Z25" i="53"/>
  <c r="Y25" i="53"/>
  <c r="AQ23" i="53"/>
  <c r="AP23" i="53"/>
  <c r="AO23" i="53"/>
  <c r="AN23" i="53"/>
  <c r="AM23" i="53"/>
  <c r="AL23" i="53"/>
  <c r="AK23" i="53"/>
  <c r="AJ23" i="53"/>
  <c r="AI23" i="53"/>
  <c r="AH23" i="53"/>
  <c r="AG23" i="53"/>
  <c r="AF23" i="53"/>
  <c r="AE23" i="53"/>
  <c r="AD23" i="53"/>
  <c r="AC23" i="53"/>
  <c r="AB23" i="53"/>
  <c r="AA23" i="53"/>
  <c r="Z23" i="53"/>
  <c r="Y23" i="53"/>
  <c r="AR23" i="53"/>
  <c r="AQ22" i="53"/>
  <c r="AP22" i="53"/>
  <c r="AO22" i="53"/>
  <c r="AN22" i="53"/>
  <c r="AM22" i="53"/>
  <c r="AL22" i="53"/>
  <c r="AK22" i="53"/>
  <c r="AJ22" i="53"/>
  <c r="AI22" i="53"/>
  <c r="AH22" i="53"/>
  <c r="AG22" i="53"/>
  <c r="AF22" i="53"/>
  <c r="AE22" i="53"/>
  <c r="AD22" i="53"/>
  <c r="AC22" i="53"/>
  <c r="AB22" i="53"/>
  <c r="AA22" i="53"/>
  <c r="Z22" i="53"/>
  <c r="Y22" i="53"/>
  <c r="AQ21" i="53"/>
  <c r="AP21" i="53"/>
  <c r="AO21" i="53"/>
  <c r="AN21" i="53"/>
  <c r="AM21" i="53"/>
  <c r="AL21" i="53"/>
  <c r="AK21" i="53"/>
  <c r="AJ21" i="53"/>
  <c r="AI21" i="53"/>
  <c r="AH21" i="53"/>
  <c r="AG21" i="53"/>
  <c r="AF21" i="53"/>
  <c r="AE21" i="53"/>
  <c r="AD21" i="53"/>
  <c r="AC21" i="53"/>
  <c r="AB21" i="53"/>
  <c r="AA21" i="53"/>
  <c r="Z21" i="53"/>
  <c r="Y21" i="53"/>
  <c r="AR21" i="53"/>
  <c r="AQ20" i="53"/>
  <c r="AP20" i="53"/>
  <c r="AO20" i="53"/>
  <c r="AN20" i="53"/>
  <c r="AM20" i="53"/>
  <c r="AL20" i="53"/>
  <c r="AK20" i="53"/>
  <c r="AJ20" i="53"/>
  <c r="AI20" i="53"/>
  <c r="AH20" i="53"/>
  <c r="AG20" i="53"/>
  <c r="AF20" i="53"/>
  <c r="AE20" i="53"/>
  <c r="AD20" i="53"/>
  <c r="AC20" i="53"/>
  <c r="AB20" i="53"/>
  <c r="AA20" i="53"/>
  <c r="Z20" i="53"/>
  <c r="Y20" i="53"/>
  <c r="AQ19" i="53"/>
  <c r="AP19" i="53"/>
  <c r="AO19" i="53"/>
  <c r="AN19" i="53"/>
  <c r="AM19" i="53"/>
  <c r="AL19" i="53"/>
  <c r="AK19" i="53"/>
  <c r="AJ19" i="53"/>
  <c r="AI19" i="53"/>
  <c r="AH19" i="53"/>
  <c r="AG19" i="53"/>
  <c r="AF19" i="53"/>
  <c r="AE19" i="53"/>
  <c r="AD19" i="53"/>
  <c r="AC19" i="53"/>
  <c r="AB19" i="53"/>
  <c r="AA19" i="53"/>
  <c r="Z19" i="53"/>
  <c r="Y19" i="53"/>
  <c r="AQ18" i="53"/>
  <c r="AP18" i="53"/>
  <c r="AO18" i="53"/>
  <c r="AN18" i="53"/>
  <c r="AM18" i="53"/>
  <c r="AL18" i="53"/>
  <c r="AK18" i="53"/>
  <c r="AJ18" i="53"/>
  <c r="AI18" i="53"/>
  <c r="AH18" i="53"/>
  <c r="AG18" i="53"/>
  <c r="AF18" i="53"/>
  <c r="AE18" i="53"/>
  <c r="AD18" i="53"/>
  <c r="AC18" i="53"/>
  <c r="AB18" i="53"/>
  <c r="AA18" i="53"/>
  <c r="Z18" i="53"/>
  <c r="Y18" i="53"/>
  <c r="AR17" i="53"/>
  <c r="AQ17" i="53"/>
  <c r="AP17" i="53"/>
  <c r="AO17" i="53"/>
  <c r="AN17" i="53"/>
  <c r="AM17" i="53"/>
  <c r="AL17" i="53"/>
  <c r="AK17" i="53"/>
  <c r="AJ17" i="53"/>
  <c r="AI17" i="53"/>
  <c r="AH17" i="53"/>
  <c r="AG17" i="53"/>
  <c r="AF17" i="53"/>
  <c r="AE17" i="53"/>
  <c r="AD17" i="53"/>
  <c r="AC17" i="53"/>
  <c r="AB17" i="53"/>
  <c r="AA17" i="53"/>
  <c r="Z17" i="53"/>
  <c r="Y17" i="53"/>
  <c r="AR16" i="53"/>
  <c r="AQ16" i="53"/>
  <c r="AP16" i="53"/>
  <c r="AO16" i="53"/>
  <c r="AN16" i="53"/>
  <c r="AM16" i="53"/>
  <c r="AL16" i="53"/>
  <c r="AK16" i="53"/>
  <c r="AJ16" i="53"/>
  <c r="AI16" i="53"/>
  <c r="AH16" i="53"/>
  <c r="AG16" i="53"/>
  <c r="AF16" i="53"/>
  <c r="AE16" i="53"/>
  <c r="AD16" i="53"/>
  <c r="AC16" i="53"/>
  <c r="AB16" i="53"/>
  <c r="AA16" i="53"/>
  <c r="Z16" i="53"/>
  <c r="Y16" i="53"/>
  <c r="AQ15" i="53"/>
  <c r="AP15" i="53"/>
  <c r="AO15" i="53"/>
  <c r="AN15" i="53"/>
  <c r="AM15" i="53"/>
  <c r="AL15" i="53"/>
  <c r="AK15" i="53"/>
  <c r="AJ15" i="53"/>
  <c r="AI15" i="53"/>
  <c r="AH15" i="53"/>
  <c r="AG15" i="53"/>
  <c r="AF15" i="53"/>
  <c r="AE15" i="53"/>
  <c r="AD15" i="53"/>
  <c r="AC15" i="53"/>
  <c r="AB15" i="53"/>
  <c r="AA15" i="53"/>
  <c r="Z15" i="53"/>
  <c r="Y15" i="53"/>
  <c r="AR15" i="53"/>
  <c r="AQ14" i="53"/>
  <c r="AP14" i="53"/>
  <c r="AO14" i="53"/>
  <c r="AN14" i="53"/>
  <c r="AM14" i="53"/>
  <c r="AL14" i="53"/>
  <c r="AK14" i="53"/>
  <c r="AJ14" i="53"/>
  <c r="AI14" i="53"/>
  <c r="AH14" i="53"/>
  <c r="AG14" i="53"/>
  <c r="AF14" i="53"/>
  <c r="AE14" i="53"/>
  <c r="AD14" i="53"/>
  <c r="AC14" i="53"/>
  <c r="AB14" i="53"/>
  <c r="AA14" i="53"/>
  <c r="Z14" i="53"/>
  <c r="Y14" i="53"/>
  <c r="AQ13" i="53"/>
  <c r="AP13" i="53"/>
  <c r="AO13" i="53"/>
  <c r="AN13" i="53"/>
  <c r="AM13" i="53"/>
  <c r="AL13" i="53"/>
  <c r="AK13" i="53"/>
  <c r="AJ13" i="53"/>
  <c r="AI13" i="53"/>
  <c r="AH13" i="53"/>
  <c r="AG13" i="53"/>
  <c r="AF13" i="53"/>
  <c r="AE13" i="53"/>
  <c r="AD13" i="53"/>
  <c r="AC13" i="53"/>
  <c r="AB13" i="53"/>
  <c r="AA13" i="53"/>
  <c r="Z13" i="53"/>
  <c r="Y13" i="53"/>
  <c r="AR12" i="53"/>
  <c r="AQ12" i="53"/>
  <c r="AP12" i="53"/>
  <c r="AO12" i="53"/>
  <c r="AN12" i="53"/>
  <c r="AM12" i="53"/>
  <c r="AL12" i="53"/>
  <c r="AK12" i="53"/>
  <c r="AJ12" i="53"/>
  <c r="AI12" i="53"/>
  <c r="AH12" i="53"/>
  <c r="AG12" i="53"/>
  <c r="AF12" i="53"/>
  <c r="AE12" i="53"/>
  <c r="AD12" i="53"/>
  <c r="AC12" i="53"/>
  <c r="AB12" i="53"/>
  <c r="AA12" i="53"/>
  <c r="Z12" i="53"/>
  <c r="Y12" i="53"/>
  <c r="AQ11" i="53"/>
  <c r="AP11" i="53"/>
  <c r="AO11" i="53"/>
  <c r="AN11" i="53"/>
  <c r="AM11" i="53"/>
  <c r="AL11" i="53"/>
  <c r="AK11" i="53"/>
  <c r="AJ11" i="53"/>
  <c r="AI11" i="53"/>
  <c r="AH11" i="53"/>
  <c r="AG11" i="53"/>
  <c r="AF11" i="53"/>
  <c r="AE11" i="53"/>
  <c r="AD11" i="53"/>
  <c r="AC11" i="53"/>
  <c r="AB11" i="53"/>
  <c r="AA11" i="53"/>
  <c r="Z11" i="53"/>
  <c r="Y11" i="53"/>
  <c r="AR11" i="53"/>
  <c r="AR10" i="53"/>
  <c r="AQ10" i="53"/>
  <c r="AP10" i="53"/>
  <c r="AO10" i="53"/>
  <c r="AN10" i="53"/>
  <c r="AM10" i="53"/>
  <c r="AL10" i="53"/>
  <c r="AK10" i="53"/>
  <c r="AJ10" i="53"/>
  <c r="AI10" i="53"/>
  <c r="AH10" i="53"/>
  <c r="AG10" i="53"/>
  <c r="AF10" i="53"/>
  <c r="AE10" i="53"/>
  <c r="AD10" i="53"/>
  <c r="AC10" i="53"/>
  <c r="AB10" i="53"/>
  <c r="AA10" i="53"/>
  <c r="Z10" i="53"/>
  <c r="Y10" i="53"/>
  <c r="AQ9" i="53"/>
  <c r="AP9" i="53"/>
  <c r="AO9" i="53"/>
  <c r="AN9" i="53"/>
  <c r="AM9" i="53"/>
  <c r="AL9" i="53"/>
  <c r="AK9" i="53"/>
  <c r="AJ9" i="53"/>
  <c r="AI9" i="53"/>
  <c r="AH9" i="53"/>
  <c r="AG9" i="53"/>
  <c r="AF9" i="53"/>
  <c r="AE9" i="53"/>
  <c r="AD9" i="53"/>
  <c r="AC9" i="53"/>
  <c r="AB9" i="53"/>
  <c r="AA9" i="53"/>
  <c r="Z9" i="53"/>
  <c r="Y9" i="53"/>
  <c r="AQ8" i="53"/>
  <c r="AP8" i="53"/>
  <c r="AO8" i="53"/>
  <c r="AN8" i="53"/>
  <c r="AM8" i="53"/>
  <c r="AL8" i="53"/>
  <c r="AK8" i="53"/>
  <c r="AJ8" i="53"/>
  <c r="AI8" i="53"/>
  <c r="AH8" i="53"/>
  <c r="AG8" i="53"/>
  <c r="AF8" i="53"/>
  <c r="AE8" i="53"/>
  <c r="AD8" i="53"/>
  <c r="AC8" i="53"/>
  <c r="AB8" i="53"/>
  <c r="AA8" i="53"/>
  <c r="Z8" i="53"/>
  <c r="Y8" i="53"/>
  <c r="AR7" i="53"/>
  <c r="AQ7" i="53"/>
  <c r="AP7" i="53"/>
  <c r="AO7" i="53"/>
  <c r="AN7" i="53"/>
  <c r="AM7" i="53"/>
  <c r="AL7" i="53"/>
  <c r="AK7" i="53"/>
  <c r="AJ7" i="53"/>
  <c r="AI7" i="53"/>
  <c r="AH7" i="53"/>
  <c r="AG7" i="53"/>
  <c r="AF7" i="53"/>
  <c r="AE7" i="53"/>
  <c r="AD7" i="53"/>
  <c r="AC7" i="53"/>
  <c r="AB7" i="53"/>
  <c r="AA7" i="53"/>
  <c r="Z7" i="53"/>
  <c r="Y7" i="53"/>
  <c r="AR6" i="53"/>
  <c r="AQ6" i="53"/>
  <c r="AP6" i="53"/>
  <c r="AO6" i="53"/>
  <c r="AN6" i="53"/>
  <c r="AM6" i="53"/>
  <c r="AL6" i="53"/>
  <c r="AK6" i="53"/>
  <c r="AJ6" i="53"/>
  <c r="AI6" i="53"/>
  <c r="AH6" i="53"/>
  <c r="AG6" i="53"/>
  <c r="AF6" i="53"/>
  <c r="AE6" i="53"/>
  <c r="AD6" i="53"/>
  <c r="AC6" i="53"/>
  <c r="AB6" i="53"/>
  <c r="AA6" i="53"/>
  <c r="Z6" i="53"/>
  <c r="Y6" i="53"/>
  <c r="AL32" i="50"/>
  <c r="AL33" i="50"/>
  <c r="AL34" i="50"/>
  <c r="AL35" i="50"/>
  <c r="AL36" i="50"/>
  <c r="AL37" i="50"/>
  <c r="AL38" i="50"/>
  <c r="AL39" i="50"/>
  <c r="AL40" i="50"/>
  <c r="AL41" i="50"/>
  <c r="AL42" i="50"/>
  <c r="AL43" i="50"/>
  <c r="AQ43" i="50" s="1"/>
  <c r="AL44" i="50"/>
  <c r="AL45" i="50"/>
  <c r="AL46" i="50"/>
  <c r="AL47" i="50"/>
  <c r="AL48" i="50"/>
  <c r="AL50" i="50"/>
  <c r="AL31" i="50"/>
  <c r="AG78" i="50"/>
  <c r="AF78" i="50"/>
  <c r="AE78" i="50"/>
  <c r="AD78" i="50"/>
  <c r="AC78" i="50"/>
  <c r="AB78" i="50"/>
  <c r="AA78" i="50"/>
  <c r="Z78" i="50"/>
  <c r="Y78" i="50"/>
  <c r="X78" i="50"/>
  <c r="W78" i="50"/>
  <c r="V78" i="50"/>
  <c r="U78" i="50"/>
  <c r="T78" i="50"/>
  <c r="AG76" i="50"/>
  <c r="AF76" i="50"/>
  <c r="AE76" i="50"/>
  <c r="AD76" i="50"/>
  <c r="AC76" i="50"/>
  <c r="AB76" i="50"/>
  <c r="AA76" i="50"/>
  <c r="Z76" i="50"/>
  <c r="Y76" i="50"/>
  <c r="X76" i="50"/>
  <c r="W76" i="50"/>
  <c r="V76" i="50"/>
  <c r="U76" i="50"/>
  <c r="T76" i="50"/>
  <c r="AG75" i="50"/>
  <c r="AF75" i="50"/>
  <c r="AE75" i="50"/>
  <c r="AD75" i="50"/>
  <c r="AC75" i="50"/>
  <c r="AB75" i="50"/>
  <c r="AA75" i="50"/>
  <c r="Z75" i="50"/>
  <c r="Y75" i="50"/>
  <c r="X75" i="50"/>
  <c r="W75" i="50"/>
  <c r="V75" i="50"/>
  <c r="U75" i="50"/>
  <c r="T75" i="50"/>
  <c r="AG74" i="50"/>
  <c r="AF74" i="50"/>
  <c r="AE74" i="50"/>
  <c r="AD74" i="50"/>
  <c r="AC74" i="50"/>
  <c r="AB74" i="50"/>
  <c r="AA74" i="50"/>
  <c r="Z74" i="50"/>
  <c r="Y74" i="50"/>
  <c r="X74" i="50"/>
  <c r="W74" i="50"/>
  <c r="V74" i="50"/>
  <c r="U74" i="50"/>
  <c r="T74" i="50"/>
  <c r="AG73" i="50"/>
  <c r="AF73" i="50"/>
  <c r="AE73" i="50"/>
  <c r="AD73" i="50"/>
  <c r="AC73" i="50"/>
  <c r="AB73" i="50"/>
  <c r="AA73" i="50"/>
  <c r="Z73" i="50"/>
  <c r="Y73" i="50"/>
  <c r="X73" i="50"/>
  <c r="W73" i="50"/>
  <c r="V73" i="50"/>
  <c r="U73" i="50"/>
  <c r="T73" i="50"/>
  <c r="AG72" i="50"/>
  <c r="AF72" i="50"/>
  <c r="AE72" i="50"/>
  <c r="AD72" i="50"/>
  <c r="AC72" i="50"/>
  <c r="AB72" i="50"/>
  <c r="AA72" i="50"/>
  <c r="Z72" i="50"/>
  <c r="Y72" i="50"/>
  <c r="X72" i="50"/>
  <c r="W72" i="50"/>
  <c r="V72" i="50"/>
  <c r="U72" i="50"/>
  <c r="T72" i="50"/>
  <c r="AG71" i="50"/>
  <c r="AF71" i="50"/>
  <c r="AE71" i="50"/>
  <c r="AD71" i="50"/>
  <c r="AC71" i="50"/>
  <c r="AB71" i="50"/>
  <c r="AA71" i="50"/>
  <c r="Z71" i="50"/>
  <c r="Y71" i="50"/>
  <c r="X71" i="50"/>
  <c r="W71" i="50"/>
  <c r="V71" i="50"/>
  <c r="U71" i="50"/>
  <c r="T71" i="50"/>
  <c r="AG70" i="50"/>
  <c r="AF70" i="50"/>
  <c r="AE70" i="50"/>
  <c r="AD70" i="50"/>
  <c r="AC70" i="50"/>
  <c r="AB70" i="50"/>
  <c r="AA70" i="50"/>
  <c r="Z70" i="50"/>
  <c r="Y70" i="50"/>
  <c r="X70" i="50"/>
  <c r="W70" i="50"/>
  <c r="V70" i="50"/>
  <c r="U70" i="50"/>
  <c r="T70" i="50"/>
  <c r="AG69" i="50"/>
  <c r="AF69" i="50"/>
  <c r="AE69" i="50"/>
  <c r="AD69" i="50"/>
  <c r="AC69" i="50"/>
  <c r="AB69" i="50"/>
  <c r="AA69" i="50"/>
  <c r="Z69" i="50"/>
  <c r="Y69" i="50"/>
  <c r="X69" i="50"/>
  <c r="W69" i="50"/>
  <c r="V69" i="50"/>
  <c r="U69" i="50"/>
  <c r="T69" i="50"/>
  <c r="AG68" i="50"/>
  <c r="AF68" i="50"/>
  <c r="AE68" i="50"/>
  <c r="AD68" i="50"/>
  <c r="AC68" i="50"/>
  <c r="AB68" i="50"/>
  <c r="AA68" i="50"/>
  <c r="Z68" i="50"/>
  <c r="Y68" i="50"/>
  <c r="X68" i="50"/>
  <c r="W68" i="50"/>
  <c r="V68" i="50"/>
  <c r="U68" i="50"/>
  <c r="T68" i="50"/>
  <c r="AG67" i="50"/>
  <c r="AF67" i="50"/>
  <c r="AE67" i="50"/>
  <c r="AD67" i="50"/>
  <c r="AC67" i="50"/>
  <c r="AB67" i="50"/>
  <c r="AA67" i="50"/>
  <c r="Z67" i="50"/>
  <c r="Y67" i="50"/>
  <c r="X67" i="50"/>
  <c r="W67" i="50"/>
  <c r="V67" i="50"/>
  <c r="U67" i="50"/>
  <c r="T67" i="50"/>
  <c r="AG66" i="50"/>
  <c r="AF66" i="50"/>
  <c r="AE66" i="50"/>
  <c r="AD66" i="50"/>
  <c r="AC66" i="50"/>
  <c r="AB66" i="50"/>
  <c r="AA66" i="50"/>
  <c r="Z66" i="50"/>
  <c r="Y66" i="50"/>
  <c r="X66" i="50"/>
  <c r="W66" i="50"/>
  <c r="V66" i="50"/>
  <c r="U66" i="50"/>
  <c r="T66" i="50"/>
  <c r="AG65" i="50"/>
  <c r="AF65" i="50"/>
  <c r="AE65" i="50"/>
  <c r="AD65" i="50"/>
  <c r="AC65" i="50"/>
  <c r="AB65" i="50"/>
  <c r="AA65" i="50"/>
  <c r="Z65" i="50"/>
  <c r="Y65" i="50"/>
  <c r="X65" i="50"/>
  <c r="W65" i="50"/>
  <c r="V65" i="50"/>
  <c r="U65" i="50"/>
  <c r="T65" i="50"/>
  <c r="AG64" i="50"/>
  <c r="AF64" i="50"/>
  <c r="AE64" i="50"/>
  <c r="AD64" i="50"/>
  <c r="AC64" i="50"/>
  <c r="AB64" i="50"/>
  <c r="AA64" i="50"/>
  <c r="Z64" i="50"/>
  <c r="Y64" i="50"/>
  <c r="X64" i="50"/>
  <c r="W64" i="50"/>
  <c r="V64" i="50"/>
  <c r="U64" i="50"/>
  <c r="T64" i="50"/>
  <c r="AG63" i="50"/>
  <c r="AF63" i="50"/>
  <c r="AE63" i="50"/>
  <c r="AD63" i="50"/>
  <c r="AC63" i="50"/>
  <c r="AB63" i="50"/>
  <c r="AA63" i="50"/>
  <c r="Z63" i="50"/>
  <c r="Y63" i="50"/>
  <c r="X63" i="50"/>
  <c r="W63" i="50"/>
  <c r="V63" i="50"/>
  <c r="U63" i="50"/>
  <c r="T63" i="50"/>
  <c r="AG62" i="50"/>
  <c r="AF62" i="50"/>
  <c r="AE62" i="50"/>
  <c r="AD62" i="50"/>
  <c r="AC62" i="50"/>
  <c r="AB62" i="50"/>
  <c r="AA62" i="50"/>
  <c r="Z62" i="50"/>
  <c r="Y62" i="50"/>
  <c r="X62" i="50"/>
  <c r="W62" i="50"/>
  <c r="V62" i="50"/>
  <c r="U62" i="50"/>
  <c r="T62" i="50"/>
  <c r="AG61" i="50"/>
  <c r="AF61" i="50"/>
  <c r="AE61" i="50"/>
  <c r="AD61" i="50"/>
  <c r="AC61" i="50"/>
  <c r="AB61" i="50"/>
  <c r="AA61" i="50"/>
  <c r="Z61" i="50"/>
  <c r="Y61" i="50"/>
  <c r="X61" i="50"/>
  <c r="W61" i="50"/>
  <c r="V61" i="50"/>
  <c r="U61" i="50"/>
  <c r="T61" i="50"/>
  <c r="AG60" i="50"/>
  <c r="AF60" i="50"/>
  <c r="AE60" i="50"/>
  <c r="AD60" i="50"/>
  <c r="AC60" i="50"/>
  <c r="AB60" i="50"/>
  <c r="AA60" i="50"/>
  <c r="Z60" i="50"/>
  <c r="Y60" i="50"/>
  <c r="X60" i="50"/>
  <c r="W60" i="50"/>
  <c r="V60" i="50"/>
  <c r="V79" i="50" s="1"/>
  <c r="U60" i="50"/>
  <c r="T60" i="50"/>
  <c r="AG59" i="50"/>
  <c r="AF59" i="50"/>
  <c r="AE59" i="50"/>
  <c r="AD59" i="50"/>
  <c r="AC59" i="50"/>
  <c r="AB59" i="50"/>
  <c r="AA59" i="50"/>
  <c r="Z59" i="50"/>
  <c r="Y59" i="50"/>
  <c r="X59" i="50"/>
  <c r="W59" i="50"/>
  <c r="W79" i="50" s="1"/>
  <c r="V59" i="50"/>
  <c r="U59" i="50"/>
  <c r="T59" i="50"/>
  <c r="C5" i="52"/>
  <c r="AK16" i="50"/>
  <c r="AK17" i="50"/>
  <c r="AK18" i="50"/>
  <c r="AK19" i="50"/>
  <c r="AK20" i="50"/>
  <c r="AK21" i="50"/>
  <c r="AK23" i="50"/>
  <c r="AK9" i="50"/>
  <c r="AK10" i="50"/>
  <c r="AK11" i="50"/>
  <c r="AK12" i="50"/>
  <c r="AK13" i="50"/>
  <c r="AK14" i="50"/>
  <c r="AK15" i="50"/>
  <c r="AK5" i="50"/>
  <c r="AP5" i="50" s="1"/>
  <c r="AK6" i="50"/>
  <c r="AK7" i="50"/>
  <c r="AK8" i="50"/>
  <c r="AK4" i="50"/>
  <c r="AL9" i="50"/>
  <c r="AL10" i="50"/>
  <c r="AL11" i="50"/>
  <c r="AL12" i="50"/>
  <c r="AL13" i="50"/>
  <c r="AL14" i="50"/>
  <c r="AL15" i="50"/>
  <c r="AL16" i="50"/>
  <c r="AL17" i="50"/>
  <c r="AL18" i="50"/>
  <c r="AL19" i="50"/>
  <c r="AL20" i="50"/>
  <c r="AL21" i="50"/>
  <c r="AL23" i="50"/>
  <c r="AL5" i="50"/>
  <c r="AL6" i="50"/>
  <c r="AL7" i="50"/>
  <c r="AL8" i="50"/>
  <c r="AL4" i="50"/>
  <c r="AM6" i="50"/>
  <c r="AM22" i="50"/>
  <c r="AR27" i="51"/>
  <c r="AQ27" i="51"/>
  <c r="AP27" i="51"/>
  <c r="AO27" i="51"/>
  <c r="AN27" i="51"/>
  <c r="AM27" i="51"/>
  <c r="AL27" i="51"/>
  <c r="AK27" i="51"/>
  <c r="AJ27" i="51"/>
  <c r="AI27" i="51"/>
  <c r="AH27" i="51"/>
  <c r="AG27" i="51"/>
  <c r="AF27" i="51"/>
  <c r="AE27" i="51"/>
  <c r="AD27" i="51"/>
  <c r="AC27" i="51"/>
  <c r="AB27" i="51"/>
  <c r="AA27" i="51"/>
  <c r="Z27" i="51"/>
  <c r="Y27" i="51"/>
  <c r="AR25" i="51"/>
  <c r="AQ25" i="51"/>
  <c r="AP25" i="51"/>
  <c r="BM25" i="51" s="1"/>
  <c r="AO25" i="51"/>
  <c r="BL25" i="51" s="1"/>
  <c r="AN25" i="51"/>
  <c r="AM25" i="51"/>
  <c r="AL25" i="51"/>
  <c r="BI25" i="51" s="1"/>
  <c r="AK25" i="51"/>
  <c r="BH25" i="51" s="1"/>
  <c r="AJ25" i="51"/>
  <c r="AI25" i="51"/>
  <c r="BF25" i="51" s="1"/>
  <c r="AH25" i="51"/>
  <c r="AG25" i="51"/>
  <c r="AF25" i="51"/>
  <c r="BC25" i="51" s="1"/>
  <c r="AE25" i="51"/>
  <c r="AD25" i="51"/>
  <c r="AC25" i="51"/>
  <c r="AZ25" i="51" s="1"/>
  <c r="AB25" i="51"/>
  <c r="AA25" i="51"/>
  <c r="Z25" i="51"/>
  <c r="AW25" i="51" s="1"/>
  <c r="Y25" i="51"/>
  <c r="AV25" i="51" s="1"/>
  <c r="AR24" i="51"/>
  <c r="BI24" i="51" s="1"/>
  <c r="AQ24" i="51"/>
  <c r="AP24" i="51"/>
  <c r="AO24" i="51"/>
  <c r="AN24" i="51"/>
  <c r="AM24" i="51"/>
  <c r="AL24" i="51"/>
  <c r="AK24" i="51"/>
  <c r="AJ24" i="51"/>
  <c r="AI24" i="51"/>
  <c r="AH24" i="51"/>
  <c r="AG24" i="51"/>
  <c r="AF24" i="51"/>
  <c r="AE24" i="51"/>
  <c r="AD24" i="51"/>
  <c r="AC24" i="51"/>
  <c r="AB24" i="51"/>
  <c r="AA24" i="51"/>
  <c r="Z24" i="51"/>
  <c r="Y24" i="51"/>
  <c r="AR23" i="51"/>
  <c r="AQ23" i="51"/>
  <c r="AP23" i="51"/>
  <c r="BM23" i="51" s="1"/>
  <c r="AO23" i="51"/>
  <c r="BL23" i="51" s="1"/>
  <c r="AN23" i="51"/>
  <c r="AM23" i="51"/>
  <c r="AL23" i="51"/>
  <c r="AK23" i="51"/>
  <c r="AJ23" i="51"/>
  <c r="AI23" i="51"/>
  <c r="AH23" i="51"/>
  <c r="AG23" i="51"/>
  <c r="AF23" i="51"/>
  <c r="BC23" i="51" s="1"/>
  <c r="AE23" i="51"/>
  <c r="AD23" i="51"/>
  <c r="AC23" i="51"/>
  <c r="AB23" i="51"/>
  <c r="AA23" i="51"/>
  <c r="Z23" i="51"/>
  <c r="Y23" i="51"/>
  <c r="AR22" i="51"/>
  <c r="BN22" i="51" s="1"/>
  <c r="AQ22" i="51"/>
  <c r="AP22" i="51"/>
  <c r="AO22" i="51"/>
  <c r="AN22" i="51"/>
  <c r="AM22" i="51"/>
  <c r="AL22" i="51"/>
  <c r="AK22" i="51"/>
  <c r="AJ22" i="51"/>
  <c r="AI22" i="51"/>
  <c r="AH22" i="51"/>
  <c r="AG22" i="51"/>
  <c r="BD22" i="51" s="1"/>
  <c r="AF22" i="51"/>
  <c r="BC22" i="51" s="1"/>
  <c r="AE22" i="51"/>
  <c r="BB22" i="51" s="1"/>
  <c r="AD22" i="51"/>
  <c r="AC22" i="51"/>
  <c r="AB22" i="51"/>
  <c r="AY22" i="51" s="1"/>
  <c r="AA22" i="51"/>
  <c r="Z22" i="51"/>
  <c r="Y22" i="51"/>
  <c r="AR21" i="51"/>
  <c r="AY21" i="51" s="1"/>
  <c r="AQ21" i="51"/>
  <c r="AP21" i="51"/>
  <c r="AO21" i="51"/>
  <c r="AN21" i="51"/>
  <c r="AM21" i="51"/>
  <c r="AL21" i="51"/>
  <c r="AK21" i="51"/>
  <c r="AJ21" i="51"/>
  <c r="AI21" i="51"/>
  <c r="AH21" i="51"/>
  <c r="AG21" i="51"/>
  <c r="AF21" i="51"/>
  <c r="BC21" i="51" s="1"/>
  <c r="AE21" i="51"/>
  <c r="AD21" i="51"/>
  <c r="AC21" i="51"/>
  <c r="AB21" i="51"/>
  <c r="AA21" i="51"/>
  <c r="Z21" i="51"/>
  <c r="Y21" i="51"/>
  <c r="AR20" i="51"/>
  <c r="BE20" i="51" s="1"/>
  <c r="AQ20" i="51"/>
  <c r="AP20" i="51"/>
  <c r="BM20" i="51" s="1"/>
  <c r="AO20" i="51"/>
  <c r="BL20" i="51" s="1"/>
  <c r="AN20" i="51"/>
  <c r="AM20" i="51"/>
  <c r="AL20" i="51"/>
  <c r="BI20" i="51" s="1"/>
  <c r="AK20" i="51"/>
  <c r="BH20" i="51" s="1"/>
  <c r="AJ20" i="51"/>
  <c r="AI20" i="51"/>
  <c r="AH20" i="51"/>
  <c r="AG20" i="51"/>
  <c r="AF20" i="51"/>
  <c r="AE20" i="51"/>
  <c r="AD20" i="51"/>
  <c r="BA20" i="51" s="1"/>
  <c r="AC20" i="51"/>
  <c r="AZ20" i="51" s="1"/>
  <c r="AB20" i="51"/>
  <c r="AA20" i="51"/>
  <c r="AX20" i="51" s="1"/>
  <c r="Z20" i="51"/>
  <c r="Y20" i="51"/>
  <c r="AV20" i="51" s="1"/>
  <c r="AR19" i="51"/>
  <c r="AQ19" i="51"/>
  <c r="AP19" i="51"/>
  <c r="AO19" i="51"/>
  <c r="AN19" i="51"/>
  <c r="AM19" i="51"/>
  <c r="AL19" i="51"/>
  <c r="AK19" i="51"/>
  <c r="AJ19" i="51"/>
  <c r="AI19" i="51"/>
  <c r="AH19" i="51"/>
  <c r="AG19" i="51"/>
  <c r="AF19" i="51"/>
  <c r="BC19" i="51" s="1"/>
  <c r="AE19" i="51"/>
  <c r="AD19" i="51"/>
  <c r="AC19" i="51"/>
  <c r="AB19" i="51"/>
  <c r="AA19" i="51"/>
  <c r="Z19" i="51"/>
  <c r="Y19" i="51"/>
  <c r="AR18" i="51"/>
  <c r="BE18" i="51" s="1"/>
  <c r="AQ18" i="51"/>
  <c r="AP18" i="51"/>
  <c r="BM18" i="51" s="1"/>
  <c r="AO18" i="51"/>
  <c r="BL18" i="51" s="1"/>
  <c r="AN18" i="51"/>
  <c r="BK18" i="51" s="1"/>
  <c r="AM18" i="51"/>
  <c r="BJ18" i="51" s="1"/>
  <c r="AL18" i="51"/>
  <c r="AK18" i="51"/>
  <c r="BH18" i="51" s="1"/>
  <c r="AJ18" i="51"/>
  <c r="AI18" i="51"/>
  <c r="AH18" i="51"/>
  <c r="AG18" i="51"/>
  <c r="AF18" i="51"/>
  <c r="BC18" i="51" s="1"/>
  <c r="AE18" i="51"/>
  <c r="BB18" i="51" s="1"/>
  <c r="AD18" i="51"/>
  <c r="AC18" i="51"/>
  <c r="AZ18" i="51" s="1"/>
  <c r="AB18" i="51"/>
  <c r="AA18" i="51"/>
  <c r="AX18" i="51" s="1"/>
  <c r="Z18" i="51"/>
  <c r="Y18" i="51"/>
  <c r="AV18" i="51" s="1"/>
  <c r="AR17" i="51"/>
  <c r="AQ17" i="51"/>
  <c r="AP17" i="51"/>
  <c r="AO17" i="51"/>
  <c r="AN17" i="51"/>
  <c r="AM17" i="51"/>
  <c r="BJ17" i="51" s="1"/>
  <c r="AL17" i="51"/>
  <c r="AK17" i="51"/>
  <c r="AJ17" i="51"/>
  <c r="AI17" i="51"/>
  <c r="AH17" i="51"/>
  <c r="AG17" i="51"/>
  <c r="AF17" i="51"/>
  <c r="BC17" i="51" s="1"/>
  <c r="AE17" i="51"/>
  <c r="AD17" i="51"/>
  <c r="AC17" i="51"/>
  <c r="AB17" i="51"/>
  <c r="AA17" i="51"/>
  <c r="AX17" i="51" s="1"/>
  <c r="Z17" i="51"/>
  <c r="Y17" i="51"/>
  <c r="AV17" i="51" s="1"/>
  <c r="AR16" i="51"/>
  <c r="AQ16" i="51"/>
  <c r="AP16" i="51"/>
  <c r="AO16" i="51"/>
  <c r="AN16" i="51"/>
  <c r="AM16" i="51"/>
  <c r="BJ16" i="51" s="1"/>
  <c r="AL16" i="51"/>
  <c r="AK16" i="51"/>
  <c r="AJ16" i="51"/>
  <c r="AI16" i="51"/>
  <c r="AH16" i="51"/>
  <c r="AG16" i="51"/>
  <c r="AF16" i="51"/>
  <c r="BC16" i="51" s="1"/>
  <c r="AE16" i="51"/>
  <c r="AD16" i="51"/>
  <c r="AC16" i="51"/>
  <c r="AB16" i="51"/>
  <c r="AA16" i="51"/>
  <c r="Z16" i="51"/>
  <c r="Y16" i="51"/>
  <c r="BC15" i="51"/>
  <c r="BA15" i="51"/>
  <c r="AR15" i="51"/>
  <c r="AZ15" i="51" s="1"/>
  <c r="AQ15" i="51"/>
  <c r="BN15" i="51" s="1"/>
  <c r="AP15" i="51"/>
  <c r="AO15" i="51"/>
  <c r="AN15" i="51"/>
  <c r="BK15" i="51" s="1"/>
  <c r="AM15" i="51"/>
  <c r="BJ15" i="51" s="1"/>
  <c r="AL15" i="51"/>
  <c r="BI15" i="51" s="1"/>
  <c r="AK15" i="51"/>
  <c r="BH15" i="51" s="1"/>
  <c r="AJ15" i="51"/>
  <c r="BG15" i="51" s="1"/>
  <c r="AI15" i="51"/>
  <c r="BF15" i="51" s="1"/>
  <c r="AH15" i="51"/>
  <c r="AG15" i="51"/>
  <c r="BD15" i="51" s="1"/>
  <c r="AF15" i="51"/>
  <c r="AE15" i="51"/>
  <c r="BB15" i="51" s="1"/>
  <c r="AD15" i="51"/>
  <c r="AC15" i="51"/>
  <c r="AB15" i="51"/>
  <c r="AY15" i="51" s="1"/>
  <c r="AA15" i="51"/>
  <c r="AX15" i="51" s="1"/>
  <c r="Z15" i="51"/>
  <c r="AW15" i="51" s="1"/>
  <c r="Y15" i="51"/>
  <c r="AV15" i="51" s="1"/>
  <c r="BF14" i="51"/>
  <c r="AR14" i="51"/>
  <c r="BB14" i="51" s="1"/>
  <c r="AQ14" i="51"/>
  <c r="AP14" i="51"/>
  <c r="AO14" i="51"/>
  <c r="AN14" i="51"/>
  <c r="AM14" i="51"/>
  <c r="AL14" i="51"/>
  <c r="AK14" i="51"/>
  <c r="AJ14" i="51"/>
  <c r="AI14" i="51"/>
  <c r="AH14" i="51"/>
  <c r="BE14" i="51" s="1"/>
  <c r="AG14" i="51"/>
  <c r="BD14" i="51" s="1"/>
  <c r="AF14" i="51"/>
  <c r="BC14" i="51" s="1"/>
  <c r="AE14" i="51"/>
  <c r="AD14" i="51"/>
  <c r="AC14" i="51"/>
  <c r="AB14" i="51"/>
  <c r="AA14" i="51"/>
  <c r="Z14" i="51"/>
  <c r="Y14" i="51"/>
  <c r="AR13" i="51"/>
  <c r="BB13" i="51" s="1"/>
  <c r="AQ13" i="51"/>
  <c r="AP13" i="51"/>
  <c r="AO13" i="51"/>
  <c r="AN13" i="51"/>
  <c r="AM13" i="51"/>
  <c r="AL13" i="51"/>
  <c r="AK13" i="51"/>
  <c r="AJ13" i="51"/>
  <c r="AI13" i="51"/>
  <c r="AH13" i="51"/>
  <c r="AG13" i="51"/>
  <c r="AF13" i="51"/>
  <c r="BC13" i="51" s="1"/>
  <c r="AE13" i="51"/>
  <c r="AD13" i="51"/>
  <c r="AC13" i="51"/>
  <c r="AB13" i="51"/>
  <c r="AA13" i="51"/>
  <c r="Z13" i="51"/>
  <c r="Y13" i="51"/>
  <c r="AR12" i="51"/>
  <c r="BI12" i="51" s="1"/>
  <c r="AQ12" i="51"/>
  <c r="BN12" i="51" s="1"/>
  <c r="AP12" i="51"/>
  <c r="AO12" i="51"/>
  <c r="AN12" i="51"/>
  <c r="AM12" i="51"/>
  <c r="AL12" i="51"/>
  <c r="AK12" i="51"/>
  <c r="AJ12" i="51"/>
  <c r="AI12" i="51"/>
  <c r="AH12" i="51"/>
  <c r="AG12" i="51"/>
  <c r="AF12" i="51"/>
  <c r="BC12" i="51" s="1"/>
  <c r="AE12" i="51"/>
  <c r="BB12" i="51" s="1"/>
  <c r="AD12" i="51"/>
  <c r="AC12" i="51"/>
  <c r="AB12" i="51"/>
  <c r="AA12" i="51"/>
  <c r="Z12" i="51"/>
  <c r="Y12" i="51"/>
  <c r="AR11" i="51"/>
  <c r="BE11" i="51" s="1"/>
  <c r="AQ11" i="51"/>
  <c r="BN11" i="51" s="1"/>
  <c r="AP11" i="51"/>
  <c r="BM11" i="51" s="1"/>
  <c r="AO11" i="51"/>
  <c r="AN11" i="51"/>
  <c r="AM11" i="51"/>
  <c r="AL11" i="51"/>
  <c r="AK11" i="51"/>
  <c r="AJ11" i="51"/>
  <c r="AI11" i="51"/>
  <c r="AH11" i="51"/>
  <c r="AG11" i="51"/>
  <c r="BD11" i="51" s="1"/>
  <c r="AF11" i="51"/>
  <c r="BC11" i="51" s="1"/>
  <c r="AE11" i="51"/>
  <c r="AD11" i="51"/>
  <c r="BA11" i="51" s="1"/>
  <c r="AC11" i="51"/>
  <c r="AB11" i="51"/>
  <c r="AA11" i="51"/>
  <c r="Z11" i="51"/>
  <c r="Y11" i="51"/>
  <c r="BC10" i="51"/>
  <c r="AR10" i="51"/>
  <c r="AQ10" i="51"/>
  <c r="AP10" i="51"/>
  <c r="AO10" i="51"/>
  <c r="AN10" i="51"/>
  <c r="AM10" i="51"/>
  <c r="AL10" i="51"/>
  <c r="BI10" i="51" s="1"/>
  <c r="AK10" i="51"/>
  <c r="AJ10" i="51"/>
  <c r="BG10" i="51" s="1"/>
  <c r="AI10" i="51"/>
  <c r="AH10" i="51"/>
  <c r="AG10" i="51"/>
  <c r="BD10" i="51" s="1"/>
  <c r="AF10" i="51"/>
  <c r="AE10" i="51"/>
  <c r="BB10" i="51" s="1"/>
  <c r="AD10" i="51"/>
  <c r="AC10" i="51"/>
  <c r="AB10" i="51"/>
  <c r="AA10" i="51"/>
  <c r="Z10" i="51"/>
  <c r="AW10" i="51" s="1"/>
  <c r="Y10" i="51"/>
  <c r="AR9" i="51"/>
  <c r="AQ9" i="51"/>
  <c r="AP9" i="51"/>
  <c r="BM9" i="51" s="1"/>
  <c r="AO9" i="51"/>
  <c r="AN9" i="51"/>
  <c r="AM9" i="51"/>
  <c r="AL9" i="51"/>
  <c r="AK9" i="51"/>
  <c r="AJ9" i="51"/>
  <c r="AI9" i="51"/>
  <c r="AH9" i="51"/>
  <c r="AG9" i="51"/>
  <c r="AF9" i="51"/>
  <c r="BC9" i="51" s="1"/>
  <c r="AE9" i="51"/>
  <c r="AD9" i="51"/>
  <c r="AC9" i="51"/>
  <c r="AB9" i="51"/>
  <c r="AA9" i="51"/>
  <c r="Z9" i="51"/>
  <c r="Y9" i="51"/>
  <c r="BL8" i="51"/>
  <c r="AR8" i="51"/>
  <c r="AZ8" i="51" s="1"/>
  <c r="AQ8" i="51"/>
  <c r="BN8" i="51" s="1"/>
  <c r="AP8" i="51"/>
  <c r="AO8" i="51"/>
  <c r="AN8" i="51"/>
  <c r="BK8" i="51" s="1"/>
  <c r="AM8" i="51"/>
  <c r="AL8" i="51"/>
  <c r="AK8" i="51"/>
  <c r="AJ8" i="51"/>
  <c r="BG8" i="51" s="1"/>
  <c r="AI8" i="51"/>
  <c r="BF8" i="51" s="1"/>
  <c r="AH8" i="51"/>
  <c r="BE8" i="51" s="1"/>
  <c r="AG8" i="51"/>
  <c r="AF8" i="51"/>
  <c r="BC8" i="51" s="1"/>
  <c r="AE8" i="51"/>
  <c r="BB8" i="51" s="1"/>
  <c r="AD8" i="51"/>
  <c r="AC8" i="51"/>
  <c r="AB8" i="51"/>
  <c r="AA8" i="51"/>
  <c r="Z8" i="51"/>
  <c r="Y8" i="51"/>
  <c r="AG105" i="50"/>
  <c r="AM23" i="50" s="1"/>
  <c r="AF105" i="50"/>
  <c r="AE105" i="50"/>
  <c r="AD105" i="50"/>
  <c r="AC105" i="50"/>
  <c r="AB105" i="50"/>
  <c r="AA105" i="50"/>
  <c r="Z105" i="50"/>
  <c r="Y105" i="50"/>
  <c r="X105" i="50"/>
  <c r="W105" i="50"/>
  <c r="V105" i="50"/>
  <c r="U105" i="50"/>
  <c r="T105" i="50"/>
  <c r="AG103" i="50"/>
  <c r="AM21" i="50" s="1"/>
  <c r="AF103" i="50"/>
  <c r="AE103" i="50"/>
  <c r="AD103" i="50"/>
  <c r="AC103" i="50"/>
  <c r="AB103" i="50"/>
  <c r="AA103" i="50"/>
  <c r="Z103" i="50"/>
  <c r="Y103" i="50"/>
  <c r="X103" i="50"/>
  <c r="W103" i="50"/>
  <c r="V103" i="50"/>
  <c r="U103" i="50"/>
  <c r="T103" i="50"/>
  <c r="AG102" i="50"/>
  <c r="AM20" i="50" s="1"/>
  <c r="AF102" i="50"/>
  <c r="AE102" i="50"/>
  <c r="AD102" i="50"/>
  <c r="AC102" i="50"/>
  <c r="AB102" i="50"/>
  <c r="AA102" i="50"/>
  <c r="Z102" i="50"/>
  <c r="Y102" i="50"/>
  <c r="X102" i="50"/>
  <c r="W102" i="50"/>
  <c r="V102" i="50"/>
  <c r="U102" i="50"/>
  <c r="T102" i="50"/>
  <c r="AG101" i="50"/>
  <c r="AM19" i="50" s="1"/>
  <c r="AF101" i="50"/>
  <c r="AE101" i="50"/>
  <c r="AD101" i="50"/>
  <c r="AC101" i="50"/>
  <c r="AB101" i="50"/>
  <c r="AA101" i="50"/>
  <c r="Z101" i="50"/>
  <c r="Y101" i="50"/>
  <c r="X101" i="50"/>
  <c r="W101" i="50"/>
  <c r="V101" i="50"/>
  <c r="U101" i="50"/>
  <c r="T101" i="50"/>
  <c r="AG100" i="50"/>
  <c r="AM18" i="50" s="1"/>
  <c r="AF100" i="50"/>
  <c r="AE100" i="50"/>
  <c r="AD100" i="50"/>
  <c r="AC100" i="50"/>
  <c r="AB100" i="50"/>
  <c r="AA100" i="50"/>
  <c r="Z100" i="50"/>
  <c r="Y100" i="50"/>
  <c r="X100" i="50"/>
  <c r="W100" i="50"/>
  <c r="V100" i="50"/>
  <c r="U100" i="50"/>
  <c r="T100" i="50"/>
  <c r="AG99" i="50"/>
  <c r="AM17" i="50" s="1"/>
  <c r="AF99" i="50"/>
  <c r="AE99" i="50"/>
  <c r="AD99" i="50"/>
  <c r="AC99" i="50"/>
  <c r="AB99" i="50"/>
  <c r="AA99" i="50"/>
  <c r="Z99" i="50"/>
  <c r="Y99" i="50"/>
  <c r="X99" i="50"/>
  <c r="W99" i="50"/>
  <c r="V99" i="50"/>
  <c r="U99" i="50"/>
  <c r="T99" i="50"/>
  <c r="AG98" i="50"/>
  <c r="AM16" i="50" s="1"/>
  <c r="AF98" i="50"/>
  <c r="AE98" i="50"/>
  <c r="AD98" i="50"/>
  <c r="AC98" i="50"/>
  <c r="AB98" i="50"/>
  <c r="AA98" i="50"/>
  <c r="Z98" i="50"/>
  <c r="Y98" i="50"/>
  <c r="X98" i="50"/>
  <c r="W98" i="50"/>
  <c r="V98" i="50"/>
  <c r="U98" i="50"/>
  <c r="T98" i="50"/>
  <c r="AG97" i="50"/>
  <c r="AM15" i="50" s="1"/>
  <c r="AF97" i="50"/>
  <c r="AE97" i="50"/>
  <c r="AD97" i="50"/>
  <c r="AC97" i="50"/>
  <c r="AB97" i="50"/>
  <c r="AA97" i="50"/>
  <c r="Z97" i="50"/>
  <c r="Y97" i="50"/>
  <c r="X97" i="50"/>
  <c r="W97" i="50"/>
  <c r="V97" i="50"/>
  <c r="U97" i="50"/>
  <c r="T97" i="50"/>
  <c r="AG96" i="50"/>
  <c r="AM14" i="50" s="1"/>
  <c r="AF96" i="50"/>
  <c r="AE96" i="50"/>
  <c r="AD96" i="50"/>
  <c r="AC96" i="50"/>
  <c r="AB96" i="50"/>
  <c r="AA96" i="50"/>
  <c r="Z96" i="50"/>
  <c r="Y96" i="50"/>
  <c r="X96" i="50"/>
  <c r="W96" i="50"/>
  <c r="V96" i="50"/>
  <c r="U96" i="50"/>
  <c r="T96" i="50"/>
  <c r="AG95" i="50"/>
  <c r="AM13" i="50" s="1"/>
  <c r="AF95" i="50"/>
  <c r="AE95" i="50"/>
  <c r="AD95" i="50"/>
  <c r="AC95" i="50"/>
  <c r="AB95" i="50"/>
  <c r="AA95" i="50"/>
  <c r="Z95" i="50"/>
  <c r="Y95" i="50"/>
  <c r="X95" i="50"/>
  <c r="W95" i="50"/>
  <c r="V95" i="50"/>
  <c r="U95" i="50"/>
  <c r="T95" i="50"/>
  <c r="AG94" i="50"/>
  <c r="AM12" i="50" s="1"/>
  <c r="AF94" i="50"/>
  <c r="AE94" i="50"/>
  <c r="AD94" i="50"/>
  <c r="AC94" i="50"/>
  <c r="AB94" i="50"/>
  <c r="AA94" i="50"/>
  <c r="Z94" i="50"/>
  <c r="Y94" i="50"/>
  <c r="X94" i="50"/>
  <c r="W94" i="50"/>
  <c r="V94" i="50"/>
  <c r="U94" i="50"/>
  <c r="T94" i="50"/>
  <c r="AG93" i="50"/>
  <c r="AM11" i="50" s="1"/>
  <c r="AF93" i="50"/>
  <c r="AE93" i="50"/>
  <c r="AD93" i="50"/>
  <c r="AC93" i="50"/>
  <c r="AB93" i="50"/>
  <c r="AA93" i="50"/>
  <c r="Z93" i="50"/>
  <c r="Y93" i="50"/>
  <c r="X93" i="50"/>
  <c r="W93" i="50"/>
  <c r="V93" i="50"/>
  <c r="U93" i="50"/>
  <c r="T93" i="50"/>
  <c r="AG92" i="50"/>
  <c r="AM10" i="50" s="1"/>
  <c r="AF92" i="50"/>
  <c r="AE92" i="50"/>
  <c r="AD92" i="50"/>
  <c r="AC92" i="50"/>
  <c r="AB92" i="50"/>
  <c r="AA92" i="50"/>
  <c r="Z92" i="50"/>
  <c r="Y92" i="50"/>
  <c r="X92" i="50"/>
  <c r="W92" i="50"/>
  <c r="V92" i="50"/>
  <c r="U92" i="50"/>
  <c r="T92" i="50"/>
  <c r="AG91" i="50"/>
  <c r="AM9" i="50" s="1"/>
  <c r="AF91" i="50"/>
  <c r="AE91" i="50"/>
  <c r="AD91" i="50"/>
  <c r="AC91" i="50"/>
  <c r="AB91" i="50"/>
  <c r="AA91" i="50"/>
  <c r="Z91" i="50"/>
  <c r="Y91" i="50"/>
  <c r="X91" i="50"/>
  <c r="W91" i="50"/>
  <c r="V91" i="50"/>
  <c r="U91" i="50"/>
  <c r="T91" i="50"/>
  <c r="AG90" i="50"/>
  <c r="AM8" i="50" s="1"/>
  <c r="AF90" i="50"/>
  <c r="AE90" i="50"/>
  <c r="AD90" i="50"/>
  <c r="AC90" i="50"/>
  <c r="AB90" i="50"/>
  <c r="AA90" i="50"/>
  <c r="Z90" i="50"/>
  <c r="Y90" i="50"/>
  <c r="X90" i="50"/>
  <c r="W90" i="50"/>
  <c r="V90" i="50"/>
  <c r="U90" i="50"/>
  <c r="T90" i="50"/>
  <c r="AG89" i="50"/>
  <c r="AM7" i="50" s="1"/>
  <c r="AF89" i="50"/>
  <c r="AE89" i="50"/>
  <c r="AD89" i="50"/>
  <c r="AC89" i="50"/>
  <c r="AB89" i="50"/>
  <c r="AA89" i="50"/>
  <c r="Z89" i="50"/>
  <c r="Y89" i="50"/>
  <c r="X89" i="50"/>
  <c r="W89" i="50"/>
  <c r="V89" i="50"/>
  <c r="U89" i="50"/>
  <c r="T89" i="50"/>
  <c r="AG88" i="50"/>
  <c r="AF88" i="50"/>
  <c r="AE88" i="50"/>
  <c r="AD88" i="50"/>
  <c r="AC88" i="50"/>
  <c r="AB88" i="50"/>
  <c r="AA88" i="50"/>
  <c r="Z88" i="50"/>
  <c r="Y88" i="50"/>
  <c r="X88" i="50"/>
  <c r="W88" i="50"/>
  <c r="V88" i="50"/>
  <c r="U88" i="50"/>
  <c r="T88" i="50"/>
  <c r="AG87" i="50"/>
  <c r="AM5" i="50" s="1"/>
  <c r="AF87" i="50"/>
  <c r="AE87" i="50"/>
  <c r="AD87" i="50"/>
  <c r="AC87" i="50"/>
  <c r="AB87" i="50"/>
  <c r="AA87" i="50"/>
  <c r="Z87" i="50"/>
  <c r="Y87" i="50"/>
  <c r="X87" i="50"/>
  <c r="W87" i="50"/>
  <c r="V87" i="50"/>
  <c r="U87" i="50"/>
  <c r="T87" i="50"/>
  <c r="AG86" i="50"/>
  <c r="AM4" i="50" s="1"/>
  <c r="AF86" i="50"/>
  <c r="AE86" i="50"/>
  <c r="AD86" i="50"/>
  <c r="AC86" i="50"/>
  <c r="AB86" i="50"/>
  <c r="AA86" i="50"/>
  <c r="Z86" i="50"/>
  <c r="Y86" i="50"/>
  <c r="X86" i="50"/>
  <c r="W86" i="50"/>
  <c r="V86" i="50"/>
  <c r="U86" i="50"/>
  <c r="T86" i="50"/>
  <c r="AG51" i="50"/>
  <c r="AF51" i="50"/>
  <c r="AE51" i="50"/>
  <c r="AD51" i="50"/>
  <c r="AC51" i="50"/>
  <c r="AB51" i="50"/>
  <c r="AA51" i="50"/>
  <c r="Z51" i="50"/>
  <c r="Y51" i="50"/>
  <c r="X51" i="50"/>
  <c r="W51" i="50"/>
  <c r="V51" i="50"/>
  <c r="U51" i="50"/>
  <c r="T51" i="50"/>
  <c r="AG49" i="50"/>
  <c r="AF49" i="50"/>
  <c r="AE49" i="50"/>
  <c r="AD49" i="50"/>
  <c r="AC49" i="50"/>
  <c r="AB49" i="50"/>
  <c r="AA49" i="50"/>
  <c r="Z49" i="50"/>
  <c r="Y49" i="50"/>
  <c r="X49" i="50"/>
  <c r="W49" i="50"/>
  <c r="V49" i="50"/>
  <c r="U49" i="50"/>
  <c r="T49" i="50"/>
  <c r="AG48" i="50"/>
  <c r="AF48" i="50"/>
  <c r="AE48" i="50"/>
  <c r="AD48" i="50"/>
  <c r="AC48" i="50"/>
  <c r="AB48" i="50"/>
  <c r="AA48" i="50"/>
  <c r="Z48" i="50"/>
  <c r="Y48" i="50"/>
  <c r="X48" i="50"/>
  <c r="W48" i="50"/>
  <c r="V48" i="50"/>
  <c r="U48" i="50"/>
  <c r="T48" i="50"/>
  <c r="AG47" i="50"/>
  <c r="AF47" i="50"/>
  <c r="AE47" i="50"/>
  <c r="AD47" i="50"/>
  <c r="AC47" i="50"/>
  <c r="AB47" i="50"/>
  <c r="AA47" i="50"/>
  <c r="Z47" i="50"/>
  <c r="Y47" i="50"/>
  <c r="X47" i="50"/>
  <c r="W47" i="50"/>
  <c r="V47" i="50"/>
  <c r="U47" i="50"/>
  <c r="T47" i="50"/>
  <c r="AG46" i="50"/>
  <c r="AF46" i="50"/>
  <c r="AE46" i="50"/>
  <c r="AD46" i="50"/>
  <c r="AC46" i="50"/>
  <c r="AB46" i="50"/>
  <c r="AA46" i="50"/>
  <c r="Z46" i="50"/>
  <c r="Y46" i="50"/>
  <c r="X46" i="50"/>
  <c r="W46" i="50"/>
  <c r="V46" i="50"/>
  <c r="U46" i="50"/>
  <c r="T46" i="50"/>
  <c r="AG45" i="50"/>
  <c r="AF45" i="50"/>
  <c r="AE45" i="50"/>
  <c r="AD45" i="50"/>
  <c r="AC45" i="50"/>
  <c r="AB45" i="50"/>
  <c r="AA45" i="50"/>
  <c r="Z45" i="50"/>
  <c r="Y45" i="50"/>
  <c r="X45" i="50"/>
  <c r="W45" i="50"/>
  <c r="V45" i="50"/>
  <c r="U45" i="50"/>
  <c r="T45" i="50"/>
  <c r="AG44" i="50"/>
  <c r="AF44" i="50"/>
  <c r="AE44" i="50"/>
  <c r="AD44" i="50"/>
  <c r="AC44" i="50"/>
  <c r="AB44" i="50"/>
  <c r="AA44" i="50"/>
  <c r="Z44" i="50"/>
  <c r="Y44" i="50"/>
  <c r="X44" i="50"/>
  <c r="W44" i="50"/>
  <c r="V44" i="50"/>
  <c r="U44" i="50"/>
  <c r="T44" i="50"/>
  <c r="AG43" i="50"/>
  <c r="AF43" i="50"/>
  <c r="AE43" i="50"/>
  <c r="AD43" i="50"/>
  <c r="AC43" i="50"/>
  <c r="AB43" i="50"/>
  <c r="AA43" i="50"/>
  <c r="Z43" i="50"/>
  <c r="Y43" i="50"/>
  <c r="X43" i="50"/>
  <c r="W43" i="50"/>
  <c r="V43" i="50"/>
  <c r="U43" i="50"/>
  <c r="T43" i="50"/>
  <c r="AG42" i="50"/>
  <c r="AF42" i="50"/>
  <c r="AE42" i="50"/>
  <c r="AD42" i="50"/>
  <c r="AC42" i="50"/>
  <c r="AB42" i="50"/>
  <c r="AA42" i="50"/>
  <c r="Z42" i="50"/>
  <c r="Y42" i="50"/>
  <c r="X42" i="50"/>
  <c r="W42" i="50"/>
  <c r="V42" i="50"/>
  <c r="U42" i="50"/>
  <c r="T42" i="50"/>
  <c r="AG41" i="50"/>
  <c r="AF41" i="50"/>
  <c r="AE41" i="50"/>
  <c r="AD41" i="50"/>
  <c r="AC41" i="50"/>
  <c r="AB41" i="50"/>
  <c r="AA41" i="50"/>
  <c r="Z41" i="50"/>
  <c r="Y41" i="50"/>
  <c r="X41" i="50"/>
  <c r="W41" i="50"/>
  <c r="V41" i="50"/>
  <c r="U41" i="50"/>
  <c r="T41" i="50"/>
  <c r="AG40" i="50"/>
  <c r="AF40" i="50"/>
  <c r="AE40" i="50"/>
  <c r="AD40" i="50"/>
  <c r="AC40" i="50"/>
  <c r="AB40" i="50"/>
  <c r="AA40" i="50"/>
  <c r="Z40" i="50"/>
  <c r="Y40" i="50"/>
  <c r="X40" i="50"/>
  <c r="W40" i="50"/>
  <c r="V40" i="50"/>
  <c r="U40" i="50"/>
  <c r="T40" i="50"/>
  <c r="AG39" i="50"/>
  <c r="AF39" i="50"/>
  <c r="AE39" i="50"/>
  <c r="AD39" i="50"/>
  <c r="AC39" i="50"/>
  <c r="AB39" i="50"/>
  <c r="AA39" i="50"/>
  <c r="Z39" i="50"/>
  <c r="Y39" i="50"/>
  <c r="X39" i="50"/>
  <c r="W39" i="50"/>
  <c r="V39" i="50"/>
  <c r="U39" i="50"/>
  <c r="T39" i="50"/>
  <c r="AG38" i="50"/>
  <c r="AF38" i="50"/>
  <c r="AE38" i="50"/>
  <c r="AD38" i="50"/>
  <c r="AC38" i="50"/>
  <c r="AB38" i="50"/>
  <c r="AA38" i="50"/>
  <c r="Z38" i="50"/>
  <c r="Y38" i="50"/>
  <c r="X38" i="50"/>
  <c r="W38" i="50"/>
  <c r="V38" i="50"/>
  <c r="U38" i="50"/>
  <c r="T38" i="50"/>
  <c r="AG37" i="50"/>
  <c r="AF37" i="50"/>
  <c r="AE37" i="50"/>
  <c r="AD37" i="50"/>
  <c r="AC37" i="50"/>
  <c r="AB37" i="50"/>
  <c r="AA37" i="50"/>
  <c r="Z37" i="50"/>
  <c r="Y37" i="50"/>
  <c r="X37" i="50"/>
  <c r="W37" i="50"/>
  <c r="V37" i="50"/>
  <c r="U37" i="50"/>
  <c r="T37" i="50"/>
  <c r="AG36" i="50"/>
  <c r="AF36" i="50"/>
  <c r="AE36" i="50"/>
  <c r="AD36" i="50"/>
  <c r="AC36" i="50"/>
  <c r="AB36" i="50"/>
  <c r="AA36" i="50"/>
  <c r="Z36" i="50"/>
  <c r="Y36" i="50"/>
  <c r="X36" i="50"/>
  <c r="W36" i="50"/>
  <c r="V36" i="50"/>
  <c r="U36" i="50"/>
  <c r="T36" i="50"/>
  <c r="AG35" i="50"/>
  <c r="AF35" i="50"/>
  <c r="AE35" i="50"/>
  <c r="AD35" i="50"/>
  <c r="AC35" i="50"/>
  <c r="AB35" i="50"/>
  <c r="AA35" i="50"/>
  <c r="Z35" i="50"/>
  <c r="Y35" i="50"/>
  <c r="X35" i="50"/>
  <c r="W35" i="50"/>
  <c r="V35" i="50"/>
  <c r="U35" i="50"/>
  <c r="T35" i="50"/>
  <c r="AG34" i="50"/>
  <c r="AF34" i="50"/>
  <c r="AE34" i="50"/>
  <c r="AD34" i="50"/>
  <c r="AC34" i="50"/>
  <c r="AB34" i="50"/>
  <c r="AA34" i="50"/>
  <c r="Z34" i="50"/>
  <c r="Y34" i="50"/>
  <c r="X34" i="50"/>
  <c r="W34" i="50"/>
  <c r="V34" i="50"/>
  <c r="U34" i="50"/>
  <c r="T34" i="50"/>
  <c r="AG33" i="50"/>
  <c r="AF33" i="50"/>
  <c r="AE33" i="50"/>
  <c r="AD33" i="50"/>
  <c r="AC33" i="50"/>
  <c r="AB33" i="50"/>
  <c r="AA33" i="50"/>
  <c r="Z33" i="50"/>
  <c r="Y33" i="50"/>
  <c r="X33" i="50"/>
  <c r="W33" i="50"/>
  <c r="V33" i="50"/>
  <c r="U33" i="50"/>
  <c r="T33" i="50"/>
  <c r="AG32" i="50"/>
  <c r="AF32" i="50"/>
  <c r="AE32" i="50"/>
  <c r="AD32" i="50"/>
  <c r="AC32" i="50"/>
  <c r="AB32" i="50"/>
  <c r="AA32" i="50"/>
  <c r="Z32" i="50"/>
  <c r="Y32" i="50"/>
  <c r="X32" i="50"/>
  <c r="W32" i="50"/>
  <c r="V32" i="50"/>
  <c r="U32" i="50"/>
  <c r="T32" i="50"/>
  <c r="T5" i="50"/>
  <c r="U5" i="50"/>
  <c r="V5" i="50"/>
  <c r="W5" i="50"/>
  <c r="X5" i="50"/>
  <c r="Y5" i="50"/>
  <c r="Z5" i="50"/>
  <c r="AA5" i="50"/>
  <c r="AB5" i="50"/>
  <c r="AC5" i="50"/>
  <c r="AD5" i="50"/>
  <c r="AE5" i="50"/>
  <c r="AF5" i="50"/>
  <c r="T6" i="50"/>
  <c r="U6" i="50"/>
  <c r="V6" i="50"/>
  <c r="W6" i="50"/>
  <c r="X6" i="50"/>
  <c r="Y6" i="50"/>
  <c r="Z6" i="50"/>
  <c r="AA6" i="50"/>
  <c r="AB6" i="50"/>
  <c r="AC6" i="50"/>
  <c r="AD6" i="50"/>
  <c r="AE6" i="50"/>
  <c r="AF6" i="50"/>
  <c r="T7" i="50"/>
  <c r="U7" i="50"/>
  <c r="V7" i="50"/>
  <c r="W7" i="50"/>
  <c r="X7" i="50"/>
  <c r="Y7" i="50"/>
  <c r="Z7" i="50"/>
  <c r="AA7" i="50"/>
  <c r="AB7" i="50"/>
  <c r="AC7" i="50"/>
  <c r="AD7" i="50"/>
  <c r="AE7" i="50"/>
  <c r="AF7" i="50"/>
  <c r="T8" i="50"/>
  <c r="U8" i="50"/>
  <c r="V8" i="50"/>
  <c r="W8" i="50"/>
  <c r="X8" i="50"/>
  <c r="Y8" i="50"/>
  <c r="Z8" i="50"/>
  <c r="AA8" i="50"/>
  <c r="AB8" i="50"/>
  <c r="AC8" i="50"/>
  <c r="AD8" i="50"/>
  <c r="AE8" i="50"/>
  <c r="AF8" i="50"/>
  <c r="T9" i="50"/>
  <c r="U9" i="50"/>
  <c r="V9" i="50"/>
  <c r="W9" i="50"/>
  <c r="X9" i="50"/>
  <c r="Y9" i="50"/>
  <c r="Z9" i="50"/>
  <c r="AA9" i="50"/>
  <c r="AB9" i="50"/>
  <c r="AC9" i="50"/>
  <c r="AD9" i="50"/>
  <c r="AE9" i="50"/>
  <c r="AF9" i="50"/>
  <c r="T10" i="50"/>
  <c r="U10" i="50"/>
  <c r="V10" i="50"/>
  <c r="W10" i="50"/>
  <c r="X10" i="50"/>
  <c r="Y10" i="50"/>
  <c r="Z10" i="50"/>
  <c r="AA10" i="50"/>
  <c r="AB10" i="50"/>
  <c r="AC10" i="50"/>
  <c r="AD10" i="50"/>
  <c r="AE10" i="50"/>
  <c r="AF10" i="50"/>
  <c r="T11" i="50"/>
  <c r="U11" i="50"/>
  <c r="V11" i="50"/>
  <c r="W11" i="50"/>
  <c r="X11" i="50"/>
  <c r="Y11" i="50"/>
  <c r="Z11" i="50"/>
  <c r="AA11" i="50"/>
  <c r="AB11" i="50"/>
  <c r="AC11" i="50"/>
  <c r="AD11" i="50"/>
  <c r="AE11" i="50"/>
  <c r="AF11" i="50"/>
  <c r="T12" i="50"/>
  <c r="U12" i="50"/>
  <c r="V12" i="50"/>
  <c r="W12" i="50"/>
  <c r="X12" i="50"/>
  <c r="Y12" i="50"/>
  <c r="Z12" i="50"/>
  <c r="AA12" i="50"/>
  <c r="AB12" i="50"/>
  <c r="AC12" i="50"/>
  <c r="AD12" i="50"/>
  <c r="AE12" i="50"/>
  <c r="AF12" i="50"/>
  <c r="T13" i="50"/>
  <c r="U13" i="50"/>
  <c r="V13" i="50"/>
  <c r="W13" i="50"/>
  <c r="X13" i="50"/>
  <c r="Y13" i="50"/>
  <c r="Z13" i="50"/>
  <c r="AA13" i="50"/>
  <c r="AB13" i="50"/>
  <c r="AC13" i="50"/>
  <c r="AD13" i="50"/>
  <c r="AE13" i="50"/>
  <c r="AF13" i="50"/>
  <c r="T14" i="50"/>
  <c r="U14" i="50"/>
  <c r="V14" i="50"/>
  <c r="W14" i="50"/>
  <c r="X14" i="50"/>
  <c r="Y14" i="50"/>
  <c r="Z14" i="50"/>
  <c r="AA14" i="50"/>
  <c r="AB14" i="50"/>
  <c r="AC14" i="50"/>
  <c r="AD14" i="50"/>
  <c r="AE14" i="50"/>
  <c r="AF14" i="50"/>
  <c r="T15" i="50"/>
  <c r="U15" i="50"/>
  <c r="V15" i="50"/>
  <c r="W15" i="50"/>
  <c r="X15" i="50"/>
  <c r="Y15" i="50"/>
  <c r="Z15" i="50"/>
  <c r="AA15" i="50"/>
  <c r="AB15" i="50"/>
  <c r="AC15" i="50"/>
  <c r="AD15" i="50"/>
  <c r="AE15" i="50"/>
  <c r="AF15" i="50"/>
  <c r="T16" i="50"/>
  <c r="U16" i="50"/>
  <c r="V16" i="50"/>
  <c r="W16" i="50"/>
  <c r="X16" i="50"/>
  <c r="Y16" i="50"/>
  <c r="Z16" i="50"/>
  <c r="AA16" i="50"/>
  <c r="AB16" i="50"/>
  <c r="AC16" i="50"/>
  <c r="AD16" i="50"/>
  <c r="AE16" i="50"/>
  <c r="AF16" i="50"/>
  <c r="T17" i="50"/>
  <c r="U17" i="50"/>
  <c r="V17" i="50"/>
  <c r="W17" i="50"/>
  <c r="X17" i="50"/>
  <c r="Y17" i="50"/>
  <c r="Z17" i="50"/>
  <c r="AA17" i="50"/>
  <c r="AB17" i="50"/>
  <c r="AC17" i="50"/>
  <c r="AD17" i="50"/>
  <c r="AE17" i="50"/>
  <c r="AF17" i="50"/>
  <c r="T18" i="50"/>
  <c r="U18" i="50"/>
  <c r="V18" i="50"/>
  <c r="W18" i="50"/>
  <c r="X18" i="50"/>
  <c r="Y18" i="50"/>
  <c r="Z18" i="50"/>
  <c r="AA18" i="50"/>
  <c r="AB18" i="50"/>
  <c r="AC18" i="50"/>
  <c r="AD18" i="50"/>
  <c r="AE18" i="50"/>
  <c r="AF18" i="50"/>
  <c r="T19" i="50"/>
  <c r="U19" i="50"/>
  <c r="V19" i="50"/>
  <c r="W19" i="50"/>
  <c r="X19" i="50"/>
  <c r="Y19" i="50"/>
  <c r="Z19" i="50"/>
  <c r="AA19" i="50"/>
  <c r="AB19" i="50"/>
  <c r="AC19" i="50"/>
  <c r="AD19" i="50"/>
  <c r="AE19" i="50"/>
  <c r="AF19" i="50"/>
  <c r="T20" i="50"/>
  <c r="U20" i="50"/>
  <c r="V20" i="50"/>
  <c r="W20" i="50"/>
  <c r="X20" i="50"/>
  <c r="Y20" i="50"/>
  <c r="Z20" i="50"/>
  <c r="AA20" i="50"/>
  <c r="AB20" i="50"/>
  <c r="AC20" i="50"/>
  <c r="AD20" i="50"/>
  <c r="AE20" i="50"/>
  <c r="AF20" i="50"/>
  <c r="T21" i="50"/>
  <c r="U21" i="50"/>
  <c r="V21" i="50"/>
  <c r="W21" i="50"/>
  <c r="X21" i="50"/>
  <c r="Y21" i="50"/>
  <c r="Z21" i="50"/>
  <c r="AA21" i="50"/>
  <c r="AB21" i="50"/>
  <c r="AC21" i="50"/>
  <c r="AD21" i="50"/>
  <c r="AE21" i="50"/>
  <c r="AF21" i="50"/>
  <c r="T22" i="50"/>
  <c r="U22" i="50"/>
  <c r="V22" i="50"/>
  <c r="W22" i="50"/>
  <c r="X22" i="50"/>
  <c r="Y22" i="50"/>
  <c r="Z22" i="50"/>
  <c r="AA22" i="50"/>
  <c r="AB22" i="50"/>
  <c r="AC22" i="50"/>
  <c r="AD22" i="50"/>
  <c r="AE22" i="50"/>
  <c r="AF22" i="50"/>
  <c r="T24" i="50"/>
  <c r="U24" i="50"/>
  <c r="V24" i="50"/>
  <c r="W24" i="50"/>
  <c r="X24" i="50"/>
  <c r="Y24" i="50"/>
  <c r="Z24" i="50"/>
  <c r="AA24" i="50"/>
  <c r="AB24" i="50"/>
  <c r="AC24" i="50"/>
  <c r="AD24" i="50"/>
  <c r="AE24" i="50"/>
  <c r="AF24" i="50"/>
  <c r="AM50" i="50"/>
  <c r="AK50" i="50"/>
  <c r="AM48" i="50"/>
  <c r="AK48" i="50"/>
  <c r="AM47" i="50"/>
  <c r="AK47" i="50"/>
  <c r="AM46" i="50"/>
  <c r="AK46" i="50"/>
  <c r="AM45" i="50"/>
  <c r="AQ45" i="50"/>
  <c r="AK45" i="50"/>
  <c r="AM44" i="50"/>
  <c r="AQ44" i="50"/>
  <c r="AK44" i="50"/>
  <c r="AM43" i="50"/>
  <c r="AK43" i="50"/>
  <c r="AM42" i="50"/>
  <c r="AK42" i="50"/>
  <c r="AM41" i="50"/>
  <c r="AK41" i="50"/>
  <c r="AM40" i="50"/>
  <c r="AK40" i="50"/>
  <c r="AM39" i="50"/>
  <c r="AK39" i="50"/>
  <c r="AM38" i="50"/>
  <c r="AQ38" i="50"/>
  <c r="AK38" i="50"/>
  <c r="AM37" i="50"/>
  <c r="AK37" i="50"/>
  <c r="AM36" i="50"/>
  <c r="AK36" i="50"/>
  <c r="AM35" i="50"/>
  <c r="AK35" i="50"/>
  <c r="AM34" i="50"/>
  <c r="AQ34" i="50"/>
  <c r="AK34" i="50"/>
  <c r="AP34" i="50" s="1"/>
  <c r="AM33" i="50"/>
  <c r="AK33" i="50"/>
  <c r="AM32" i="50"/>
  <c r="AK32" i="50"/>
  <c r="AM31" i="50"/>
  <c r="AK31" i="50"/>
  <c r="AQ24" i="50"/>
  <c r="AP24" i="50"/>
  <c r="AG24" i="50"/>
  <c r="AG22" i="50"/>
  <c r="AG21" i="50"/>
  <c r="AG20" i="50"/>
  <c r="AG19" i="50"/>
  <c r="AG18" i="50"/>
  <c r="AG17" i="50"/>
  <c r="AG16" i="50"/>
  <c r="AG15" i="50"/>
  <c r="AG14" i="50"/>
  <c r="AG13" i="50"/>
  <c r="AG12" i="50"/>
  <c r="AG11" i="50"/>
  <c r="AG10" i="50"/>
  <c r="AG9" i="50"/>
  <c r="AG8" i="50"/>
  <c r="AG7" i="50"/>
  <c r="AG6" i="50"/>
  <c r="AG5" i="50"/>
  <c r="G34" i="49"/>
  <c r="F34" i="49"/>
  <c r="E34" i="49"/>
  <c r="D34" i="49"/>
  <c r="C34" i="49"/>
  <c r="G33" i="49"/>
  <c r="F33" i="49"/>
  <c r="E33" i="49"/>
  <c r="D33" i="49"/>
  <c r="C33" i="49"/>
  <c r="G32" i="49"/>
  <c r="F32" i="49"/>
  <c r="E32" i="49"/>
  <c r="D32" i="49"/>
  <c r="C32" i="49"/>
  <c r="G31" i="49"/>
  <c r="F31" i="49"/>
  <c r="E31" i="49"/>
  <c r="D31" i="49"/>
  <c r="C31" i="49"/>
  <c r="G30" i="49"/>
  <c r="F30" i="49"/>
  <c r="E30" i="49"/>
  <c r="D30" i="49"/>
  <c r="C30" i="49"/>
  <c r="G29" i="49"/>
  <c r="F29" i="49"/>
  <c r="E29" i="49"/>
  <c r="D29" i="49"/>
  <c r="C29" i="49"/>
  <c r="G28" i="49"/>
  <c r="F28" i="49"/>
  <c r="E28" i="49"/>
  <c r="D28" i="49"/>
  <c r="C28" i="49"/>
  <c r="G27" i="49"/>
  <c r="F27" i="49"/>
  <c r="E27" i="49"/>
  <c r="D27" i="49"/>
  <c r="C27" i="49"/>
  <c r="AJ15" i="48"/>
  <c r="AI15" i="48"/>
  <c r="AH15" i="48"/>
  <c r="AG15" i="48"/>
  <c r="AF15" i="48"/>
  <c r="AE15" i="48"/>
  <c r="AD15" i="48"/>
  <c r="AC15" i="48"/>
  <c r="AB15" i="48"/>
  <c r="AA15" i="48"/>
  <c r="Y15" i="48"/>
  <c r="X15" i="48"/>
  <c r="W15" i="48"/>
  <c r="V15" i="48"/>
  <c r="AI13" i="48"/>
  <c r="AH13" i="48"/>
  <c r="AG13" i="48"/>
  <c r="AF13" i="48"/>
  <c r="AE13" i="48"/>
  <c r="AD13" i="48"/>
  <c r="AB13" i="48"/>
  <c r="AA13" i="48"/>
  <c r="Z13" i="48"/>
  <c r="Y13" i="48"/>
  <c r="X13" i="48"/>
  <c r="AJ12" i="48"/>
  <c r="AI12" i="48"/>
  <c r="AH12" i="48"/>
  <c r="AG12" i="48"/>
  <c r="AE12" i="48"/>
  <c r="AD12" i="48"/>
  <c r="AC12" i="48"/>
  <c r="AB12" i="48"/>
  <c r="AA12" i="48"/>
  <c r="Z12" i="48"/>
  <c r="X12" i="48"/>
  <c r="W12" i="48"/>
  <c r="V12" i="48"/>
  <c r="AJ7" i="48"/>
  <c r="AI7" i="48"/>
  <c r="AH7" i="48"/>
  <c r="AG7" i="48"/>
  <c r="AF7" i="48"/>
  <c r="AE7" i="48"/>
  <c r="AD7" i="48"/>
  <c r="AC7" i="48"/>
  <c r="AB7" i="48"/>
  <c r="AA7" i="48"/>
  <c r="Z7" i="48"/>
  <c r="Z15" i="48" s="1"/>
  <c r="Y7" i="48"/>
  <c r="X7" i="48"/>
  <c r="W7" i="48"/>
  <c r="V7" i="48"/>
  <c r="AJ5" i="48"/>
  <c r="AJ13" i="48" s="1"/>
  <c r="AI5" i="48"/>
  <c r="AH5" i="48"/>
  <c r="AG5" i="48"/>
  <c r="AF5" i="48"/>
  <c r="AE5" i="48"/>
  <c r="AD5" i="48"/>
  <c r="AC5" i="48"/>
  <c r="AC13" i="48" s="1"/>
  <c r="AB5" i="48"/>
  <c r="AA5" i="48"/>
  <c r="Z5" i="48"/>
  <c r="Y5" i="48"/>
  <c r="X5" i="48"/>
  <c r="W5" i="48"/>
  <c r="W13" i="48" s="1"/>
  <c r="V5" i="48"/>
  <c r="V13" i="48" s="1"/>
  <c r="AJ4" i="48"/>
  <c r="AI4" i="48"/>
  <c r="AH4" i="48"/>
  <c r="AG4" i="48"/>
  <c r="AF4" i="48"/>
  <c r="AF12" i="48" s="1"/>
  <c r="AE4" i="48"/>
  <c r="AD4" i="48"/>
  <c r="AC4" i="48"/>
  <c r="AB4" i="48"/>
  <c r="AA4" i="48"/>
  <c r="Z4" i="48"/>
  <c r="Y4" i="48"/>
  <c r="Y12" i="48" s="1"/>
  <c r="X4" i="48"/>
  <c r="W4" i="48"/>
  <c r="V4" i="48"/>
  <c r="AI24" i="47"/>
  <c r="AH24" i="47"/>
  <c r="AG24" i="47"/>
  <c r="AF24" i="47"/>
  <c r="AE24" i="47"/>
  <c r="AD24" i="47"/>
  <c r="AC24" i="47"/>
  <c r="AB24" i="47"/>
  <c r="AA24" i="47"/>
  <c r="Z24" i="47"/>
  <c r="Y24" i="47"/>
  <c r="X24" i="47"/>
  <c r="W24" i="47"/>
  <c r="V24" i="47"/>
  <c r="AH23" i="47"/>
  <c r="AG23" i="47"/>
  <c r="AF23" i="47"/>
  <c r="Y23" i="47"/>
  <c r="V23" i="47"/>
  <c r="AJ21" i="47"/>
  <c r="AI21" i="47"/>
  <c r="AH21" i="47"/>
  <c r="AG21" i="47"/>
  <c r="AB21" i="47"/>
  <c r="Y21" i="47"/>
  <c r="X21" i="47"/>
  <c r="W21" i="47"/>
  <c r="V21" i="47"/>
  <c r="AJ20" i="47"/>
  <c r="AI20" i="47"/>
  <c r="AH20" i="47"/>
  <c r="AE20" i="47"/>
  <c r="AB20" i="47"/>
  <c r="AA20" i="47"/>
  <c r="Z20" i="47"/>
  <c r="AE19" i="47"/>
  <c r="AD19" i="47"/>
  <c r="AC19" i="47"/>
  <c r="V19" i="47"/>
  <c r="AH18" i="47"/>
  <c r="AG18" i="47"/>
  <c r="AF18" i="47"/>
  <c r="Y18" i="47"/>
  <c r="V18" i="47"/>
  <c r="AJ17" i="47"/>
  <c r="AI17" i="47"/>
  <c r="AB17" i="47"/>
  <c r="Y17" i="47"/>
  <c r="X17" i="47"/>
  <c r="W17" i="47"/>
  <c r="V17" i="47"/>
  <c r="AJ16" i="47"/>
  <c r="AE16" i="47"/>
  <c r="AB16" i="47"/>
  <c r="AA16" i="47"/>
  <c r="Z16" i="47"/>
  <c r="Y16" i="47"/>
  <c r="X16" i="47"/>
  <c r="W16" i="47"/>
  <c r="V16" i="47"/>
  <c r="AH12" i="47"/>
  <c r="AG12" i="47"/>
  <c r="AF12" i="47"/>
  <c r="AE12" i="47"/>
  <c r="AD12" i="47"/>
  <c r="AC12" i="47"/>
  <c r="AB12" i="47"/>
  <c r="AA12" i="47"/>
  <c r="Z12" i="47"/>
  <c r="Y12" i="47"/>
  <c r="X12" i="47"/>
  <c r="W12" i="47"/>
  <c r="V12" i="47"/>
  <c r="AJ11" i="47"/>
  <c r="AJ23" i="47" s="1"/>
  <c r="AI11" i="47"/>
  <c r="AI23" i="47" s="1"/>
  <c r="AH11" i="47"/>
  <c r="AG11" i="47"/>
  <c r="AF11" i="47"/>
  <c r="AE11" i="47"/>
  <c r="AE23" i="47" s="1"/>
  <c r="AD11" i="47"/>
  <c r="AD23" i="47" s="1"/>
  <c r="AC11" i="47"/>
  <c r="AC23" i="47" s="1"/>
  <c r="AB11" i="47"/>
  <c r="AB23" i="47" s="1"/>
  <c r="AA11" i="47"/>
  <c r="AA23" i="47" s="1"/>
  <c r="Z11" i="47"/>
  <c r="Z23" i="47" s="1"/>
  <c r="Y11" i="47"/>
  <c r="X11" i="47"/>
  <c r="X23" i="47" s="1"/>
  <c r="W11" i="47"/>
  <c r="W23" i="47" s="1"/>
  <c r="V11" i="47"/>
  <c r="AJ9" i="47"/>
  <c r="AI9" i="47"/>
  <c r="AH9" i="47"/>
  <c r="AG9" i="47"/>
  <c r="AF9" i="47"/>
  <c r="AF21" i="47" s="1"/>
  <c r="AE9" i="47"/>
  <c r="AE21" i="47" s="1"/>
  <c r="AD9" i="47"/>
  <c r="AD21" i="47" s="1"/>
  <c r="AC9" i="47"/>
  <c r="AC21" i="47" s="1"/>
  <c r="AB9" i="47"/>
  <c r="AA9" i="47"/>
  <c r="AA21" i="47" s="1"/>
  <c r="Z9" i="47"/>
  <c r="Z21" i="47" s="1"/>
  <c r="Y9" i="47"/>
  <c r="X9" i="47"/>
  <c r="W9" i="47"/>
  <c r="V9" i="47"/>
  <c r="AJ8" i="47"/>
  <c r="AI8" i="47"/>
  <c r="AH8" i="47"/>
  <c r="AG8" i="47"/>
  <c r="AG20" i="47" s="1"/>
  <c r="AF8" i="47"/>
  <c r="AF20" i="47" s="1"/>
  <c r="AE8" i="47"/>
  <c r="AD8" i="47"/>
  <c r="AD20" i="47" s="1"/>
  <c r="AC8" i="47"/>
  <c r="AC20" i="47" s="1"/>
  <c r="AB8" i="47"/>
  <c r="AA8" i="47"/>
  <c r="Z8" i="47"/>
  <c r="Y8" i="47"/>
  <c r="Y20" i="47" s="1"/>
  <c r="X8" i="47"/>
  <c r="X20" i="47" s="1"/>
  <c r="W8" i="47"/>
  <c r="W20" i="47" s="1"/>
  <c r="V8" i="47"/>
  <c r="V20" i="47" s="1"/>
  <c r="AJ7" i="47"/>
  <c r="AJ19" i="47" s="1"/>
  <c r="AI7" i="47"/>
  <c r="AI19" i="47" s="1"/>
  <c r="AH7" i="47"/>
  <c r="AH19" i="47" s="1"/>
  <c r="AG7" i="47"/>
  <c r="AG19" i="47" s="1"/>
  <c r="AF7" i="47"/>
  <c r="AF19" i="47" s="1"/>
  <c r="AE7" i="47"/>
  <c r="AD7" i="47"/>
  <c r="AC7" i="47"/>
  <c r="AB7" i="47"/>
  <c r="AB19" i="47" s="1"/>
  <c r="AA7" i="47"/>
  <c r="AA19" i="47" s="1"/>
  <c r="Z7" i="47"/>
  <c r="Z19" i="47" s="1"/>
  <c r="Y7" i="47"/>
  <c r="Y19" i="47" s="1"/>
  <c r="X7" i="47"/>
  <c r="X19" i="47" s="1"/>
  <c r="W7" i="47"/>
  <c r="W19" i="47" s="1"/>
  <c r="V7" i="47"/>
  <c r="AJ6" i="47"/>
  <c r="AJ18" i="47" s="1"/>
  <c r="AI6" i="47"/>
  <c r="AI18" i="47" s="1"/>
  <c r="AH6" i="47"/>
  <c r="AG6" i="47"/>
  <c r="AF6" i="47"/>
  <c r="AE6" i="47"/>
  <c r="AE18" i="47" s="1"/>
  <c r="AD6" i="47"/>
  <c r="AD18" i="47" s="1"/>
  <c r="AC6" i="47"/>
  <c r="AC18" i="47" s="1"/>
  <c r="AB6" i="47"/>
  <c r="AB18" i="47" s="1"/>
  <c r="AA6" i="47"/>
  <c r="AA18" i="47" s="1"/>
  <c r="Z6" i="47"/>
  <c r="Z18" i="47" s="1"/>
  <c r="Y6" i="47"/>
  <c r="X6" i="47"/>
  <c r="X18" i="47" s="1"/>
  <c r="W6" i="47"/>
  <c r="W18" i="47" s="1"/>
  <c r="V6" i="47"/>
  <c r="AJ5" i="47"/>
  <c r="AI5" i="47"/>
  <c r="AH5" i="47"/>
  <c r="AH17" i="47" s="1"/>
  <c r="AG5" i="47"/>
  <c r="AG17" i="47" s="1"/>
  <c r="AF5" i="47"/>
  <c r="AF17" i="47" s="1"/>
  <c r="AE5" i="47"/>
  <c r="AE17" i="47" s="1"/>
  <c r="AD5" i="47"/>
  <c r="AD17" i="47" s="1"/>
  <c r="AC5" i="47"/>
  <c r="AC17" i="47" s="1"/>
  <c r="AB5" i="47"/>
  <c r="AA5" i="47"/>
  <c r="AA17" i="47" s="1"/>
  <c r="Z5" i="47"/>
  <c r="Z17" i="47" s="1"/>
  <c r="Y5" i="47"/>
  <c r="X5" i="47"/>
  <c r="W5" i="47"/>
  <c r="V5" i="47"/>
  <c r="AJ4" i="47"/>
  <c r="AI4" i="47"/>
  <c r="AI16" i="47" s="1"/>
  <c r="AH4" i="47"/>
  <c r="AH16" i="47" s="1"/>
  <c r="AG4" i="47"/>
  <c r="AG16" i="47" s="1"/>
  <c r="AF4" i="47"/>
  <c r="AF16" i="47" s="1"/>
  <c r="AE4" i="47"/>
  <c r="AD4" i="47"/>
  <c r="AD16" i="47" s="1"/>
  <c r="AC4" i="47"/>
  <c r="AC16" i="47" s="1"/>
  <c r="AB4" i="47"/>
  <c r="AA4" i="47"/>
  <c r="Z4" i="47"/>
  <c r="Y4" i="47"/>
  <c r="X4" i="47"/>
  <c r="W4" i="47"/>
  <c r="V4" i="47"/>
  <c r="AJ22" i="46"/>
  <c r="AI22" i="46"/>
  <c r="AH22" i="46"/>
  <c r="AG22" i="46"/>
  <c r="AF22" i="46"/>
  <c r="AE22" i="46"/>
  <c r="AD22" i="46"/>
  <c r="AC22" i="46"/>
  <c r="AB22" i="46"/>
  <c r="AA22" i="46"/>
  <c r="Z22" i="46"/>
  <c r="Y22" i="46"/>
  <c r="X22" i="46"/>
  <c r="W22" i="46"/>
  <c r="AI21" i="46"/>
  <c r="AH21" i="46"/>
  <c r="AC21" i="46"/>
  <c r="AB21" i="46"/>
  <c r="AA21" i="46"/>
  <c r="Z21" i="46"/>
  <c r="Y21" i="46"/>
  <c r="X21" i="46"/>
  <c r="W21" i="46"/>
  <c r="AJ19" i="46"/>
  <c r="AE19" i="46"/>
  <c r="AD19" i="46"/>
  <c r="AC19" i="46"/>
  <c r="AA19" i="46"/>
  <c r="Z19" i="46"/>
  <c r="Y19" i="46"/>
  <c r="X19" i="46"/>
  <c r="AG18" i="46"/>
  <c r="AF18" i="46"/>
  <c r="AC18" i="46"/>
  <c r="AA18" i="46"/>
  <c r="Z18" i="46"/>
  <c r="AI17" i="46"/>
  <c r="AH17" i="46"/>
  <c r="AG17" i="46"/>
  <c r="AF17" i="46"/>
  <c r="AE17" i="46"/>
  <c r="AC17" i="46"/>
  <c r="AB17" i="46"/>
  <c r="W17" i="46"/>
  <c r="AJ16" i="46"/>
  <c r="AI16" i="46"/>
  <c r="AH16" i="46"/>
  <c r="AG16" i="46"/>
  <c r="AF16" i="46"/>
  <c r="AE16" i="46"/>
  <c r="AD16" i="46"/>
  <c r="Y16" i="46"/>
  <c r="X16" i="46"/>
  <c r="W16" i="46"/>
  <c r="AI15" i="46"/>
  <c r="AH15" i="46"/>
  <c r="AG15" i="46"/>
  <c r="AF15" i="46"/>
  <c r="AA15" i="46"/>
  <c r="Z15" i="46"/>
  <c r="W15" i="46"/>
  <c r="AJ11" i="46"/>
  <c r="AI11" i="46"/>
  <c r="AH11" i="46"/>
  <c r="AG11" i="46"/>
  <c r="AF11" i="46"/>
  <c r="AE11" i="46"/>
  <c r="AD11" i="46"/>
  <c r="AC11" i="46"/>
  <c r="AB11" i="46"/>
  <c r="AA11" i="46"/>
  <c r="Z11" i="46"/>
  <c r="Y11" i="46"/>
  <c r="X11" i="46"/>
  <c r="W11" i="46"/>
  <c r="AJ10" i="46"/>
  <c r="AJ21" i="46" s="1"/>
  <c r="AI10" i="46"/>
  <c r="AH10" i="46"/>
  <c r="AG10" i="46"/>
  <c r="AG21" i="46" s="1"/>
  <c r="AF10" i="46"/>
  <c r="AF21" i="46" s="1"/>
  <c r="AE10" i="46"/>
  <c r="AE21" i="46" s="1"/>
  <c r="AD10" i="46"/>
  <c r="AD21" i="46" s="1"/>
  <c r="AC10" i="46"/>
  <c r="AB10" i="46"/>
  <c r="AA10" i="46"/>
  <c r="Z10" i="46"/>
  <c r="Y10" i="46"/>
  <c r="X10" i="46"/>
  <c r="W10" i="46"/>
  <c r="AJ8" i="46"/>
  <c r="AI8" i="46"/>
  <c r="AI19" i="46" s="1"/>
  <c r="AH8" i="46"/>
  <c r="AH19" i="46" s="1"/>
  <c r="AG8" i="46"/>
  <c r="AG19" i="46" s="1"/>
  <c r="AF8" i="46"/>
  <c r="AF19" i="46" s="1"/>
  <c r="AE8" i="46"/>
  <c r="AD8" i="46"/>
  <c r="AC8" i="46"/>
  <c r="AB8" i="46"/>
  <c r="AB19" i="46" s="1"/>
  <c r="AA8" i="46"/>
  <c r="Z8" i="46"/>
  <c r="Y8" i="46"/>
  <c r="X8" i="46"/>
  <c r="W8" i="46"/>
  <c r="W19" i="46" s="1"/>
  <c r="AJ7" i="46"/>
  <c r="AJ18" i="46" s="1"/>
  <c r="AI7" i="46"/>
  <c r="AI18" i="46" s="1"/>
  <c r="AH7" i="46"/>
  <c r="AH18" i="46" s="1"/>
  <c r="AG7" i="46"/>
  <c r="AF7" i="46"/>
  <c r="AE7" i="46"/>
  <c r="AE18" i="46" s="1"/>
  <c r="AD7" i="46"/>
  <c r="AD18" i="46" s="1"/>
  <c r="AC7" i="46"/>
  <c r="AB7" i="46"/>
  <c r="AB18" i="46" s="1"/>
  <c r="AA7" i="46"/>
  <c r="Z7" i="46"/>
  <c r="Y7" i="46"/>
  <c r="Y18" i="46" s="1"/>
  <c r="X7" i="46"/>
  <c r="X18" i="46" s="1"/>
  <c r="W7" i="46"/>
  <c r="W18" i="46" s="1"/>
  <c r="AJ6" i="46"/>
  <c r="AJ17" i="46" s="1"/>
  <c r="AI6" i="46"/>
  <c r="AH6" i="46"/>
  <c r="AG6" i="46"/>
  <c r="AF6" i="46"/>
  <c r="AE6" i="46"/>
  <c r="AD6" i="46"/>
  <c r="AD17" i="46" s="1"/>
  <c r="AC6" i="46"/>
  <c r="AB6" i="46"/>
  <c r="AA6" i="46"/>
  <c r="AA17" i="46" s="1"/>
  <c r="Z6" i="46"/>
  <c r="Z17" i="46" s="1"/>
  <c r="Y6" i="46"/>
  <c r="Y17" i="46" s="1"/>
  <c r="X6" i="46"/>
  <c r="X17" i="46" s="1"/>
  <c r="W6" i="46"/>
  <c r="AJ5" i="46"/>
  <c r="AI5" i="46"/>
  <c r="AH5" i="46"/>
  <c r="AG5" i="46"/>
  <c r="AF5" i="46"/>
  <c r="AE5" i="46"/>
  <c r="AD5" i="46"/>
  <c r="AC5" i="46"/>
  <c r="AC16" i="46" s="1"/>
  <c r="AB5" i="46"/>
  <c r="AB16" i="46" s="1"/>
  <c r="AA5" i="46"/>
  <c r="AA16" i="46" s="1"/>
  <c r="Z5" i="46"/>
  <c r="Z16" i="46" s="1"/>
  <c r="Y5" i="46"/>
  <c r="X5" i="46"/>
  <c r="W5" i="46"/>
  <c r="AJ4" i="46"/>
  <c r="AJ15" i="46" s="1"/>
  <c r="AI4" i="46"/>
  <c r="AH4" i="46"/>
  <c r="AG4" i="46"/>
  <c r="AF4" i="46"/>
  <c r="AE4" i="46"/>
  <c r="AE15" i="46" s="1"/>
  <c r="AD4" i="46"/>
  <c r="AD15" i="46" s="1"/>
  <c r="AC4" i="46"/>
  <c r="AC15" i="46" s="1"/>
  <c r="AB4" i="46"/>
  <c r="AB15" i="46" s="1"/>
  <c r="AA4" i="46"/>
  <c r="Z4" i="46"/>
  <c r="Y4" i="46"/>
  <c r="Y15" i="46" s="1"/>
  <c r="X4" i="46"/>
  <c r="X15" i="46" s="1"/>
  <c r="W4" i="46"/>
  <c r="AI20" i="45"/>
  <c r="AH20" i="45"/>
  <c r="AG20" i="45"/>
  <c r="AF20" i="45"/>
  <c r="AE20" i="45"/>
  <c r="AD20" i="45"/>
  <c r="AC20" i="45"/>
  <c r="AB20" i="45"/>
  <c r="AA20" i="45"/>
  <c r="Z20" i="45"/>
  <c r="Y20" i="45"/>
  <c r="X20" i="45"/>
  <c r="W20" i="45"/>
  <c r="V20" i="45"/>
  <c r="AD17" i="45"/>
  <c r="AC17" i="45"/>
  <c r="AB17" i="45"/>
  <c r="AF16" i="45"/>
  <c r="AE16" i="45"/>
  <c r="AD16" i="45"/>
  <c r="AC16" i="45"/>
  <c r="Z16" i="45"/>
  <c r="Y16" i="45"/>
  <c r="AH15" i="45"/>
  <c r="AG15" i="45"/>
  <c r="AF15" i="45"/>
  <c r="AE15" i="45"/>
  <c r="AB15" i="45"/>
  <c r="AA15" i="45"/>
  <c r="Z15" i="45"/>
  <c r="Y15" i="45"/>
  <c r="V15" i="45"/>
  <c r="AI14" i="45"/>
  <c r="AG14" i="45"/>
  <c r="AI10" i="45"/>
  <c r="AH10" i="45"/>
  <c r="AG10" i="45"/>
  <c r="AF10" i="45"/>
  <c r="AE10" i="45"/>
  <c r="AD10" i="45"/>
  <c r="AC10" i="45"/>
  <c r="AB10" i="45"/>
  <c r="AA10" i="45"/>
  <c r="Z10" i="45"/>
  <c r="Y10" i="45"/>
  <c r="X10" i="45"/>
  <c r="W10" i="45"/>
  <c r="V10" i="45"/>
  <c r="AI9" i="45"/>
  <c r="AI19" i="45" s="1"/>
  <c r="AH9" i="45"/>
  <c r="AH19" i="45" s="1"/>
  <c r="AG9" i="45"/>
  <c r="AG19" i="45" s="1"/>
  <c r="AF9" i="45"/>
  <c r="AF19" i="45" s="1"/>
  <c r="AE9" i="45"/>
  <c r="AE19" i="45" s="1"/>
  <c r="AD9" i="45"/>
  <c r="AD19" i="45" s="1"/>
  <c r="AC9" i="45"/>
  <c r="AC19" i="45" s="1"/>
  <c r="AB9" i="45"/>
  <c r="AB19" i="45" s="1"/>
  <c r="AA9" i="45"/>
  <c r="AA19" i="45" s="1"/>
  <c r="Z9" i="45"/>
  <c r="Z19" i="45" s="1"/>
  <c r="Y9" i="45"/>
  <c r="Y19" i="45" s="1"/>
  <c r="X9" i="45"/>
  <c r="X19" i="45" s="1"/>
  <c r="W9" i="45"/>
  <c r="W19" i="45" s="1"/>
  <c r="V9" i="45"/>
  <c r="V19" i="45" s="1"/>
  <c r="AI7" i="45"/>
  <c r="AI17" i="45" s="1"/>
  <c r="AH7" i="45"/>
  <c r="AH17" i="45" s="1"/>
  <c r="AG7" i="45"/>
  <c r="AG17" i="45" s="1"/>
  <c r="AF7" i="45"/>
  <c r="AF17" i="45" s="1"/>
  <c r="AE7" i="45"/>
  <c r="AE17" i="45" s="1"/>
  <c r="AD7" i="45"/>
  <c r="AC7" i="45"/>
  <c r="AB7" i="45"/>
  <c r="AA7" i="45"/>
  <c r="AA17" i="45" s="1"/>
  <c r="Z7" i="45"/>
  <c r="Z17" i="45" s="1"/>
  <c r="Y7" i="45"/>
  <c r="Y17" i="45" s="1"/>
  <c r="X7" i="45"/>
  <c r="X17" i="45" s="1"/>
  <c r="W7" i="45"/>
  <c r="W17" i="45" s="1"/>
  <c r="V7" i="45"/>
  <c r="V17" i="45" s="1"/>
  <c r="AI6" i="45"/>
  <c r="AI16" i="45" s="1"/>
  <c r="AH6" i="45"/>
  <c r="AH16" i="45" s="1"/>
  <c r="AG6" i="45"/>
  <c r="AG16" i="45" s="1"/>
  <c r="AF6" i="45"/>
  <c r="AE6" i="45"/>
  <c r="AD6" i="45"/>
  <c r="AC6" i="45"/>
  <c r="AB6" i="45"/>
  <c r="AB16" i="45" s="1"/>
  <c r="AA6" i="45"/>
  <c r="AA16" i="45" s="1"/>
  <c r="Z6" i="45"/>
  <c r="Y6" i="45"/>
  <c r="X6" i="45"/>
  <c r="X16" i="45" s="1"/>
  <c r="W6" i="45"/>
  <c r="W16" i="45" s="1"/>
  <c r="V6" i="45"/>
  <c r="V16" i="45" s="1"/>
  <c r="AI5" i="45"/>
  <c r="AI15" i="45" s="1"/>
  <c r="AH5" i="45"/>
  <c r="AG5" i="45"/>
  <c r="AF5" i="45"/>
  <c r="AE5" i="45"/>
  <c r="AD5" i="45"/>
  <c r="AD15" i="45" s="1"/>
  <c r="AC5" i="45"/>
  <c r="AC15" i="45" s="1"/>
  <c r="AB5" i="45"/>
  <c r="AA5" i="45"/>
  <c r="Z5" i="45"/>
  <c r="Y5" i="45"/>
  <c r="X5" i="45"/>
  <c r="X15" i="45" s="1"/>
  <c r="W5" i="45"/>
  <c r="W15" i="45" s="1"/>
  <c r="V5" i="45"/>
  <c r="AI4" i="45"/>
  <c r="AH4" i="45"/>
  <c r="AH14" i="45" s="1"/>
  <c r="AG4" i="45"/>
  <c r="AF4" i="45"/>
  <c r="AF14" i="45" s="1"/>
  <c r="AE4" i="45"/>
  <c r="AE14" i="45" s="1"/>
  <c r="AD4" i="45"/>
  <c r="AD14" i="45" s="1"/>
  <c r="AC4" i="45"/>
  <c r="AC14" i="45" s="1"/>
  <c r="AB4" i="45"/>
  <c r="AB14" i="45" s="1"/>
  <c r="AA4" i="45"/>
  <c r="AA14" i="45" s="1"/>
  <c r="Z4" i="45"/>
  <c r="Z14" i="45" s="1"/>
  <c r="Y4" i="45"/>
  <c r="Y14" i="45" s="1"/>
  <c r="X4" i="45"/>
  <c r="X14" i="45" s="1"/>
  <c r="W4" i="45"/>
  <c r="W14" i="45" s="1"/>
  <c r="V4" i="45"/>
  <c r="V14" i="45" s="1"/>
  <c r="AI24" i="44"/>
  <c r="AH24" i="44"/>
  <c r="AG24" i="44"/>
  <c r="AF24" i="44"/>
  <c r="AE24" i="44"/>
  <c r="AD24" i="44"/>
  <c r="AC24" i="44"/>
  <c r="AB24" i="44"/>
  <c r="AA24" i="44"/>
  <c r="Z24" i="44"/>
  <c r="Y24" i="44"/>
  <c r="X24" i="44"/>
  <c r="W24" i="44"/>
  <c r="V24" i="44"/>
  <c r="AE23" i="44"/>
  <c r="AC23" i="44"/>
  <c r="AB23" i="44"/>
  <c r="AA23" i="44"/>
  <c r="AD21" i="44"/>
  <c r="AC21" i="44"/>
  <c r="AB21" i="44"/>
  <c r="AF20" i="44"/>
  <c r="AE20" i="44"/>
  <c r="AD20" i="44"/>
  <c r="AC20" i="44"/>
  <c r="Z20" i="44"/>
  <c r="AH19" i="44"/>
  <c r="AG19" i="44"/>
  <c r="AF19" i="44"/>
  <c r="AE19" i="44"/>
  <c r="AB19" i="44"/>
  <c r="AA19" i="44"/>
  <c r="Z19" i="44"/>
  <c r="V19" i="44"/>
  <c r="AI18" i="44"/>
  <c r="AH18" i="44"/>
  <c r="AG18" i="44"/>
  <c r="AD18" i="44"/>
  <c r="AC18" i="44"/>
  <c r="AB18" i="44"/>
  <c r="AA18" i="44"/>
  <c r="Z18" i="44"/>
  <c r="X18" i="44"/>
  <c r="W18" i="44"/>
  <c r="V18" i="44"/>
  <c r="Z17" i="44"/>
  <c r="Y17" i="44"/>
  <c r="AB16" i="44"/>
  <c r="AA16" i="44"/>
  <c r="Z16" i="44"/>
  <c r="AI12" i="44"/>
  <c r="AH12" i="44"/>
  <c r="AG12" i="44"/>
  <c r="AF12" i="44"/>
  <c r="AE12" i="44"/>
  <c r="AD12" i="44"/>
  <c r="AC12" i="44"/>
  <c r="AB12" i="44"/>
  <c r="AA12" i="44"/>
  <c r="Z12" i="44"/>
  <c r="Y12" i="44"/>
  <c r="X12" i="44"/>
  <c r="W12" i="44"/>
  <c r="V12" i="44"/>
  <c r="AI11" i="44"/>
  <c r="AI23" i="44" s="1"/>
  <c r="AH11" i="44"/>
  <c r="AH23" i="44" s="1"/>
  <c r="AG11" i="44"/>
  <c r="AG23" i="44" s="1"/>
  <c r="AF11" i="44"/>
  <c r="AF23" i="44" s="1"/>
  <c r="AE11" i="44"/>
  <c r="AD11" i="44"/>
  <c r="AD23" i="44" s="1"/>
  <c r="AC11" i="44"/>
  <c r="AB11" i="44"/>
  <c r="AA11" i="44"/>
  <c r="Z11" i="44"/>
  <c r="Z23" i="44" s="1"/>
  <c r="Y11" i="44"/>
  <c r="Y23" i="44" s="1"/>
  <c r="X11" i="44"/>
  <c r="X23" i="44" s="1"/>
  <c r="W11" i="44"/>
  <c r="W23" i="44" s="1"/>
  <c r="V11" i="44"/>
  <c r="V23" i="44" s="1"/>
  <c r="AI9" i="44"/>
  <c r="AI21" i="44" s="1"/>
  <c r="AH9" i="44"/>
  <c r="AH21" i="44" s="1"/>
  <c r="AG9" i="44"/>
  <c r="AG21" i="44" s="1"/>
  <c r="AF9" i="44"/>
  <c r="AF21" i="44" s="1"/>
  <c r="AE9" i="44"/>
  <c r="AE21" i="44" s="1"/>
  <c r="AD9" i="44"/>
  <c r="AC9" i="44"/>
  <c r="AB9" i="44"/>
  <c r="AA9" i="44"/>
  <c r="AA21" i="44" s="1"/>
  <c r="Z9" i="44"/>
  <c r="Z21" i="44" s="1"/>
  <c r="Y9" i="44"/>
  <c r="Y21" i="44" s="1"/>
  <c r="X9" i="44"/>
  <c r="X21" i="44" s="1"/>
  <c r="W9" i="44"/>
  <c r="W21" i="44" s="1"/>
  <c r="V9" i="44"/>
  <c r="V21" i="44" s="1"/>
  <c r="AI8" i="44"/>
  <c r="AI20" i="44" s="1"/>
  <c r="AH8" i="44"/>
  <c r="AH20" i="44" s="1"/>
  <c r="AG8" i="44"/>
  <c r="AG20" i="44" s="1"/>
  <c r="AF8" i="44"/>
  <c r="AE8" i="44"/>
  <c r="AD8" i="44"/>
  <c r="AC8" i="44"/>
  <c r="AB8" i="44"/>
  <c r="AB20" i="44" s="1"/>
  <c r="AA8" i="44"/>
  <c r="AA20" i="44" s="1"/>
  <c r="Z8" i="44"/>
  <c r="Y8" i="44"/>
  <c r="Y20" i="44" s="1"/>
  <c r="X8" i="44"/>
  <c r="X20" i="44" s="1"/>
  <c r="W8" i="44"/>
  <c r="W20" i="44" s="1"/>
  <c r="V8" i="44"/>
  <c r="V20" i="44" s="1"/>
  <c r="AI7" i="44"/>
  <c r="AI19" i="44" s="1"/>
  <c r="AH7" i="44"/>
  <c r="AG7" i="44"/>
  <c r="AF7" i="44"/>
  <c r="AE7" i="44"/>
  <c r="AD7" i="44"/>
  <c r="AD19" i="44" s="1"/>
  <c r="AC7" i="44"/>
  <c r="AC19" i="44" s="1"/>
  <c r="AB7" i="44"/>
  <c r="AA7" i="44"/>
  <c r="Z7" i="44"/>
  <c r="Y7" i="44"/>
  <c r="Y19" i="44" s="1"/>
  <c r="X7" i="44"/>
  <c r="X19" i="44" s="1"/>
  <c r="W7" i="44"/>
  <c r="W19" i="44" s="1"/>
  <c r="V7" i="44"/>
  <c r="AI6" i="44"/>
  <c r="AH6" i="44"/>
  <c r="AG6" i="44"/>
  <c r="AF6" i="44"/>
  <c r="AF18" i="44" s="1"/>
  <c r="AE6" i="44"/>
  <c r="AE18" i="44" s="1"/>
  <c r="AD6" i="44"/>
  <c r="AC6" i="44"/>
  <c r="AB6" i="44"/>
  <c r="AA6" i="44"/>
  <c r="Z6" i="44"/>
  <c r="Y6" i="44"/>
  <c r="Y18" i="44" s="1"/>
  <c r="X6" i="44"/>
  <c r="W6" i="44"/>
  <c r="V6" i="44"/>
  <c r="AI5" i="44"/>
  <c r="AI17" i="44" s="1"/>
  <c r="AH5" i="44"/>
  <c r="AH17" i="44" s="1"/>
  <c r="AG5" i="44"/>
  <c r="AG17" i="44" s="1"/>
  <c r="AF5" i="44"/>
  <c r="AF17" i="44" s="1"/>
  <c r="AE5" i="44"/>
  <c r="AE17" i="44" s="1"/>
  <c r="AD5" i="44"/>
  <c r="AD17" i="44" s="1"/>
  <c r="AC5" i="44"/>
  <c r="AC17" i="44" s="1"/>
  <c r="AB5" i="44"/>
  <c r="AB17" i="44" s="1"/>
  <c r="AA5" i="44"/>
  <c r="AA17" i="44" s="1"/>
  <c r="Z5" i="44"/>
  <c r="Y5" i="44"/>
  <c r="X5" i="44"/>
  <c r="X17" i="44" s="1"/>
  <c r="W5" i="44"/>
  <c r="W17" i="44" s="1"/>
  <c r="V5" i="44"/>
  <c r="V17" i="44" s="1"/>
  <c r="AI4" i="44"/>
  <c r="AI16" i="44" s="1"/>
  <c r="AH4" i="44"/>
  <c r="AH16" i="44" s="1"/>
  <c r="AG4" i="44"/>
  <c r="AG16" i="44" s="1"/>
  <c r="AF4" i="44"/>
  <c r="AF16" i="44" s="1"/>
  <c r="AE4" i="44"/>
  <c r="AE16" i="44" s="1"/>
  <c r="AD4" i="44"/>
  <c r="AD16" i="44" s="1"/>
  <c r="AC4" i="44"/>
  <c r="AC16" i="44" s="1"/>
  <c r="AB4" i="44"/>
  <c r="AA4" i="44"/>
  <c r="Z4" i="44"/>
  <c r="Y4" i="44"/>
  <c r="Y16" i="44" s="1"/>
  <c r="X4" i="44"/>
  <c r="X16" i="44" s="1"/>
  <c r="W4" i="44"/>
  <c r="W16" i="44" s="1"/>
  <c r="V4" i="44"/>
  <c r="V16" i="44" s="1"/>
  <c r="AI20" i="43"/>
  <c r="AH20" i="43"/>
  <c r="AG20" i="43"/>
  <c r="AF20" i="43"/>
  <c r="AE20" i="43"/>
  <c r="AD20" i="43"/>
  <c r="AC20" i="43"/>
  <c r="AB20" i="43"/>
  <c r="AA20" i="43"/>
  <c r="Z20" i="43"/>
  <c r="Y20" i="43"/>
  <c r="X20" i="43"/>
  <c r="W20" i="43"/>
  <c r="V20" i="43"/>
  <c r="AD19" i="43"/>
  <c r="AA19" i="43"/>
  <c r="AF17" i="43"/>
  <c r="AE17" i="43"/>
  <c r="AD17" i="43"/>
  <c r="AH16" i="43"/>
  <c r="AG16" i="43"/>
  <c r="AF16" i="43"/>
  <c r="AE16" i="43"/>
  <c r="AD16" i="43"/>
  <c r="V16" i="43"/>
  <c r="AI15" i="43"/>
  <c r="AH15" i="43"/>
  <c r="AG15" i="43"/>
  <c r="AF15" i="43"/>
  <c r="AE15" i="43"/>
  <c r="AD15" i="43"/>
  <c r="X15" i="43"/>
  <c r="V15" i="43"/>
  <c r="AI14" i="43"/>
  <c r="AH14" i="43"/>
  <c r="AG14" i="43"/>
  <c r="AF14" i="43"/>
  <c r="AE14" i="43"/>
  <c r="AD14" i="43"/>
  <c r="AI10" i="43"/>
  <c r="AH10" i="43"/>
  <c r="AG10" i="43"/>
  <c r="AF10" i="43"/>
  <c r="AE10" i="43"/>
  <c r="AD10" i="43"/>
  <c r="AC10" i="43"/>
  <c r="AB10" i="43"/>
  <c r="AA10" i="43"/>
  <c r="Z10" i="43"/>
  <c r="Y10" i="43"/>
  <c r="X10" i="43"/>
  <c r="W10" i="43"/>
  <c r="V10" i="43"/>
  <c r="AI9" i="43"/>
  <c r="AI19" i="43" s="1"/>
  <c r="AH9" i="43"/>
  <c r="AH19" i="43" s="1"/>
  <c r="AG9" i="43"/>
  <c r="AG19" i="43" s="1"/>
  <c r="AF9" i="43"/>
  <c r="AF19" i="43" s="1"/>
  <c r="AE9" i="43"/>
  <c r="AE19" i="43" s="1"/>
  <c r="AD9" i="43"/>
  <c r="AC9" i="43"/>
  <c r="AC19" i="43" s="1"/>
  <c r="AB9" i="43"/>
  <c r="AB19" i="43" s="1"/>
  <c r="AA9" i="43"/>
  <c r="Z9" i="43"/>
  <c r="Z19" i="43" s="1"/>
  <c r="Y9" i="43"/>
  <c r="Y19" i="43" s="1"/>
  <c r="X9" i="43"/>
  <c r="X19" i="43" s="1"/>
  <c r="W9" i="43"/>
  <c r="W19" i="43" s="1"/>
  <c r="V9" i="43"/>
  <c r="V19" i="43" s="1"/>
  <c r="AI7" i="43"/>
  <c r="AI17" i="43" s="1"/>
  <c r="AH7" i="43"/>
  <c r="AH17" i="43" s="1"/>
  <c r="AG7" i="43"/>
  <c r="AG17" i="43" s="1"/>
  <c r="AF7" i="43"/>
  <c r="AE7" i="43"/>
  <c r="AD7" i="43"/>
  <c r="AC7" i="43"/>
  <c r="AC17" i="43" s="1"/>
  <c r="AB7" i="43"/>
  <c r="AB17" i="43" s="1"/>
  <c r="AA7" i="43"/>
  <c r="AA17" i="43" s="1"/>
  <c r="Z7" i="43"/>
  <c r="Z17" i="43" s="1"/>
  <c r="Y7" i="43"/>
  <c r="Y17" i="43" s="1"/>
  <c r="X7" i="43"/>
  <c r="X17" i="43" s="1"/>
  <c r="W7" i="43"/>
  <c r="W17" i="43" s="1"/>
  <c r="V7" i="43"/>
  <c r="V17" i="43" s="1"/>
  <c r="AI6" i="43"/>
  <c r="AI16" i="43" s="1"/>
  <c r="AH6" i="43"/>
  <c r="AG6" i="43"/>
  <c r="AF6" i="43"/>
  <c r="AE6" i="43"/>
  <c r="AD6" i="43"/>
  <c r="AC6" i="43"/>
  <c r="AC16" i="43" s="1"/>
  <c r="AB6" i="43"/>
  <c r="AB16" i="43" s="1"/>
  <c r="AA6" i="43"/>
  <c r="AA16" i="43" s="1"/>
  <c r="Z6" i="43"/>
  <c r="Z16" i="43" s="1"/>
  <c r="Y6" i="43"/>
  <c r="Y16" i="43" s="1"/>
  <c r="X6" i="43"/>
  <c r="X16" i="43" s="1"/>
  <c r="W6" i="43"/>
  <c r="W16" i="43" s="1"/>
  <c r="V6" i="43"/>
  <c r="AI5" i="43"/>
  <c r="AH5" i="43"/>
  <c r="AG5" i="43"/>
  <c r="AF5" i="43"/>
  <c r="AE5" i="43"/>
  <c r="AD5" i="43"/>
  <c r="AC5" i="43"/>
  <c r="AC15" i="43" s="1"/>
  <c r="AB5" i="43"/>
  <c r="AB15" i="43" s="1"/>
  <c r="AA5" i="43"/>
  <c r="AA15" i="43" s="1"/>
  <c r="Z5" i="43"/>
  <c r="Z15" i="43" s="1"/>
  <c r="Y5" i="43"/>
  <c r="Y15" i="43" s="1"/>
  <c r="X5" i="43"/>
  <c r="W5" i="43"/>
  <c r="W15" i="43" s="1"/>
  <c r="V5" i="43"/>
  <c r="AI4" i="43"/>
  <c r="AH4" i="43"/>
  <c r="AG4" i="43"/>
  <c r="AF4" i="43"/>
  <c r="AE4" i="43"/>
  <c r="AD4" i="43"/>
  <c r="AC4" i="43"/>
  <c r="AC14" i="43" s="1"/>
  <c r="AB4" i="43"/>
  <c r="AB14" i="43" s="1"/>
  <c r="AA4" i="43"/>
  <c r="AA14" i="43" s="1"/>
  <c r="Z4" i="43"/>
  <c r="Z14" i="43" s="1"/>
  <c r="Y4" i="43"/>
  <c r="Y14" i="43" s="1"/>
  <c r="X4" i="43"/>
  <c r="X14" i="43" s="1"/>
  <c r="W4" i="43"/>
  <c r="W14" i="43" s="1"/>
  <c r="V4" i="43"/>
  <c r="V14" i="43" s="1"/>
  <c r="C59" i="40"/>
  <c r="D59" i="40"/>
  <c r="E59" i="40"/>
  <c r="F59" i="40"/>
  <c r="G59" i="40"/>
  <c r="H59" i="40"/>
  <c r="I59" i="40"/>
  <c r="J59" i="40"/>
  <c r="K59" i="40"/>
  <c r="L59" i="40"/>
  <c r="M59" i="40"/>
  <c r="N59" i="40"/>
  <c r="O59" i="40"/>
  <c r="B59" i="40"/>
  <c r="I147" i="65" l="1"/>
  <c r="T13" i="65"/>
  <c r="I66" i="65"/>
  <c r="G177" i="65"/>
  <c r="I154" i="65"/>
  <c r="I98" i="65"/>
  <c r="E41" i="65"/>
  <c r="G182" i="65"/>
  <c r="E37" i="65"/>
  <c r="E42" i="65"/>
  <c r="S96" i="65"/>
  <c r="I70" i="65"/>
  <c r="T96" i="65"/>
  <c r="U111" i="65"/>
  <c r="G124" i="65"/>
  <c r="G175" i="65"/>
  <c r="G180" i="65"/>
  <c r="T8" i="65"/>
  <c r="E38" i="65"/>
  <c r="I65" i="65"/>
  <c r="I93" i="65"/>
  <c r="U96" i="65"/>
  <c r="G121" i="65"/>
  <c r="T11" i="65"/>
  <c r="S111" i="65"/>
  <c r="T111" i="65"/>
  <c r="G118" i="65"/>
  <c r="G178" i="65"/>
  <c r="S94" i="65"/>
  <c r="S91" i="65"/>
  <c r="U94" i="65"/>
  <c r="G176" i="65"/>
  <c r="I64" i="65"/>
  <c r="V94" i="65"/>
  <c r="G119" i="65"/>
  <c r="G123" i="65"/>
  <c r="G179" i="65"/>
  <c r="I151" i="65"/>
  <c r="I95" i="65"/>
  <c r="T10" i="65"/>
  <c r="E39" i="65"/>
  <c r="U98" i="65"/>
  <c r="T98" i="65"/>
  <c r="S98" i="65"/>
  <c r="V98" i="65"/>
  <c r="T93" i="65"/>
  <c r="S93" i="65"/>
  <c r="V93" i="65"/>
  <c r="U93" i="65"/>
  <c r="I69" i="65"/>
  <c r="I90" i="65"/>
  <c r="S95" i="65"/>
  <c r="G125" i="65"/>
  <c r="I146" i="65"/>
  <c r="T7" i="65"/>
  <c r="S90" i="65"/>
  <c r="T95" i="65"/>
  <c r="I97" i="65"/>
  <c r="I153" i="65"/>
  <c r="E35" i="65"/>
  <c r="T90" i="65"/>
  <c r="I92" i="65"/>
  <c r="U95" i="65"/>
  <c r="S97" i="65"/>
  <c r="I148" i="65"/>
  <c r="G174" i="65"/>
  <c r="T5" i="65"/>
  <c r="E34" i="65"/>
  <c r="T12" i="65"/>
  <c r="T9" i="65"/>
  <c r="U90" i="65"/>
  <c r="S92" i="65"/>
  <c r="T97" i="65"/>
  <c r="I68" i="65"/>
  <c r="T92" i="65"/>
  <c r="I94" i="65"/>
  <c r="U97" i="65"/>
  <c r="G120" i="65"/>
  <c r="I150" i="65"/>
  <c r="E40" i="65"/>
  <c r="U92" i="65"/>
  <c r="I96" i="65"/>
  <c r="BG9" i="64"/>
  <c r="BF13" i="64"/>
  <c r="BG15" i="64"/>
  <c r="BE13" i="64"/>
  <c r="AV9" i="64"/>
  <c r="BH9" i="64"/>
  <c r="BL12" i="64"/>
  <c r="AV15" i="64"/>
  <c r="BN15" i="64" s="1"/>
  <c r="BH15" i="64"/>
  <c r="AZ9" i="64"/>
  <c r="AZ15" i="64"/>
  <c r="BC13" i="64"/>
  <c r="BD13" i="64"/>
  <c r="AW8" i="64"/>
  <c r="BI8" i="64"/>
  <c r="AW9" i="64"/>
  <c r="BN9" i="64" s="1"/>
  <c r="BI9" i="64"/>
  <c r="BE10" i="64"/>
  <c r="AW14" i="64"/>
  <c r="BI14" i="64"/>
  <c r="AW15" i="64"/>
  <c r="BI15" i="64"/>
  <c r="BE16" i="64"/>
  <c r="AX8" i="64"/>
  <c r="BJ8" i="64"/>
  <c r="AX9" i="64"/>
  <c r="BJ9" i="64"/>
  <c r="BF10" i="64"/>
  <c r="AX14" i="64"/>
  <c r="BJ14" i="64"/>
  <c r="AX15" i="64"/>
  <c r="BJ15" i="64"/>
  <c r="BF16" i="64"/>
  <c r="AY8" i="64"/>
  <c r="BK8" i="64"/>
  <c r="AY9" i="64"/>
  <c r="BK9" i="64"/>
  <c r="BG10" i="64"/>
  <c r="AY14" i="64"/>
  <c r="BK14" i="64"/>
  <c r="AY15" i="64"/>
  <c r="BK15" i="64"/>
  <c r="BG16" i="64"/>
  <c r="AZ8" i="64"/>
  <c r="BL8" i="64"/>
  <c r="AV10" i="64"/>
  <c r="BN10" i="64" s="1"/>
  <c r="BH10" i="64"/>
  <c r="AZ14" i="64"/>
  <c r="BL14" i="64"/>
  <c r="BH16" i="64"/>
  <c r="BN11" i="64"/>
  <c r="BN16" i="64"/>
  <c r="BG12" i="64"/>
  <c r="AV12" i="64"/>
  <c r="BH12" i="64"/>
  <c r="AW12" i="64"/>
  <c r="BI12" i="64"/>
  <c r="BG13" i="64"/>
  <c r="AX12" i="64"/>
  <c r="BJ12" i="64"/>
  <c r="AV13" i="64"/>
  <c r="BH13" i="64"/>
  <c r="BG8" i="64"/>
  <c r="AY12" i="64"/>
  <c r="BK12" i="64"/>
  <c r="AW13" i="64"/>
  <c r="BI13" i="64"/>
  <c r="BG14" i="64"/>
  <c r="AV8" i="64"/>
  <c r="AZ12" i="64"/>
  <c r="AX13" i="64"/>
  <c r="AV14" i="64"/>
  <c r="AZ12" i="63"/>
  <c r="BE9" i="63"/>
  <c r="BB12" i="63"/>
  <c r="AZ14" i="63"/>
  <c r="AW14" i="63"/>
  <c r="BL12" i="63"/>
  <c r="BI14" i="63"/>
  <c r="AY9" i="63"/>
  <c r="BK9" i="63"/>
  <c r="BA12" i="63"/>
  <c r="AX14" i="63"/>
  <c r="BJ14" i="63"/>
  <c r="BG16" i="63"/>
  <c r="AY14" i="63"/>
  <c r="BK14" i="63"/>
  <c r="BH16" i="63"/>
  <c r="BC11" i="63"/>
  <c r="BG13" i="63"/>
  <c r="AW16" i="63"/>
  <c r="BI16" i="63"/>
  <c r="BB9" i="63"/>
  <c r="BA13" i="63"/>
  <c r="BE15" i="63"/>
  <c r="BC9" i="63"/>
  <c r="BF15" i="63"/>
  <c r="BD9" i="63"/>
  <c r="BG15" i="63"/>
  <c r="AZ8" i="63"/>
  <c r="BL8" i="63"/>
  <c r="AV15" i="63"/>
  <c r="BH15" i="63"/>
  <c r="BF8" i="63"/>
  <c r="AX10" i="63"/>
  <c r="BJ10" i="63"/>
  <c r="AV12" i="63"/>
  <c r="BH12" i="63"/>
  <c r="AW15" i="63"/>
  <c r="BI15" i="63"/>
  <c r="BF14" i="63"/>
  <c r="AX15" i="63"/>
  <c r="BJ15" i="63"/>
  <c r="AX12" i="63"/>
  <c r="BJ12" i="63"/>
  <c r="BD16" i="63"/>
  <c r="AY12" i="63"/>
  <c r="BK12" i="63"/>
  <c r="BL16" i="63"/>
  <c r="AY25" i="63"/>
  <c r="BB25" i="63"/>
  <c r="BC8" i="63"/>
  <c r="AY10" i="63"/>
  <c r="BI10" i="63"/>
  <c r="AW10" i="63"/>
  <c r="BH10" i="63"/>
  <c r="AV10" i="63"/>
  <c r="BG10" i="63"/>
  <c r="BF10" i="63"/>
  <c r="BE10" i="63"/>
  <c r="BK10" i="63"/>
  <c r="AY13" i="63"/>
  <c r="BK13" i="63"/>
  <c r="BD8" i="63"/>
  <c r="AZ10" i="63"/>
  <c r="BL10" i="63"/>
  <c r="AZ13" i="63"/>
  <c r="BL13" i="63"/>
  <c r="BC25" i="63"/>
  <c r="BE8" i="63"/>
  <c r="BA10" i="63"/>
  <c r="AW12" i="63"/>
  <c r="BG12" i="63"/>
  <c r="BF12" i="63"/>
  <c r="BE12" i="63"/>
  <c r="BD12" i="63"/>
  <c r="BC12" i="63"/>
  <c r="BI12" i="63"/>
  <c r="BB10" i="63"/>
  <c r="BC10" i="63"/>
  <c r="BD10" i="63"/>
  <c r="AZ9" i="63"/>
  <c r="BJ9" i="63"/>
  <c r="AX9" i="63"/>
  <c r="BI9" i="63"/>
  <c r="AW9" i="63"/>
  <c r="BH9" i="63"/>
  <c r="AV9" i="63"/>
  <c r="BG9" i="63"/>
  <c r="BF9" i="63"/>
  <c r="BL9" i="63"/>
  <c r="BG14" i="63"/>
  <c r="BL14" i="63"/>
  <c r="BH11" i="63"/>
  <c r="BG11" i="63"/>
  <c r="BF11" i="63"/>
  <c r="BE11" i="63"/>
  <c r="BD11" i="63"/>
  <c r="BJ11" i="63"/>
  <c r="BJ25" i="63"/>
  <c r="AY11" i="63"/>
  <c r="BK11" i="63"/>
  <c r="BK25" i="63"/>
  <c r="AZ11" i="63"/>
  <c r="BL11" i="63"/>
  <c r="AV13" i="63"/>
  <c r="BF13" i="63"/>
  <c r="BE13" i="63"/>
  <c r="BD13" i="63"/>
  <c r="BC13" i="63"/>
  <c r="BB13" i="63"/>
  <c r="BH13" i="63"/>
  <c r="AZ25" i="63"/>
  <c r="BL25" i="63"/>
  <c r="BA8" i="63"/>
  <c r="BK8" i="63"/>
  <c r="AY8" i="63"/>
  <c r="BJ8" i="63"/>
  <c r="AX8" i="63"/>
  <c r="BI8" i="63"/>
  <c r="AW8" i="63"/>
  <c r="BH8" i="63"/>
  <c r="AV8" i="63"/>
  <c r="BG8" i="63"/>
  <c r="BA11" i="63"/>
  <c r="AW13" i="63"/>
  <c r="BI13" i="63"/>
  <c r="BA25" i="63"/>
  <c r="BB8" i="63"/>
  <c r="BB11" i="63"/>
  <c r="AX13" i="63"/>
  <c r="BJ13" i="63"/>
  <c r="BA9" i="63"/>
  <c r="AW11" i="63"/>
  <c r="BI11" i="63"/>
  <c r="AV14" i="63"/>
  <c r="BH14" i="63"/>
  <c r="BG25" i="63"/>
  <c r="BH25" i="63"/>
  <c r="BF25" i="63"/>
  <c r="AW25" i="63"/>
  <c r="AV25" i="63"/>
  <c r="BE25" i="63"/>
  <c r="BD25" i="63"/>
  <c r="BI25" i="63"/>
  <c r="AY15" i="63"/>
  <c r="BK15" i="63"/>
  <c r="BJ16" i="63"/>
  <c r="BA14" i="63"/>
  <c r="AZ15" i="63"/>
  <c r="BL15" i="63"/>
  <c r="AY16" i="63"/>
  <c r="BK16" i="63"/>
  <c r="BB14" i="63"/>
  <c r="BA15" i="63"/>
  <c r="AZ16" i="63"/>
  <c r="BC14" i="63"/>
  <c r="BB15" i="63"/>
  <c r="BD14" i="63"/>
  <c r="BC15" i="63"/>
  <c r="BB16" i="63"/>
  <c r="BE14" i="63"/>
  <c r="BD15" i="63"/>
  <c r="BC16" i="63"/>
  <c r="BE16" i="63"/>
  <c r="BA16" i="63"/>
  <c r="E36" i="61"/>
  <c r="E64" i="61" s="1"/>
  <c r="E38" i="61"/>
  <c r="E66" i="61" s="1"/>
  <c r="E13" i="61"/>
  <c r="E5" i="61"/>
  <c r="D60" i="61" s="1"/>
  <c r="BI15" i="62"/>
  <c r="AZ13" i="62"/>
  <c r="BJ15" i="62"/>
  <c r="AX10" i="62"/>
  <c r="BA13" i="62"/>
  <c r="BK15" i="62"/>
  <c r="AY10" i="62"/>
  <c r="BG14" i="62"/>
  <c r="BE16" i="62"/>
  <c r="BG9" i="62"/>
  <c r="BL10" i="62"/>
  <c r="AV14" i="62"/>
  <c r="BH14" i="62"/>
  <c r="BA15" i="62"/>
  <c r="BC11" i="62"/>
  <c r="BC8" i="62"/>
  <c r="AV9" i="62"/>
  <c r="BH9" i="62"/>
  <c r="BA10" i="62"/>
  <c r="BF11" i="62"/>
  <c r="BB15" i="62"/>
  <c r="BG16" i="62"/>
  <c r="AY8" i="62"/>
  <c r="BF13" i="62"/>
  <c r="BE14" i="62"/>
  <c r="AZ8" i="62"/>
  <c r="BC12" i="62"/>
  <c r="BF14" i="62"/>
  <c r="BA8" i="62"/>
  <c r="BD11" i="62"/>
  <c r="BF16" i="62"/>
  <c r="BD8" i="62"/>
  <c r="BB10" i="62"/>
  <c r="BG11" i="62"/>
  <c r="AZ12" i="62"/>
  <c r="BL12" i="62"/>
  <c r="AV16" i="62"/>
  <c r="BM16" i="62" s="1"/>
  <c r="BH16" i="62"/>
  <c r="BC25" i="62"/>
  <c r="AX8" i="62"/>
  <c r="BD10" i="62"/>
  <c r="BE10" i="62"/>
  <c r="BF10" i="62"/>
  <c r="BC10" i="62"/>
  <c r="BK13" i="62"/>
  <c r="BB11" i="62"/>
  <c r="BM11" i="62" s="1"/>
  <c r="BJ10" i="62"/>
  <c r="BD16" i="62"/>
  <c r="BL15" i="62"/>
  <c r="AV11" i="62"/>
  <c r="BH11" i="62"/>
  <c r="BA12" i="62"/>
  <c r="BB25" i="62"/>
  <c r="AW10" i="62"/>
  <c r="BG12" i="62"/>
  <c r="AX15" i="62"/>
  <c r="BM15" i="62" s="1"/>
  <c r="BE9" i="62"/>
  <c r="BF9" i="62"/>
  <c r="BB8" i="62"/>
  <c r="AZ10" i="62"/>
  <c r="BM10" i="62" s="1"/>
  <c r="BE11" i="62"/>
  <c r="BB12" i="62"/>
  <c r="BA25" i="62"/>
  <c r="AV10" i="62"/>
  <c r="BG13" i="62"/>
  <c r="BH13" i="62"/>
  <c r="BL25" i="62"/>
  <c r="AZ25" i="62"/>
  <c r="BG25" i="62"/>
  <c r="BB9" i="62"/>
  <c r="AY12" i="62"/>
  <c r="BB13" i="62"/>
  <c r="AV8" i="62"/>
  <c r="BD12" i="62"/>
  <c r="AW13" i="62"/>
  <c r="BI13" i="62"/>
  <c r="BB14" i="62"/>
  <c r="BK25" i="62"/>
  <c r="BD9" i="62"/>
  <c r="BL13" i="62"/>
  <c r="BK12" i="62"/>
  <c r="BL8" i="62"/>
  <c r="BH12" i="62"/>
  <c r="AY15" i="62"/>
  <c r="BK10" i="62"/>
  <c r="AZ15" i="62"/>
  <c r="BF8" i="62"/>
  <c r="BG8" i="62"/>
  <c r="BH8" i="62"/>
  <c r="AW8" i="62"/>
  <c r="BE8" i="62"/>
  <c r="BI8" i="62"/>
  <c r="BK9" i="62"/>
  <c r="AX9" i="62"/>
  <c r="BM9" i="62" s="1"/>
  <c r="BJ9" i="62"/>
  <c r="AZ9" i="62"/>
  <c r="BL9" i="62"/>
  <c r="BI9" i="62"/>
  <c r="AW9" i="62"/>
  <c r="AY9" i="62"/>
  <c r="BG10" i="62"/>
  <c r="AY11" i="62"/>
  <c r="BK11" i="62"/>
  <c r="AZ11" i="62"/>
  <c r="AX11" i="62"/>
  <c r="BJ11" i="62"/>
  <c r="BL11" i="62"/>
  <c r="AW12" i="62"/>
  <c r="BI12" i="62"/>
  <c r="AX12" i="62"/>
  <c r="BJ12" i="62"/>
  <c r="BE12" i="62"/>
  <c r="AX13" i="62"/>
  <c r="BC13" i="62"/>
  <c r="BD13" i="62"/>
  <c r="BE13" i="62"/>
  <c r="BJ13" i="62"/>
  <c r="BC14" i="62"/>
  <c r="AW14" i="62"/>
  <c r="BI14" i="62"/>
  <c r="AX14" i="62"/>
  <c r="BJ14" i="62"/>
  <c r="AY14" i="62"/>
  <c r="BK14" i="62"/>
  <c r="AZ14" i="62"/>
  <c r="BL14" i="62"/>
  <c r="BC15" i="62"/>
  <c r="BD15" i="62"/>
  <c r="BE15" i="62"/>
  <c r="BF15" i="62"/>
  <c r="BG15" i="62"/>
  <c r="AX16" i="62"/>
  <c r="BJ16" i="62"/>
  <c r="AY16" i="62"/>
  <c r="BK16" i="62"/>
  <c r="AZ16" i="62"/>
  <c r="BL16" i="62"/>
  <c r="BA16" i="62"/>
  <c r="AW16" i="62"/>
  <c r="BI16" i="62"/>
  <c r="BJ25" i="62"/>
  <c r="BA14" i="62"/>
  <c r="BH25" i="62"/>
  <c r="BI11" i="62"/>
  <c r="AW11" i="62"/>
  <c r="AV25" i="62"/>
  <c r="BF25" i="62"/>
  <c r="AV12" i="62"/>
  <c r="AV13" i="62"/>
  <c r="D64" i="61"/>
  <c r="D68" i="61"/>
  <c r="AQ12" i="59"/>
  <c r="AP8" i="59"/>
  <c r="BN11" i="60"/>
  <c r="BN10" i="60"/>
  <c r="BN13" i="60"/>
  <c r="BN14" i="60"/>
  <c r="BN8" i="60"/>
  <c r="BN9" i="60"/>
  <c r="AQ11" i="59"/>
  <c r="AQ35" i="59"/>
  <c r="AP35" i="59"/>
  <c r="AP11" i="59"/>
  <c r="AP23" i="59"/>
  <c r="AQ6" i="59"/>
  <c r="AP6" i="59"/>
  <c r="AQ8" i="59"/>
  <c r="AQ9" i="59"/>
  <c r="AP10" i="59"/>
  <c r="AP9" i="59"/>
  <c r="AP4" i="59"/>
  <c r="AQ4" i="59"/>
  <c r="AQ33" i="59"/>
  <c r="AQ38" i="59"/>
  <c r="AQ39" i="59"/>
  <c r="AQ50" i="59"/>
  <c r="AQ51" i="59" s="1"/>
  <c r="AQ36" i="59"/>
  <c r="AP39" i="59"/>
  <c r="AP36" i="59"/>
  <c r="AP34" i="59"/>
  <c r="AP38" i="59"/>
  <c r="AP50" i="59"/>
  <c r="AP51" i="59" s="1"/>
  <c r="AQ37" i="59"/>
  <c r="AQ34" i="59"/>
  <c r="AQ7" i="59"/>
  <c r="AP12" i="59"/>
  <c r="AP33" i="59"/>
  <c r="BI14" i="54"/>
  <c r="BL15" i="54"/>
  <c r="BL20" i="54"/>
  <c r="BJ24" i="54"/>
  <c r="BL25" i="54"/>
  <c r="BC10" i="54"/>
  <c r="BJ14" i="54"/>
  <c r="BA15" i="54"/>
  <c r="BM15" i="54"/>
  <c r="BG23" i="54"/>
  <c r="BS23" i="54"/>
  <c r="BK24" i="54"/>
  <c r="BA25" i="54"/>
  <c r="BM25" i="54"/>
  <c r="BN15" i="54"/>
  <c r="BC15" i="54"/>
  <c r="BO15" i="54"/>
  <c r="BE22" i="54"/>
  <c r="BQ22" i="54"/>
  <c r="BC25" i="54"/>
  <c r="BO25" i="54"/>
  <c r="BK15" i="54"/>
  <c r="BQ15" i="54"/>
  <c r="BD15" i="54"/>
  <c r="BP15" i="54"/>
  <c r="BD20" i="54"/>
  <c r="BP20" i="54"/>
  <c r="BR22" i="54"/>
  <c r="BP25" i="54"/>
  <c r="BI20" i="54"/>
  <c r="BK20" i="54"/>
  <c r="BI24" i="54"/>
  <c r="BM24" i="54"/>
  <c r="BK25" i="54"/>
  <c r="BO24" i="54"/>
  <c r="BK14" i="54"/>
  <c r="BB15" i="54"/>
  <c r="BE23" i="54"/>
  <c r="BB25" i="54"/>
  <c r="BN25" i="54"/>
  <c r="BD9" i="54"/>
  <c r="BB14" i="54"/>
  <c r="BN14" i="54"/>
  <c r="BE15" i="54"/>
  <c r="BF16" i="54"/>
  <c r="BR16" i="54"/>
  <c r="BT16" i="54" s="1"/>
  <c r="BE20" i="54"/>
  <c r="BQ20" i="54"/>
  <c r="BS22" i="54"/>
  <c r="BC24" i="54"/>
  <c r="BE25" i="54"/>
  <c r="BQ25" i="54"/>
  <c r="BO14" i="54"/>
  <c r="BF15" i="54"/>
  <c r="BR15" i="54"/>
  <c r="BF17" i="54"/>
  <c r="BR17" i="54"/>
  <c r="BB19" i="54"/>
  <c r="BN19" i="54"/>
  <c r="BF20" i="54"/>
  <c r="BR20" i="54"/>
  <c r="BP22" i="54"/>
  <c r="BD24" i="54"/>
  <c r="BP24" i="54"/>
  <c r="BF25" i="54"/>
  <c r="BR25" i="54"/>
  <c r="BC14" i="54"/>
  <c r="BF11" i="54"/>
  <c r="BR11" i="54"/>
  <c r="BD14" i="54"/>
  <c r="BP14" i="54"/>
  <c r="BG15" i="54"/>
  <c r="BS15" i="54"/>
  <c r="BG17" i="54"/>
  <c r="BS17" i="54"/>
  <c r="BC19" i="54"/>
  <c r="BO19" i="54"/>
  <c r="BG20" i="54"/>
  <c r="BS20" i="54"/>
  <c r="BK21" i="54"/>
  <c r="BE24" i="54"/>
  <c r="BQ24" i="54"/>
  <c r="BG25" i="54"/>
  <c r="BS25" i="54"/>
  <c r="BK24" i="51"/>
  <c r="AY11" i="51"/>
  <c r="BK11" i="51"/>
  <c r="BA13" i="51"/>
  <c r="BG16" i="51"/>
  <c r="AY24" i="51"/>
  <c r="BJ10" i="51"/>
  <c r="BK12" i="51"/>
  <c r="AZ24" i="51"/>
  <c r="BL24" i="51"/>
  <c r="BJ20" i="51"/>
  <c r="AY18" i="51"/>
  <c r="AY20" i="51"/>
  <c r="BK20" i="51"/>
  <c r="E5" i="52"/>
  <c r="D60" i="52" s="1"/>
  <c r="AV14" i="51"/>
  <c r="AX22" i="51"/>
  <c r="BD12" i="51"/>
  <c r="AW14" i="51"/>
  <c r="BI14" i="51"/>
  <c r="BI16" i="51"/>
  <c r="BF21" i="51"/>
  <c r="BE22" i="51"/>
  <c r="E18" i="52"/>
  <c r="D73" i="52" s="1"/>
  <c r="BF11" i="51"/>
  <c r="AV13" i="51"/>
  <c r="BH13" i="51"/>
  <c r="AX16" i="51"/>
  <c r="BL21" i="51"/>
  <c r="BF22" i="51"/>
  <c r="BA22" i="51"/>
  <c r="BC24" i="51"/>
  <c r="BE10" i="51"/>
  <c r="BG11" i="51"/>
  <c r="BF12" i="51"/>
  <c r="AW13" i="51"/>
  <c r="BI13" i="51"/>
  <c r="AY16" i="51"/>
  <c r="BK16" i="51"/>
  <c r="BA19" i="51"/>
  <c r="BE13" i="51"/>
  <c r="BH14" i="51"/>
  <c r="BA8" i="51"/>
  <c r="AV11" i="51"/>
  <c r="BH11" i="51"/>
  <c r="AX13" i="51"/>
  <c r="BM15" i="51"/>
  <c r="AZ16" i="51"/>
  <c r="BL16" i="51"/>
  <c r="BB19" i="51"/>
  <c r="BN19" i="51"/>
  <c r="AV22" i="51"/>
  <c r="BH22" i="51"/>
  <c r="AV24" i="51"/>
  <c r="BH24" i="51"/>
  <c r="E6" i="52"/>
  <c r="D61" i="52" s="1"/>
  <c r="AW11" i="51"/>
  <c r="BA16" i="51"/>
  <c r="BM16" i="51"/>
  <c r="BG19" i="51"/>
  <c r="AV21" i="51"/>
  <c r="BH21" i="51"/>
  <c r="AW22" i="51"/>
  <c r="BI22" i="51"/>
  <c r="AV10" i="51"/>
  <c r="BH10" i="51"/>
  <c r="AX11" i="51"/>
  <c r="BJ11" i="51"/>
  <c r="AZ13" i="51"/>
  <c r="BB16" i="51"/>
  <c r="BN16" i="51"/>
  <c r="BG18" i="51"/>
  <c r="BJ22" i="51"/>
  <c r="BG23" i="51"/>
  <c r="AX24" i="51"/>
  <c r="BJ24" i="51"/>
  <c r="E10" i="52"/>
  <c r="D65" i="52" s="1"/>
  <c r="E15" i="52"/>
  <c r="D70" i="52" s="1"/>
  <c r="E19" i="52"/>
  <c r="D74" i="52" s="1"/>
  <c r="E22" i="52"/>
  <c r="D77" i="52" s="1"/>
  <c r="E11" i="52"/>
  <c r="D66" i="52" s="1"/>
  <c r="BK8" i="55"/>
  <c r="BF6" i="55"/>
  <c r="BG9" i="55"/>
  <c r="BA19" i="55"/>
  <c r="BM10" i="55"/>
  <c r="BB9" i="55"/>
  <c r="BF19" i="55"/>
  <c r="BC9" i="55"/>
  <c r="BB15" i="55"/>
  <c r="BJ16" i="55"/>
  <c r="BK18" i="55"/>
  <c r="BE22" i="55"/>
  <c r="AY14" i="55"/>
  <c r="AZ22" i="55"/>
  <c r="BG16" i="55"/>
  <c r="BE11" i="55"/>
  <c r="BE19" i="55"/>
  <c r="BA20" i="55"/>
  <c r="BD19" i="55"/>
  <c r="BF22" i="55"/>
  <c r="BI23" i="55"/>
  <c r="BG22" i="55"/>
  <c r="AY11" i="55"/>
  <c r="BB20" i="55"/>
  <c r="BK23" i="55"/>
  <c r="BF9" i="55"/>
  <c r="BF10" i="55"/>
  <c r="BH9" i="55"/>
  <c r="AY6" i="55"/>
  <c r="AZ13" i="55"/>
  <c r="AZ19" i="55"/>
  <c r="BL19" i="55"/>
  <c r="BM11" i="55"/>
  <c r="BI11" i="55"/>
  <c r="BL20" i="55"/>
  <c r="BD7" i="55"/>
  <c r="BK9" i="55"/>
  <c r="BJ11" i="55"/>
  <c r="BE14" i="55"/>
  <c r="BA18" i="55"/>
  <c r="BD22" i="55"/>
  <c r="AY22" i="55"/>
  <c r="BI8" i="55"/>
  <c r="BF14" i="55"/>
  <c r="BC6" i="55"/>
  <c r="AX8" i="55"/>
  <c r="BJ8" i="55"/>
  <c r="BL17" i="55"/>
  <c r="BM17" i="55"/>
  <c r="BG7" i="55"/>
  <c r="BJ15" i="55"/>
  <c r="BD21" i="55"/>
  <c r="BB11" i="55"/>
  <c r="BD12" i="55"/>
  <c r="AW17" i="55"/>
  <c r="BA17" i="55"/>
  <c r="BI22" i="55"/>
  <c r="BE9" i="55"/>
  <c r="BM15" i="55"/>
  <c r="BH19" i="55"/>
  <c r="BG20" i="55"/>
  <c r="AZ23" i="55"/>
  <c r="BH23" i="55"/>
  <c r="BE6" i="55"/>
  <c r="BB8" i="55"/>
  <c r="AV9" i="55"/>
  <c r="BJ9" i="55"/>
  <c r="BI9" i="55"/>
  <c r="BL10" i="55"/>
  <c r="AX14" i="55"/>
  <c r="AX15" i="55"/>
  <c r="AZ16" i="55"/>
  <c r="BE17" i="55"/>
  <c r="AY18" i="55"/>
  <c r="BE18" i="55"/>
  <c r="AV18" i="55"/>
  <c r="BB19" i="55"/>
  <c r="AY19" i="55"/>
  <c r="AX19" i="55"/>
  <c r="BK19" i="55"/>
  <c r="BJ19" i="55"/>
  <c r="AV19" i="55"/>
  <c r="BJ12" i="55"/>
  <c r="BG21" i="55"/>
  <c r="BM21" i="55"/>
  <c r="BF21" i="55"/>
  <c r="BH21" i="55"/>
  <c r="BC21" i="55"/>
  <c r="BB7" i="55"/>
  <c r="BA8" i="55"/>
  <c r="BM8" i="55"/>
  <c r="AW14" i="55"/>
  <c r="BG14" i="55"/>
  <c r="BI14" i="55"/>
  <c r="BC15" i="55"/>
  <c r="BD17" i="55"/>
  <c r="BK17" i="55"/>
  <c r="BJ17" i="55"/>
  <c r="BB17" i="55"/>
  <c r="AV17" i="55"/>
  <c r="BC8" i="55"/>
  <c r="AW9" i="55"/>
  <c r="AY12" i="55"/>
  <c r="BK12" i="55"/>
  <c r="BG13" i="55"/>
  <c r="AZ15" i="55"/>
  <c r="BF17" i="55"/>
  <c r="AX17" i="55"/>
  <c r="AZ18" i="55"/>
  <c r="BL18" i="55"/>
  <c r="AW19" i="55"/>
  <c r="AW20" i="55"/>
  <c r="BK6" i="55"/>
  <c r="AV12" i="55"/>
  <c r="AV21" i="55"/>
  <c r="AV7" i="55"/>
  <c r="AY8" i="55"/>
  <c r="AW8" i="55"/>
  <c r="BL8" i="55"/>
  <c r="BE12" i="55"/>
  <c r="AW12" i="55"/>
  <c r="BB14" i="55"/>
  <c r="BE21" i="55"/>
  <c r="AW21" i="55"/>
  <c r="AX7" i="55"/>
  <c r="BF12" i="55"/>
  <c r="AX12" i="55"/>
  <c r="BC14" i="55"/>
  <c r="BK16" i="55"/>
  <c r="BB16" i="55"/>
  <c r="AY16" i="55"/>
  <c r="AX16" i="55"/>
  <c r="AV16" i="55"/>
  <c r="BM16" i="55"/>
  <c r="BH16" i="55"/>
  <c r="BL16" i="55"/>
  <c r="BA21" i="55"/>
  <c r="AW23" i="55"/>
  <c r="AY23" i="55"/>
  <c r="AV23" i="55"/>
  <c r="BL23" i="55"/>
  <c r="BF7" i="55"/>
  <c r="AY7" i="55"/>
  <c r="AY10" i="55"/>
  <c r="BK10" i="55"/>
  <c r="AV10" i="55"/>
  <c r="BH10" i="55"/>
  <c r="BC10" i="55"/>
  <c r="BI10" i="55"/>
  <c r="AZ12" i="55"/>
  <c r="BL13" i="55"/>
  <c r="BI16" i="55"/>
  <c r="BB21" i="55"/>
  <c r="AZ7" i="55"/>
  <c r="BG6" i="55"/>
  <c r="BI6" i="55"/>
  <c r="BB10" i="55"/>
  <c r="AW11" i="55"/>
  <c r="AV11" i="55"/>
  <c r="BD11" i="55"/>
  <c r="BC11" i="55"/>
  <c r="BH13" i="55"/>
  <c r="BM18" i="55"/>
  <c r="AX6" i="55"/>
  <c r="AW6" i="55"/>
  <c r="BA6" i="55"/>
  <c r="AZ6" i="55"/>
  <c r="BM6" i="55"/>
  <c r="BH6" i="55"/>
  <c r="BJ6" i="55"/>
  <c r="BL7" i="55"/>
  <c r="BE8" i="55"/>
  <c r="BG8" i="55"/>
  <c r="AX11" i="55"/>
  <c r="BI13" i="55"/>
  <c r="BM14" i="55"/>
  <c r="BB18" i="55"/>
  <c r="AX23" i="55"/>
  <c r="AW10" i="55"/>
  <c r="BK11" i="55"/>
  <c r="BJ13" i="55"/>
  <c r="BA16" i="55"/>
  <c r="BI17" i="55"/>
  <c r="BC18" i="55"/>
  <c r="BC20" i="55"/>
  <c r="BB23" i="55"/>
  <c r="BA9" i="55"/>
  <c r="BM9" i="55"/>
  <c r="BE10" i="55"/>
  <c r="AX10" i="55"/>
  <c r="BL11" i="55"/>
  <c r="BC12" i="55"/>
  <c r="AX13" i="55"/>
  <c r="AW13" i="55"/>
  <c r="BF13" i="55"/>
  <c r="AY13" i="55"/>
  <c r="AV13" i="55"/>
  <c r="BK13" i="55"/>
  <c r="BA15" i="55"/>
  <c r="BI15" i="55"/>
  <c r="BE16" i="55"/>
  <c r="BJ18" i="55"/>
  <c r="BM19" i="55"/>
  <c r="BD20" i="55"/>
  <c r="BF23" i="55"/>
  <c r="BC23" i="55"/>
  <c r="BH7" i="55"/>
  <c r="BG12" i="55"/>
  <c r="BA12" i="55"/>
  <c r="BM13" i="55"/>
  <c r="AV20" i="55"/>
  <c r="BH20" i="55"/>
  <c r="BE20" i="55"/>
  <c r="BI21" i="55"/>
  <c r="AW22" i="55"/>
  <c r="AV22" i="55"/>
  <c r="BH22" i="55"/>
  <c r="BJ23" i="55"/>
  <c r="AW7" i="55"/>
  <c r="BI7" i="55"/>
  <c r="BI12" i="55"/>
  <c r="BB13" i="55"/>
  <c r="BK14" i="55"/>
  <c r="BC17" i="55"/>
  <c r="AX20" i="55"/>
  <c r="BF20" i="55"/>
  <c r="AX21" i="55"/>
  <c r="BJ21" i="55"/>
  <c r="BL6" i="55"/>
  <c r="BC7" i="55"/>
  <c r="BA7" i="55"/>
  <c r="BH12" i="55"/>
  <c r="BA13" i="55"/>
  <c r="BJ14" i="55"/>
  <c r="AZ17" i="55"/>
  <c r="BD18" i="55"/>
  <c r="BI20" i="55"/>
  <c r="BB6" i="55"/>
  <c r="AZ9" i="55"/>
  <c r="BL9" i="55"/>
  <c r="BA10" i="55"/>
  <c r="AZ14" i="55"/>
  <c r="BL14" i="55"/>
  <c r="BK15" i="55"/>
  <c r="AV15" i="55"/>
  <c r="BG15" i="55"/>
  <c r="BH15" i="55"/>
  <c r="BC16" i="55"/>
  <c r="AY20" i="55"/>
  <c r="BK20" i="55"/>
  <c r="BD13" i="55"/>
  <c r="BA14" i="55"/>
  <c r="AW15" i="55"/>
  <c r="BF15" i="55"/>
  <c r="BD16" i="55"/>
  <c r="AY17" i="55"/>
  <c r="AZ20" i="55"/>
  <c r="BM20" i="55"/>
  <c r="AZ21" i="55"/>
  <c r="BL21" i="55"/>
  <c r="BK7" i="55"/>
  <c r="BF8" i="55"/>
  <c r="BJ10" i="55"/>
  <c r="BF11" i="55"/>
  <c r="BL12" i="55"/>
  <c r="BE13" i="55"/>
  <c r="AX18" i="55"/>
  <c r="BF18" i="55"/>
  <c r="BA22" i="55"/>
  <c r="BM22" i="55"/>
  <c r="BG11" i="55"/>
  <c r="BM12" i="55"/>
  <c r="AW18" i="55"/>
  <c r="BG18" i="55"/>
  <c r="BM7" i="55"/>
  <c r="AZ8" i="55"/>
  <c r="BD9" i="55"/>
  <c r="BI18" i="55"/>
  <c r="BD23" i="55"/>
  <c r="BB22" i="55"/>
  <c r="BJ7" i="55"/>
  <c r="AZ11" i="55"/>
  <c r="BL15" i="55"/>
  <c r="AW16" i="55"/>
  <c r="BC22" i="55"/>
  <c r="BG23" i="55"/>
  <c r="AV8" i="55"/>
  <c r="BD8" i="55"/>
  <c r="BH8" i="55"/>
  <c r="BD10" i="55"/>
  <c r="BH17" i="55"/>
  <c r="BC19" i="55"/>
  <c r="BE23" i="55"/>
  <c r="BA23" i="55"/>
  <c r="BD6" i="55"/>
  <c r="BG10" i="55"/>
  <c r="BD15" i="55"/>
  <c r="AX9" i="55"/>
  <c r="AV14" i="55"/>
  <c r="BH14" i="55"/>
  <c r="BG19" i="55"/>
  <c r="BK22" i="55"/>
  <c r="AX22" i="55"/>
  <c r="BJ22" i="55"/>
  <c r="AY21" i="55"/>
  <c r="BE7" i="55"/>
  <c r="BH11" i="55"/>
  <c r="AY15" i="55"/>
  <c r="BI10" i="54"/>
  <c r="BF18" i="54"/>
  <c r="BR18" i="54"/>
  <c r="BP18" i="54"/>
  <c r="BD18" i="54"/>
  <c r="BC18" i="54"/>
  <c r="BI18" i="54"/>
  <c r="BA18" i="54"/>
  <c r="BQ18" i="54"/>
  <c r="BI23" i="54"/>
  <c r="BA23" i="54"/>
  <c r="BB17" i="54"/>
  <c r="BJ23" i="54"/>
  <c r="BC23" i="54"/>
  <c r="BM18" i="54"/>
  <c r="BL23" i="54"/>
  <c r="BO18" i="54"/>
  <c r="BM23" i="54"/>
  <c r="BP9" i="54"/>
  <c r="BN9" i="54"/>
  <c r="BI9" i="54"/>
  <c r="BJ10" i="54"/>
  <c r="BO23" i="54"/>
  <c r="BK9" i="54"/>
  <c r="BC12" i="54"/>
  <c r="BB12" i="54"/>
  <c r="BG18" i="54"/>
  <c r="BS18" i="54"/>
  <c r="BJ17" i="54"/>
  <c r="BJ18" i="54"/>
  <c r="BK23" i="54"/>
  <c r="BL9" i="54"/>
  <c r="BK18" i="54"/>
  <c r="BM9" i="54"/>
  <c r="BJ20" i="54"/>
  <c r="BK10" i="54"/>
  <c r="BL22" i="54"/>
  <c r="BN23" i="54"/>
  <c r="BO8" i="54"/>
  <c r="BC9" i="54"/>
  <c r="BO9" i="54"/>
  <c r="BB18" i="54"/>
  <c r="BN18" i="54"/>
  <c r="BI15" i="54"/>
  <c r="BA20" i="54"/>
  <c r="BM20" i="54"/>
  <c r="BD23" i="54"/>
  <c r="BP23" i="54"/>
  <c r="BL24" i="54"/>
  <c r="BJ8" i="54"/>
  <c r="BE9" i="54"/>
  <c r="BQ9" i="54"/>
  <c r="BB10" i="54"/>
  <c r="BN10" i="54"/>
  <c r="BB20" i="54"/>
  <c r="BN20" i="54"/>
  <c r="BQ23" i="54"/>
  <c r="BI25" i="54"/>
  <c r="BA9" i="54"/>
  <c r="BL18" i="54"/>
  <c r="BB9" i="54"/>
  <c r="BL12" i="54"/>
  <c r="BB23" i="54"/>
  <c r="BL10" i="54"/>
  <c r="BK8" i="54"/>
  <c r="BF9" i="54"/>
  <c r="BR9" i="54"/>
  <c r="BD12" i="54"/>
  <c r="BP12" i="54"/>
  <c r="BA14" i="54"/>
  <c r="BM14" i="54"/>
  <c r="BE17" i="54"/>
  <c r="BQ17" i="54"/>
  <c r="BE18" i="54"/>
  <c r="BC20" i="54"/>
  <c r="BO20" i="54"/>
  <c r="BJ21" i="54"/>
  <c r="BT21" i="54" s="1"/>
  <c r="BF23" i="54"/>
  <c r="BR23" i="54"/>
  <c r="BB24" i="54"/>
  <c r="BN24" i="54"/>
  <c r="BR19" i="54"/>
  <c r="BQ19" i="54"/>
  <c r="BF19" i="54"/>
  <c r="BD19" i="54"/>
  <c r="BA19" i="54"/>
  <c r="BE19" i="54"/>
  <c r="BO11" i="54"/>
  <c r="BD13" i="54"/>
  <c r="BP13" i="54"/>
  <c r="BL13" i="54"/>
  <c r="BO13" i="54"/>
  <c r="BJ13" i="54"/>
  <c r="BC13" i="54"/>
  <c r="BP19" i="54"/>
  <c r="BE11" i="54"/>
  <c r="BB11" i="54"/>
  <c r="BQ11" i="54"/>
  <c r="BN11" i="54"/>
  <c r="BL11" i="54"/>
  <c r="BI11" i="54"/>
  <c r="BG19" i="54"/>
  <c r="BM11" i="54"/>
  <c r="BI19" i="54"/>
  <c r="BO22" i="54"/>
  <c r="BN22" i="54"/>
  <c r="BD22" i="54"/>
  <c r="BM22" i="54"/>
  <c r="BC22" i="54"/>
  <c r="BB22" i="54"/>
  <c r="BJ19" i="54"/>
  <c r="BI22" i="54"/>
  <c r="BA22" i="54"/>
  <c r="BI13" i="54"/>
  <c r="BA13" i="54"/>
  <c r="BO17" i="54"/>
  <c r="BI17" i="54"/>
  <c r="BN17" i="54"/>
  <c r="BL17" i="54"/>
  <c r="BK17" i="54"/>
  <c r="BS19" i="54"/>
  <c r="BK22" i="54"/>
  <c r="BK13" i="54"/>
  <c r="BC11" i="54"/>
  <c r="BT12" i="54"/>
  <c r="BL19" i="54"/>
  <c r="BJ22" i="54"/>
  <c r="BA11" i="54"/>
  <c r="BA17" i="54"/>
  <c r="BM17" i="54"/>
  <c r="BK19" i="54"/>
  <c r="BG10" i="54"/>
  <c r="BS10" i="54"/>
  <c r="BA10" i="54"/>
  <c r="BM10" i="54"/>
  <c r="BD11" i="54"/>
  <c r="BP11" i="54"/>
  <c r="BB13" i="54"/>
  <c r="BN13" i="54"/>
  <c r="BD17" i="54"/>
  <c r="BP17" i="54"/>
  <c r="BM19" i="54"/>
  <c r="BJ11" i="54"/>
  <c r="BE13" i="54"/>
  <c r="BQ13" i="54"/>
  <c r="BF22" i="54"/>
  <c r="BG22" i="54"/>
  <c r="BE8" i="54"/>
  <c r="BT8" i="54" s="1"/>
  <c r="AR9" i="53"/>
  <c r="AR14" i="53"/>
  <c r="AR20" i="53"/>
  <c r="AR8" i="53"/>
  <c r="AR19" i="53"/>
  <c r="AR22" i="53"/>
  <c r="AR18" i="53"/>
  <c r="AR13" i="53"/>
  <c r="AG25" i="50"/>
  <c r="AB106" i="50"/>
  <c r="Z106" i="50"/>
  <c r="X79" i="50"/>
  <c r="Y79" i="50"/>
  <c r="Z79" i="50"/>
  <c r="AA79" i="50"/>
  <c r="AB79" i="50"/>
  <c r="AC79" i="50"/>
  <c r="AP44" i="50"/>
  <c r="AD79" i="50"/>
  <c r="AP33" i="50"/>
  <c r="AP37" i="50"/>
  <c r="AE79" i="50"/>
  <c r="U79" i="50"/>
  <c r="AG79" i="50"/>
  <c r="AQ33" i="50"/>
  <c r="AQ37" i="50"/>
  <c r="AP45" i="50"/>
  <c r="T79" i="50"/>
  <c r="AF79" i="50"/>
  <c r="AQ32" i="50"/>
  <c r="AP36" i="50"/>
  <c r="Y25" i="50"/>
  <c r="AD25" i="50"/>
  <c r="U52" i="50"/>
  <c r="AG52" i="50"/>
  <c r="AE52" i="50"/>
  <c r="AC52" i="50"/>
  <c r="AA52" i="50"/>
  <c r="AE106" i="50"/>
  <c r="AC106" i="50"/>
  <c r="AP21" i="50"/>
  <c r="T25" i="50"/>
  <c r="Z25" i="50"/>
  <c r="AC25" i="50"/>
  <c r="V52" i="50"/>
  <c r="T52" i="50"/>
  <c r="AF52" i="50"/>
  <c r="AD52" i="50"/>
  <c r="AB52" i="50"/>
  <c r="T106" i="50"/>
  <c r="AF106" i="50"/>
  <c r="AD106" i="50"/>
  <c r="AQ6" i="50"/>
  <c r="AA25" i="50"/>
  <c r="AB25" i="50"/>
  <c r="W52" i="50"/>
  <c r="U106" i="50"/>
  <c r="AP38" i="50"/>
  <c r="X52" i="50"/>
  <c r="V106" i="50"/>
  <c r="Y52" i="50"/>
  <c r="W106" i="50"/>
  <c r="AF25" i="50"/>
  <c r="Z52" i="50"/>
  <c r="X106" i="50"/>
  <c r="AE25" i="50"/>
  <c r="AP35" i="50"/>
  <c r="AP39" i="50"/>
  <c r="AP43" i="50"/>
  <c r="X25" i="50"/>
  <c r="AQ19" i="50"/>
  <c r="AQ39" i="50"/>
  <c r="W25" i="50"/>
  <c r="U25" i="50"/>
  <c r="V25" i="50"/>
  <c r="AA106" i="50"/>
  <c r="Y106" i="50"/>
  <c r="AP11" i="50"/>
  <c r="AG106" i="50"/>
  <c r="AQ4" i="50"/>
  <c r="AP40" i="50"/>
  <c r="AP47" i="50"/>
  <c r="AP48" i="50"/>
  <c r="AQ41" i="50"/>
  <c r="AP9" i="50"/>
  <c r="BD19" i="51"/>
  <c r="BE12" i="51"/>
  <c r="BD16" i="51"/>
  <c r="BC20" i="51"/>
  <c r="BM8" i="51"/>
  <c r="AV8" i="51"/>
  <c r="AX8" i="51"/>
  <c r="AW12" i="51"/>
  <c r="AV19" i="51"/>
  <c r="AY8" i="51"/>
  <c r="AX12" i="51"/>
  <c r="AW16" i="51"/>
  <c r="BH8" i="51"/>
  <c r="BO8" i="51" s="1"/>
  <c r="BA10" i="51"/>
  <c r="AZ11" i="51"/>
  <c r="BL11" i="51"/>
  <c r="BN13" i="51"/>
  <c r="BA14" i="51"/>
  <c r="BM14" i="51"/>
  <c r="BL15" i="51"/>
  <c r="BE16" i="51"/>
  <c r="BA18" i="51"/>
  <c r="BD24" i="51"/>
  <c r="BB25" i="51"/>
  <c r="BN25" i="51"/>
  <c r="AW8" i="51"/>
  <c r="BI8" i="51"/>
  <c r="AV12" i="51"/>
  <c r="BH12" i="51"/>
  <c r="BM13" i="51"/>
  <c r="BN14" i="51"/>
  <c r="BN18" i="51"/>
  <c r="BH19" i="51"/>
  <c r="AW20" i="51"/>
  <c r="AZ22" i="51"/>
  <c r="BL22" i="51"/>
  <c r="BK22" i="51"/>
  <c r="BE24" i="51"/>
  <c r="AW24" i="51"/>
  <c r="BJ8" i="51"/>
  <c r="BN10" i="51"/>
  <c r="AW18" i="51"/>
  <c r="AW19" i="51"/>
  <c r="BI19" i="51"/>
  <c r="BF20" i="51"/>
  <c r="BM22" i="51"/>
  <c r="BG24" i="51"/>
  <c r="BB9" i="51"/>
  <c r="BN9" i="51"/>
  <c r="BB11" i="51"/>
  <c r="BJ12" i="51"/>
  <c r="AV16" i="51"/>
  <c r="BH16" i="51"/>
  <c r="BF16" i="51"/>
  <c r="BB17" i="51"/>
  <c r="BN17" i="51"/>
  <c r="AX19" i="51"/>
  <c r="BJ19" i="51"/>
  <c r="BG20" i="51"/>
  <c r="BD20" i="51"/>
  <c r="BB21" i="51"/>
  <c r="BN21" i="51"/>
  <c r="BD8" i="51"/>
  <c r="AY12" i="51"/>
  <c r="BG22" i="51"/>
  <c r="BO22" i="51" s="1"/>
  <c r="AV23" i="51"/>
  <c r="BH23" i="51"/>
  <c r="AZ12" i="51"/>
  <c r="BL12" i="51"/>
  <c r="BG13" i="51"/>
  <c r="BE15" i="51"/>
  <c r="BO15" i="51" s="1"/>
  <c r="BD17" i="51"/>
  <c r="BF18" i="51"/>
  <c r="AW23" i="51"/>
  <c r="BI23" i="51"/>
  <c r="AP7" i="50"/>
  <c r="AP23" i="50"/>
  <c r="AQ23" i="50"/>
  <c r="BG9" i="51"/>
  <c r="BA9" i="51"/>
  <c r="AZ9" i="51"/>
  <c r="BL9" i="51"/>
  <c r="BI9" i="51"/>
  <c r="BF9" i="51"/>
  <c r="BD9" i="51"/>
  <c r="AV9" i="51"/>
  <c r="BE9" i="51"/>
  <c r="AW9" i="51"/>
  <c r="BH9" i="51"/>
  <c r="BD23" i="51"/>
  <c r="AX23" i="51"/>
  <c r="BK23" i="51"/>
  <c r="BJ23" i="51"/>
  <c r="BA23" i="51"/>
  <c r="AZ23" i="51"/>
  <c r="AY23" i="51"/>
  <c r="AX9" i="51"/>
  <c r="BJ9" i="51"/>
  <c r="BE17" i="51"/>
  <c r="AZ17" i="51"/>
  <c r="BL17" i="51"/>
  <c r="BH17" i="51"/>
  <c r="BK17" i="51"/>
  <c r="BG17" i="51"/>
  <c r="BF17" i="51"/>
  <c r="BF23" i="51"/>
  <c r="AX10" i="51"/>
  <c r="BJ13" i="51"/>
  <c r="BF13" i="51"/>
  <c r="BK14" i="51"/>
  <c r="AY14" i="51"/>
  <c r="AX25" i="51"/>
  <c r="BJ25" i="51"/>
  <c r="BG25" i="51"/>
  <c r="BA25" i="51"/>
  <c r="BK13" i="51"/>
  <c r="AY25" i="51"/>
  <c r="AZ10" i="51"/>
  <c r="BL10" i="51"/>
  <c r="BL13" i="51"/>
  <c r="AZ14" i="51"/>
  <c r="AZ21" i="51"/>
  <c r="BD25" i="51"/>
  <c r="BM10" i="51"/>
  <c r="AW17" i="51"/>
  <c r="BI17" i="51"/>
  <c r="BA21" i="51"/>
  <c r="BM21" i="51"/>
  <c r="BB23" i="51"/>
  <c r="BN23" i="51"/>
  <c r="AY9" i="51"/>
  <c r="BK9" i="51"/>
  <c r="BD13" i="51"/>
  <c r="AY13" i="51"/>
  <c r="AX21" i="51"/>
  <c r="BJ21" i="51"/>
  <c r="AW21" i="51"/>
  <c r="BI21" i="51"/>
  <c r="BG21" i="51"/>
  <c r="BD21" i="51"/>
  <c r="AX14" i="51"/>
  <c r="BJ14" i="51"/>
  <c r="BG14" i="51"/>
  <c r="BA17" i="51"/>
  <c r="BM17" i="51"/>
  <c r="BE19" i="51"/>
  <c r="AZ19" i="51"/>
  <c r="BM19" i="51"/>
  <c r="BL19" i="51"/>
  <c r="BE21" i="51"/>
  <c r="BI11" i="51"/>
  <c r="BA12" i="51"/>
  <c r="BM12" i="51"/>
  <c r="BG12" i="51"/>
  <c r="BL14" i="51"/>
  <c r="BF10" i="51"/>
  <c r="BB20" i="51"/>
  <c r="BN20" i="51"/>
  <c r="BB24" i="51"/>
  <c r="BN24" i="51"/>
  <c r="BF24" i="51"/>
  <c r="BA24" i="51"/>
  <c r="BM24" i="51"/>
  <c r="AY10" i="51"/>
  <c r="BK10" i="51"/>
  <c r="AY17" i="51"/>
  <c r="BF19" i="51"/>
  <c r="BK21" i="51"/>
  <c r="BE23" i="51"/>
  <c r="BK25" i="51"/>
  <c r="AY19" i="51"/>
  <c r="BK19" i="51"/>
  <c r="BD18" i="51"/>
  <c r="BI18" i="51"/>
  <c r="BE25" i="51"/>
  <c r="AQ17" i="50"/>
  <c r="AP41" i="50"/>
  <c r="AQ48" i="50"/>
  <c r="AP8" i="50"/>
  <c r="AP42" i="50"/>
  <c r="AP50" i="50"/>
  <c r="AP51" i="50" s="1"/>
  <c r="AQ18" i="50"/>
  <c r="AP20" i="50"/>
  <c r="AQ42" i="50"/>
  <c r="AP14" i="50"/>
  <c r="AQ47" i="50"/>
  <c r="AP13" i="50"/>
  <c r="AQ31" i="50"/>
  <c r="AQ12" i="50"/>
  <c r="AQ21" i="50"/>
  <c r="AP18" i="50"/>
  <c r="AP46" i="50"/>
  <c r="AQ7" i="50"/>
  <c r="AQ13" i="50"/>
  <c r="AQ5" i="50"/>
  <c r="AQ8" i="50"/>
  <c r="AQ10" i="50"/>
  <c r="AQ14" i="50"/>
  <c r="AQ16" i="50"/>
  <c r="AQ9" i="50"/>
  <c r="AQ15" i="50"/>
  <c r="AP16" i="50"/>
  <c r="AQ20" i="50"/>
  <c r="AP10" i="50"/>
  <c r="AP15" i="50"/>
  <c r="AP32" i="50"/>
  <c r="AP12" i="50"/>
  <c r="AP6" i="50"/>
  <c r="AQ36" i="50"/>
  <c r="AP17" i="50"/>
  <c r="AQ11" i="50"/>
  <c r="AQ50" i="50"/>
  <c r="AQ51" i="50" s="1"/>
  <c r="AP19" i="50"/>
  <c r="AP31" i="50"/>
  <c r="AQ46" i="50"/>
  <c r="AP4" i="50"/>
  <c r="AQ35" i="50"/>
  <c r="AQ40" i="50"/>
  <c r="G46" i="49"/>
  <c r="C45" i="49"/>
  <c r="G42" i="49"/>
  <c r="D45" i="49"/>
  <c r="F40" i="49"/>
  <c r="E45" i="49"/>
  <c r="G40" i="49"/>
  <c r="E39" i="49"/>
  <c r="C44" i="49"/>
  <c r="C41" i="49"/>
  <c r="D39" i="49"/>
  <c r="F43" i="49"/>
  <c r="E41" i="49"/>
  <c r="F41" i="49"/>
  <c r="C46" i="49"/>
  <c r="C39" i="49"/>
  <c r="D41" i="49"/>
  <c r="G43" i="49"/>
  <c r="G41" i="49"/>
  <c r="D46" i="49"/>
  <c r="E46" i="49"/>
  <c r="C40" i="49"/>
  <c r="D42" i="49"/>
  <c r="F46" i="49"/>
  <c r="D40" i="49"/>
  <c r="E42" i="49"/>
  <c r="E40" i="49"/>
  <c r="F42" i="49"/>
  <c r="F39" i="49"/>
  <c r="D44" i="49"/>
  <c r="F45" i="49"/>
  <c r="G39" i="49"/>
  <c r="C43" i="49"/>
  <c r="E44" i="49"/>
  <c r="G45" i="49"/>
  <c r="D43" i="49"/>
  <c r="F44" i="49"/>
  <c r="C42" i="49"/>
  <c r="E43" i="49"/>
  <c r="G44" i="49"/>
  <c r="O49" i="40"/>
  <c r="N49" i="40"/>
  <c r="M49" i="40"/>
  <c r="L49" i="40"/>
  <c r="K49" i="40"/>
  <c r="J49" i="40"/>
  <c r="I49" i="40"/>
  <c r="H49" i="40"/>
  <c r="G49" i="40"/>
  <c r="F49" i="40"/>
  <c r="E49" i="40"/>
  <c r="D49" i="40"/>
  <c r="C49" i="40"/>
  <c r="B49" i="40"/>
  <c r="O47" i="40"/>
  <c r="N47" i="40"/>
  <c r="M47" i="40"/>
  <c r="L47" i="40"/>
  <c r="K47" i="40"/>
  <c r="J47" i="40"/>
  <c r="I47" i="40"/>
  <c r="H47" i="40"/>
  <c r="G47" i="40"/>
  <c r="F47" i="40"/>
  <c r="E47" i="40"/>
  <c r="D47" i="40"/>
  <c r="C47" i="40"/>
  <c r="B47" i="40"/>
  <c r="O46" i="40"/>
  <c r="N46" i="40"/>
  <c r="M46" i="40"/>
  <c r="L46" i="40"/>
  <c r="K46" i="40"/>
  <c r="J46" i="40"/>
  <c r="I46" i="40"/>
  <c r="H46" i="40"/>
  <c r="G46" i="40"/>
  <c r="F46" i="40"/>
  <c r="E46" i="40"/>
  <c r="D46" i="40"/>
  <c r="C46" i="40"/>
  <c r="B46" i="40"/>
  <c r="O45" i="40"/>
  <c r="N45" i="40"/>
  <c r="M45" i="40"/>
  <c r="L45" i="40"/>
  <c r="K45" i="40"/>
  <c r="J45" i="40"/>
  <c r="I45" i="40"/>
  <c r="H45" i="40"/>
  <c r="G45" i="40"/>
  <c r="F45" i="40"/>
  <c r="E45" i="40"/>
  <c r="D45" i="40"/>
  <c r="C45" i="40"/>
  <c r="B45" i="40"/>
  <c r="Q25" i="38"/>
  <c r="P25" i="38"/>
  <c r="O25" i="38"/>
  <c r="N25" i="38"/>
  <c r="M25" i="38"/>
  <c r="Q23" i="38"/>
  <c r="P23" i="38"/>
  <c r="O23" i="38"/>
  <c r="N23" i="38"/>
  <c r="M23" i="38"/>
  <c r="Q22" i="38"/>
  <c r="P22" i="38"/>
  <c r="O22" i="38"/>
  <c r="N22" i="38"/>
  <c r="M22" i="38"/>
  <c r="Q21" i="38"/>
  <c r="P21" i="38"/>
  <c r="O21" i="38"/>
  <c r="N21" i="38"/>
  <c r="M21" i="38"/>
  <c r="Q20" i="38"/>
  <c r="P20" i="38"/>
  <c r="O20" i="38"/>
  <c r="N20" i="38"/>
  <c r="M20" i="38"/>
  <c r="Q19" i="38"/>
  <c r="P19" i="38"/>
  <c r="O19" i="38"/>
  <c r="N19" i="38"/>
  <c r="M19" i="38"/>
  <c r="Q18" i="38"/>
  <c r="N18" i="38"/>
  <c r="M18" i="38"/>
  <c r="Q17" i="38"/>
  <c r="P17" i="38"/>
  <c r="O17" i="38"/>
  <c r="N17" i="38"/>
  <c r="M17" i="38"/>
  <c r="Q16" i="38"/>
  <c r="P16" i="38"/>
  <c r="O16" i="38"/>
  <c r="N16" i="38"/>
  <c r="M16" i="38"/>
  <c r="Q15" i="38"/>
  <c r="N15" i="38"/>
  <c r="M15" i="38"/>
  <c r="Q14" i="38"/>
  <c r="N14" i="38"/>
  <c r="M14" i="38"/>
  <c r="Q13" i="38"/>
  <c r="P13" i="38"/>
  <c r="O13" i="38"/>
  <c r="N13" i="38"/>
  <c r="M13" i="38"/>
  <c r="Q12" i="38"/>
  <c r="P12" i="38"/>
  <c r="O12" i="38"/>
  <c r="N12" i="38"/>
  <c r="M12" i="38"/>
  <c r="Q11" i="38"/>
  <c r="P11" i="38"/>
  <c r="O11" i="38"/>
  <c r="N11" i="38"/>
  <c r="M11" i="38"/>
  <c r="Q10" i="38"/>
  <c r="P10" i="38"/>
  <c r="O10" i="38"/>
  <c r="N10" i="38"/>
  <c r="M10" i="38"/>
  <c r="Q9" i="38"/>
  <c r="P9" i="38"/>
  <c r="O9" i="38"/>
  <c r="N9" i="38"/>
  <c r="M9" i="38"/>
  <c r="Q8" i="38"/>
  <c r="N8" i="38"/>
  <c r="M8" i="38"/>
  <c r="Q7" i="38"/>
  <c r="P7" i="38"/>
  <c r="O7" i="38"/>
  <c r="N7" i="38"/>
  <c r="M7" i="38"/>
  <c r="Q6" i="38"/>
  <c r="P6" i="38"/>
  <c r="O6" i="38"/>
  <c r="N6" i="38"/>
  <c r="M6" i="38"/>
  <c r="K25" i="36"/>
  <c r="L25" i="36"/>
  <c r="M25" i="36"/>
  <c r="N25" i="36"/>
  <c r="O25" i="36"/>
  <c r="N18" i="36"/>
  <c r="N15" i="36"/>
  <c r="N14" i="36"/>
  <c r="N8" i="36"/>
  <c r="O7" i="36"/>
  <c r="O8" i="36"/>
  <c r="O9" i="36"/>
  <c r="O10" i="36"/>
  <c r="O11" i="36"/>
  <c r="O12" i="36"/>
  <c r="O13" i="36"/>
  <c r="O14" i="36"/>
  <c r="O15" i="36"/>
  <c r="O16" i="36"/>
  <c r="O17" i="36"/>
  <c r="O18" i="36"/>
  <c r="O19" i="36"/>
  <c r="O20" i="36"/>
  <c r="O21" i="36"/>
  <c r="O22" i="36"/>
  <c r="O23" i="36"/>
  <c r="O6" i="36"/>
  <c r="K7" i="36"/>
  <c r="L7" i="36"/>
  <c r="M7" i="36"/>
  <c r="N7" i="36"/>
  <c r="K8" i="36"/>
  <c r="L8" i="36"/>
  <c r="K9" i="36"/>
  <c r="L9" i="36"/>
  <c r="M9" i="36"/>
  <c r="N9" i="36"/>
  <c r="K10" i="36"/>
  <c r="L10" i="36"/>
  <c r="M10" i="36"/>
  <c r="N10" i="36"/>
  <c r="K11" i="36"/>
  <c r="L11" i="36"/>
  <c r="M11" i="36"/>
  <c r="N11" i="36"/>
  <c r="K12" i="36"/>
  <c r="L12" i="36"/>
  <c r="M12" i="36"/>
  <c r="N12" i="36"/>
  <c r="K13" i="36"/>
  <c r="L13" i="36"/>
  <c r="M13" i="36"/>
  <c r="N13" i="36"/>
  <c r="K14" i="36"/>
  <c r="L14" i="36"/>
  <c r="K15" i="36"/>
  <c r="L15" i="36"/>
  <c r="K16" i="36"/>
  <c r="L16" i="36"/>
  <c r="M16" i="36"/>
  <c r="N16" i="36"/>
  <c r="K17" i="36"/>
  <c r="L17" i="36"/>
  <c r="M17" i="36"/>
  <c r="N17" i="36"/>
  <c r="K18" i="36"/>
  <c r="L18" i="36"/>
  <c r="K19" i="36"/>
  <c r="L19" i="36"/>
  <c r="M19" i="36"/>
  <c r="N19" i="36"/>
  <c r="K20" i="36"/>
  <c r="L20" i="36"/>
  <c r="M20" i="36"/>
  <c r="N20" i="36"/>
  <c r="K21" i="36"/>
  <c r="L21" i="36"/>
  <c r="M21" i="36"/>
  <c r="N21" i="36"/>
  <c r="K22" i="36"/>
  <c r="L22" i="36"/>
  <c r="M22" i="36"/>
  <c r="N22" i="36"/>
  <c r="K23" i="36"/>
  <c r="L23" i="36"/>
  <c r="M23" i="36"/>
  <c r="N23" i="36"/>
  <c r="L6" i="36"/>
  <c r="M6" i="36"/>
  <c r="N6" i="36"/>
  <c r="K6" i="36"/>
  <c r="H7" i="36"/>
  <c r="H8" i="36"/>
  <c r="H9" i="36"/>
  <c r="H10" i="36"/>
  <c r="H11" i="36"/>
  <c r="H12" i="36"/>
  <c r="H13" i="36"/>
  <c r="H14" i="36"/>
  <c r="H15" i="36"/>
  <c r="H16" i="36"/>
  <c r="H17" i="36"/>
  <c r="H18" i="36"/>
  <c r="H19" i="36"/>
  <c r="H20" i="36"/>
  <c r="H21" i="36"/>
  <c r="H22" i="36"/>
  <c r="H23" i="36"/>
  <c r="H24" i="36"/>
  <c r="H25" i="36"/>
  <c r="H6" i="36"/>
  <c r="BN8" i="64" l="1"/>
  <c r="BN12" i="64"/>
  <c r="BN13" i="64"/>
  <c r="BN14" i="64"/>
  <c r="BM15" i="63"/>
  <c r="BM12" i="63"/>
  <c r="BM16" i="63"/>
  <c r="BM14" i="63"/>
  <c r="BM10" i="63"/>
  <c r="BM8" i="63"/>
  <c r="BM9" i="63"/>
  <c r="BM13" i="63"/>
  <c r="BM11" i="63"/>
  <c r="BM12" i="62"/>
  <c r="BM8" i="62"/>
  <c r="BM13" i="62"/>
  <c r="BM14" i="62"/>
  <c r="BN15" i="60"/>
  <c r="BN16" i="60"/>
  <c r="BN12" i="60"/>
  <c r="AQ5" i="59"/>
  <c r="AP5" i="59"/>
  <c r="BT23" i="54"/>
  <c r="BT9" i="54"/>
  <c r="BT25" i="54"/>
  <c r="BT20" i="54"/>
  <c r="BT24" i="54"/>
  <c r="BT15" i="54"/>
  <c r="BT18" i="54"/>
  <c r="BO10" i="51"/>
  <c r="BO16" i="51"/>
  <c r="BO13" i="51"/>
  <c r="BO19" i="51"/>
  <c r="BO18" i="51"/>
  <c r="BO25" i="51"/>
  <c r="BT14" i="54"/>
  <c r="BT10" i="54"/>
  <c r="BT17" i="54"/>
  <c r="BT11" i="54"/>
  <c r="BT13" i="54"/>
  <c r="BT19" i="54"/>
  <c r="BT22" i="54"/>
  <c r="BO23" i="51"/>
  <c r="BO20" i="51"/>
  <c r="BO24" i="51"/>
  <c r="BO17" i="51"/>
  <c r="BO14" i="51"/>
  <c r="BO21" i="51"/>
  <c r="BO12" i="51"/>
  <c r="BO11" i="51"/>
  <c r="BO9" i="51"/>
  <c r="E48" i="40"/>
  <c r="F48" i="40"/>
  <c r="G48" i="40"/>
  <c r="M48" i="40"/>
  <c r="M60" i="40" s="1"/>
  <c r="E57" i="40"/>
  <c r="J48" i="40"/>
  <c r="J60" i="40" s="1"/>
  <c r="B48" i="40"/>
  <c r="B60" i="40" s="1"/>
  <c r="N48" i="40"/>
  <c r="N60" i="40" s="1"/>
  <c r="K48" i="40"/>
  <c r="K58" i="40" s="1"/>
  <c r="E56" i="40"/>
  <c r="E58" i="40"/>
  <c r="H48" i="40"/>
  <c r="I48" i="40"/>
  <c r="F56" i="40"/>
  <c r="L48" i="40"/>
  <c r="L57" i="40" s="1"/>
  <c r="E60" i="40"/>
  <c r="C48" i="40"/>
  <c r="C57" i="40" s="1"/>
  <c r="O48" i="40"/>
  <c r="O57" i="40" s="1"/>
  <c r="D48" i="40"/>
  <c r="K57" i="40" l="1"/>
  <c r="G58" i="40"/>
  <c r="B57" i="40"/>
  <c r="B56" i="40"/>
  <c r="N57" i="40"/>
  <c r="G56" i="40"/>
  <c r="D56" i="40"/>
  <c r="G57" i="40"/>
  <c r="H56" i="40"/>
  <c r="F58" i="40"/>
  <c r="G60" i="40"/>
  <c r="F60" i="40"/>
  <c r="I57" i="40"/>
  <c r="J57" i="40"/>
  <c r="J56" i="40"/>
  <c r="F57" i="40"/>
  <c r="C58" i="40"/>
  <c r="M58" i="40"/>
  <c r="M57" i="40"/>
  <c r="K60" i="40"/>
  <c r="C56" i="40"/>
  <c r="M56" i="40"/>
  <c r="O56" i="40"/>
  <c r="N56" i="40"/>
  <c r="J58" i="40"/>
  <c r="B58" i="40"/>
  <c r="K56" i="40"/>
  <c r="H57" i="40"/>
  <c r="I56" i="40"/>
  <c r="N58" i="40"/>
  <c r="H58" i="40"/>
  <c r="D60" i="40"/>
  <c r="D57" i="40"/>
  <c r="O60" i="40"/>
  <c r="O58" i="40"/>
  <c r="C60" i="40"/>
  <c r="L60" i="40"/>
  <c r="L56" i="40"/>
  <c r="H60" i="40"/>
  <c r="I58" i="40"/>
  <c r="I60" i="40"/>
  <c r="D58" i="40"/>
  <c r="L58" i="40"/>
  <c r="Q60" i="40" l="1"/>
  <c r="Q57" i="40"/>
  <c r="Q56" i="40"/>
  <c r="Q59" i="40"/>
  <c r="Q58" i="40"/>
</calcChain>
</file>

<file path=xl/sharedStrings.xml><?xml version="1.0" encoding="utf-8"?>
<sst xmlns="http://schemas.openxmlformats.org/spreadsheetml/2006/main" count="4244" uniqueCount="1065">
  <si>
    <t>year</t>
  </si>
  <si>
    <t>switch_beid_stream</t>
  </si>
  <si>
    <t>Total</t>
  </si>
  <si>
    <t>Baanblijvers</t>
  </si>
  <si>
    <t>Baanstarters</t>
  </si>
  <si>
    <t>Totaal werknemers</t>
  </si>
  <si>
    <t>Figuur 2</t>
  </si>
  <si>
    <t xml:space="preserve">  tab ebbwrktstopred1 ebbafljaar if rinpersoons!="E" &amp; inrange(ebbafllft,15,74) &amp; ebbstkpeilingnummer!=1 &amp; ebbaflbbint==1 &amp; ebbwrktzelfwrk1&lt;7 &amp; ebbwrktzelfwrk==2 [iw=ebbgewjaargewichta/1000], mi </t>
  </si>
  <si>
    <t>Einde tijdelijk contr</t>
  </si>
  <si>
    <t>Einde tijdelijk contract</t>
  </si>
  <si>
    <t>Bedrijf ging failliet</t>
  </si>
  <si>
    <t>Bezuinigingen, reorga</t>
  </si>
  <si>
    <t>Wilde zelf een nieuwe</t>
  </si>
  <si>
    <t>Hoge leeftijd of pens</t>
  </si>
  <si>
    <t>Hoge leeftijd of pensioen</t>
  </si>
  <si>
    <t>Opleiding, school of</t>
  </si>
  <si>
    <t>Ziekte of arbeidsonge</t>
  </si>
  <si>
    <t>Zorg voor familie of</t>
  </si>
  <si>
    <t>Andere familie- of ge</t>
  </si>
  <si>
    <t>Een andere reden</t>
  </si>
  <si>
    <t>Niet van toepassing</t>
  </si>
  <si>
    <t>Weigert</t>
  </si>
  <si>
    <t>Onbekend</t>
  </si>
  <si>
    <t>.</t>
  </si>
  <si>
    <t>Opleiding</t>
  </si>
  <si>
    <t>J Media &amp; ICT</t>
  </si>
  <si>
    <t>Wilde zelf een nieuwe baan</t>
  </si>
  <si>
    <t>Faillissement of reorganisatie</t>
  </si>
  <si>
    <t>Ziekte</t>
  </si>
  <si>
    <t>Zorgtaken</t>
  </si>
  <si>
    <t>Andere reden</t>
  </si>
  <si>
    <t>Totaal</t>
  </si>
  <si>
    <t>switch_beid_stream==0</t>
  </si>
  <si>
    <t>Geslacht</t>
  </si>
  <si>
    <t>Man</t>
  </si>
  <si>
    <t>Vrouw</t>
  </si>
  <si>
    <t>switch_beid_stream==1</t>
  </si>
  <si>
    <t>TOTAAL WERKNEMERS</t>
  </si>
  <si>
    <t>Figuur</t>
  </si>
  <si>
    <t>Age in 10y categories</t>
  </si>
  <si>
    <t>15 tot 25</t>
  </si>
  <si>
    <t>25 tot 35</t>
  </si>
  <si>
    <t>35 tot 45</t>
  </si>
  <si>
    <t>45 tot 55</t>
  </si>
  <si>
    <t>55 tot 65</t>
  </si>
  <si>
    <t>65 tot 75</t>
  </si>
  <si>
    <t>Highest level of education achieved, SOI2016</t>
  </si>
  <si>
    <t>Lower</t>
  </si>
  <si>
    <t>Medium</t>
  </si>
  <si>
    <t>Bachelor</t>
  </si>
  <si>
    <t>Master</t>
  </si>
  <si>
    <t>onbekend</t>
  </si>
  <si>
    <t>totaal</t>
  </si>
  <si>
    <t>Contract type</t>
  </si>
  <si>
    <t>Onbepaalde tijd</t>
  </si>
  <si>
    <t>Bepaalde tijd</t>
  </si>
  <si>
    <t>Uitzend</t>
  </si>
  <si>
    <t>Oproep</t>
  </si>
  <si>
    <t>vast</t>
  </si>
  <si>
    <t>tijdelijk</t>
  </si>
  <si>
    <t>uitzend</t>
  </si>
  <si>
    <t>oproep</t>
  </si>
  <si>
    <t>Number of hours worked per week</t>
  </si>
  <si>
    <t>&lt;12</t>
  </si>
  <si>
    <t>12-20</t>
  </si>
  <si>
    <t>20-25</t>
  </si>
  <si>
    <t>25-30</t>
  </si>
  <si>
    <t>30-35</t>
  </si>
  <si>
    <t>&gt;=35</t>
  </si>
  <si>
    <t>minder dan 12</t>
  </si>
  <si>
    <t>35 of meer</t>
  </si>
  <si>
    <t>12 tot 20 uur</t>
  </si>
  <si>
    <t>20 tot 25 uur</t>
  </si>
  <si>
    <t>25 tot 30 uur</t>
  </si>
  <si>
    <t>30 tot 35 uur</t>
  </si>
  <si>
    <t>35 uur of meer</t>
  </si>
  <si>
    <t>minder dan 12 uur</t>
  </si>
  <si>
    <t>Company size</t>
  </si>
  <si>
    <t>Micro: &lt;10 employees</t>
  </si>
  <si>
    <t>Small: 10-50 employees</t>
  </si>
  <si>
    <t>Medium: 50-250 employees</t>
  </si>
  <si>
    <t>Large: &gt;250 employees</t>
  </si>
  <si>
    <t>Micro: &lt;10 werkenden</t>
  </si>
  <si>
    <t>Klein: 10 tot 50 werkenden</t>
  </si>
  <si>
    <t>Micro: minder dan 10 werkenden</t>
  </si>
  <si>
    <t>Middel: 50 tot 250 werkenden</t>
  </si>
  <si>
    <t>Groot: 250 werkenden of meer</t>
  </si>
  <si>
    <t>Klein: 10-49 werkenden</t>
  </si>
  <si>
    <t>Middel: 50-249 werkenden</t>
  </si>
  <si>
    <t>Groot: &gt;=250 werkenden</t>
  </si>
  <si>
    <t>Uitzendsector</t>
  </si>
  <si>
    <t>Overige dienstverlening</t>
  </si>
  <si>
    <t>Cultuur, sport en recreatie</t>
  </si>
  <si>
    <t>Gezondheids- en welzijnszorg</t>
  </si>
  <si>
    <t>Onderwijs</t>
  </si>
  <si>
    <t>Openbaar bestuur, overheidsdiensten en verplichte sociale verzekeringen</t>
  </si>
  <si>
    <t>Verhuur van roerende goederen en overige zakelijke dienstverlening</t>
  </si>
  <si>
    <t>Advisering, onderzoek en overige specialistische zakelijke dienstverlening</t>
  </si>
  <si>
    <t>Verhuur van en handel in onroerend goed</t>
  </si>
  <si>
    <t>Financiële instellingen</t>
  </si>
  <si>
    <t>Informatie en communicatie</t>
  </si>
  <si>
    <t>Logies-, maaltijd- en drankverstrekking</t>
  </si>
  <si>
    <t>Vervoer en opslag</t>
  </si>
  <si>
    <t>Groot- en detailhandel; reparatie van auto's</t>
  </si>
  <si>
    <t>Bouwnijverheid</t>
  </si>
  <si>
    <t>Winning en distributie van water; afval- en afvalwaterbeheer en sanering</t>
  </si>
  <si>
    <t>Productie en distributie van en handel in elektriciteit, aardgas, stoom en gekoelde lucht</t>
  </si>
  <si>
    <t>Industrie</t>
  </si>
  <si>
    <t>Winning van delfstoffen</t>
  </si>
  <si>
    <t>Landbouw, bosbouw en visserij</t>
  </si>
  <si>
    <t>Company sector (broad classification, SBI letters)</t>
  </si>
  <si>
    <t>A Agrarisch</t>
  </si>
  <si>
    <t>C Industrie</t>
  </si>
  <si>
    <t>D Energie</t>
  </si>
  <si>
    <t>F Bouwnijverheid</t>
  </si>
  <si>
    <t>G Handel</t>
  </si>
  <si>
    <t>H Vervoer &amp; Logistiek</t>
  </si>
  <si>
    <t>I Horeca</t>
  </si>
  <si>
    <t>K Financieel</t>
  </si>
  <si>
    <t>L Onroerend goed</t>
  </si>
  <si>
    <t>M Zakelijk</t>
  </si>
  <si>
    <t>N Facilitair</t>
  </si>
  <si>
    <t>O Overheid</t>
  </si>
  <si>
    <t>P Onderwijs</t>
  </si>
  <si>
    <t>Q Zorg &amp; Welzijn</t>
  </si>
  <si>
    <t>R Cultuur &amp; Recreatie</t>
  </si>
  <si>
    <t>S Overig</t>
  </si>
  <si>
    <t>Instroom</t>
  </si>
  <si>
    <t>Uitstroom</t>
  </si>
  <si>
    <t>A</t>
  </si>
  <si>
    <t>C</t>
  </si>
  <si>
    <t>D</t>
  </si>
  <si>
    <t>F</t>
  </si>
  <si>
    <t>G</t>
  </si>
  <si>
    <t>H</t>
  </si>
  <si>
    <t>I</t>
  </si>
  <si>
    <t>J</t>
  </si>
  <si>
    <t>K</t>
  </si>
  <si>
    <t>L</t>
  </si>
  <si>
    <t>M</t>
  </si>
  <si>
    <t>N</t>
  </si>
  <si>
    <t>O</t>
  </si>
  <si>
    <t>P</t>
  </si>
  <si>
    <t>Q</t>
  </si>
  <si>
    <t>R</t>
  </si>
  <si>
    <t>S</t>
  </si>
  <si>
    <t>Chemie &amp; Farma</t>
  </si>
  <si>
    <t>Electronica &amp; Machines</t>
  </si>
  <si>
    <t>ICT</t>
  </si>
  <si>
    <t>Primair onderwijs</t>
  </si>
  <si>
    <t>Voortgezet onderwijs</t>
  </si>
  <si>
    <t>Gezondheidszorg</t>
  </si>
  <si>
    <t>Thuiszorg</t>
  </si>
  <si>
    <t>Verzorg- &amp; verpleeghuizen</t>
  </si>
  <si>
    <t>Kinderopvang</t>
  </si>
  <si>
    <t>t.b.v figuur</t>
  </si>
  <si>
    <t>Vast</t>
  </si>
  <si>
    <t>Tijdelijk</t>
  </si>
  <si>
    <t>20 tot 30 uur</t>
  </si>
  <si>
    <t>78 Uitzend</t>
  </si>
  <si>
    <t>Baanbeëindigers | baan-baan-wisselaars</t>
  </si>
  <si>
    <t>Baanbeëindigers | uitstroom niet-werknemersbaan</t>
  </si>
  <si>
    <t>Uitstroom naar niet-werknemersbaan</t>
  </si>
  <si>
    <t>Instroom vanuit niet-werknemersbaan</t>
  </si>
  <si>
    <t>mbo1 of lager</t>
  </si>
  <si>
    <t>mbo2-4</t>
  </si>
  <si>
    <t>master of hoger</t>
  </si>
  <si>
    <t>bachelor</t>
  </si>
  <si>
    <r>
      <rPr>
        <b/>
        <sz val="10"/>
        <rFont val="Arial"/>
        <family val="2"/>
      </rPr>
      <t xml:space="preserve">alle werkenden: </t>
    </r>
    <r>
      <rPr>
        <sz val="10"/>
        <rFont val="Arial"/>
        <family val="2"/>
      </rPr>
      <t>table sbi year if hoofdbaan==1., format(%12.0f) row col nol</t>
    </r>
  </si>
  <si>
    <r>
      <rPr>
        <b/>
        <sz val="10"/>
        <rFont val="Arial"/>
        <family val="2"/>
      </rPr>
      <t xml:space="preserve">baan-baanwisselaars: </t>
    </r>
    <r>
      <rPr>
        <sz val="10"/>
        <rFont val="Arial"/>
        <family val="2"/>
      </rPr>
      <t>switch_beid_stream==1</t>
    </r>
  </si>
  <si>
    <r>
      <rPr>
        <b/>
        <sz val="10"/>
        <rFont val="Arial"/>
        <family val="2"/>
      </rPr>
      <t>uitstroom</t>
    </r>
    <r>
      <rPr>
        <sz val="10"/>
        <rFont val="Arial"/>
        <family val="2"/>
      </rPr>
      <t>: switch_beid_stream==4</t>
    </r>
  </si>
  <si>
    <t>F Bouw</t>
  </si>
  <si>
    <t>H Logistiek</t>
  </si>
  <si>
    <t>N Facilitair (excl. 78)</t>
  </si>
  <si>
    <t>Q Zorg</t>
  </si>
  <si>
    <t>S Overige diensten</t>
  </si>
  <si>
    <t>INCLUSIEF WITHIN</t>
  </si>
  <si>
    <t>instroom niet-werknemer</t>
  </si>
  <si>
    <t>C*</t>
  </si>
  <si>
    <t>D**</t>
  </si>
  <si>
    <t>C* Industrie</t>
  </si>
  <si>
    <t>D** Energie</t>
  </si>
  <si>
    <t>ALLEEN INTERSECTORAAL</t>
  </si>
  <si>
    <t>table sbi sbi_new_missing2 if hoofdbaan!=. &amp; switch_beid==1 &amp; year==2024, row col mi</t>
  </si>
  <si>
    <t>table sbi sbi_new_missing2 if hoofdbaan!=. &amp; switch_beid==1 &amp; year==2024 &amp; within_sbi!=1, row col mi</t>
  </si>
  <si>
    <t xml:space="preserve">table sbi_new2 sbi_missing2 if hoofdbaan_new!=. &amp; switch_beid_missing==1 &amp; year==2024, row col mi  </t>
  </si>
  <si>
    <t xml:space="preserve">table sbi_new2 sbi_missing2 if hoofdbaan_new!=. &amp; switch_beid_missing==1 &amp; year==2024 &amp; within_sbi!=1, row col mi  </t>
  </si>
  <si>
    <t>Omvang</t>
  </si>
  <si>
    <t>Onbepaald</t>
  </si>
  <si>
    <t>Bepaalde</t>
  </si>
  <si>
    <t>Micro: &lt;1</t>
  </si>
  <si>
    <t>Small: 10</t>
  </si>
  <si>
    <t>Medium: 5</t>
  </si>
  <si>
    <t>Large: &gt;2</t>
  </si>
  <si>
    <t>Uitzend + oproep</t>
  </si>
  <si>
    <t>Uitzend &amp; oproep</t>
  </si>
  <si>
    <t xml:space="preserve">table sbi_new year if hoofdbaan_new!=., mi row col format(%12.0f) </t>
  </si>
  <si>
    <t>man</t>
  </si>
  <si>
    <t>vrouw</t>
  </si>
  <si>
    <t>baan-baanwisselaars</t>
  </si>
  <si>
    <t>intersectoraal</t>
  </si>
  <si>
    <t>instromers</t>
  </si>
  <si>
    <t>Baanstarters (ref =2025)</t>
  </si>
  <si>
    <t>totaal werkenden 2025</t>
  </si>
  <si>
    <t>baanstarters | baan-baanwisselaars</t>
  </si>
  <si>
    <t>baanstarters | instromers</t>
  </si>
  <si>
    <t>totaal werkenden 2024</t>
  </si>
  <si>
    <t>baanbeëindigers | baan-baanwisselaars</t>
  </si>
  <si>
    <t>baanbeëindigers | uitstromers</t>
  </si>
  <si>
    <t>Intersectorale baan-baan-wisselaars | instromend</t>
  </si>
  <si>
    <t>Intersectorale baan-baan-wisselaars | uitstromend</t>
  </si>
  <si>
    <t>tab clusters_new year if hoofdbaan_new==1, mi</t>
  </si>
  <si>
    <t>Totaal (A-S)</t>
  </si>
  <si>
    <t>x</t>
  </si>
  <si>
    <t>uitstroom niet-werknemer</t>
  </si>
  <si>
    <t>Basisonderwijs</t>
  </si>
  <si>
    <t>Baanbeindigers(ref =2024)</t>
  </si>
  <si>
    <t>table sbi2 flex if hoofdbaan==1 &amp; year==2024, row col // iedereen</t>
  </si>
  <si>
    <t>BAANBAAN</t>
  </si>
  <si>
    <t>table sbi2 flex if hoofdbaan==1 &amp; switch_beid_stream==1 &amp; year==2024, row col // baanbaan</t>
  </si>
  <si>
    <t>table sbi2 flex if hoofdbaan==1 &amp; switch_beid_stream==4 &amp; year==2024, row col // uitstroom</t>
  </si>
  <si>
    <t xml:space="preserve">table sbi2 flex if hoofdbaan==1 &amp; switch_beid_stream==1  &amp; year==2024 &amp; within_sbi==1 , row col // baan-baan | within </t>
  </si>
  <si>
    <t>TBV FIGUUR</t>
  </si>
  <si>
    <t>O Overheid^</t>
  </si>
  <si>
    <t>D** Energie^</t>
  </si>
  <si>
    <t>K Financieel^</t>
  </si>
  <si>
    <t>L Onroerend goed^</t>
  </si>
  <si>
    <t>Gemiddelde</t>
  </si>
  <si>
    <t>2011-2025</t>
  </si>
  <si>
    <t xml:space="preserve">tab switch_beid_stream year, mi </t>
  </si>
  <si>
    <t>LET OP: TBV FIGUUR 2 SBI_NEW, DUS LEES ALS T+1</t>
  </si>
  <si>
    <t>Baan-baanwisselaars</t>
  </si>
  <si>
    <t>TBV FIGUUR: TOTAAL WERKNEMERS</t>
  </si>
  <si>
    <t>TBV FIGUUR: BAAN-BAANWISSELAARS</t>
  </si>
  <si>
    <t>TBV FIGUUR: UITSTROOM</t>
  </si>
  <si>
    <t>ALLE BAANWISSELAARS</t>
  </si>
  <si>
    <t>aandeel intersectoraal</t>
  </si>
  <si>
    <t>Via heatmaps</t>
  </si>
  <si>
    <r>
      <rPr>
        <b/>
        <sz val="10"/>
        <rFont val="Arial"/>
        <family val="2"/>
      </rPr>
      <t xml:space="preserve">alle werkenden: </t>
    </r>
    <r>
      <rPr>
        <sz val="10"/>
        <rFont val="Arial"/>
        <family val="2"/>
      </rPr>
      <t>table clusters year if hoofdbaan==1., format(%12.0f) row col nol</t>
    </r>
  </si>
  <si>
    <t>CBS OUTPUT</t>
  </si>
  <si>
    <t>logit_beid</t>
  </si>
  <si>
    <t>logit_beidageopl</t>
  </si>
  <si>
    <t>logit_beidageflex</t>
  </si>
  <si>
    <t>logit_beidsizeflex</t>
  </si>
  <si>
    <t>logit_sector</t>
  </si>
  <si>
    <t>logit_beidyear</t>
  </si>
  <si>
    <t>logit_numeriek</t>
  </si>
  <si>
    <t>b/se</t>
  </si>
  <si>
    <t>main</t>
  </si>
  <si>
    <t>Minder dan 2 jaar</t>
  </si>
  <si>
    <t>(.)</t>
  </si>
  <si>
    <t>2 tot 5 jaar</t>
  </si>
  <si>
    <t>-0,0492***</t>
  </si>
  <si>
    <t>-0,0487***</t>
  </si>
  <si>
    <t>-0,0485***</t>
  </si>
  <si>
    <t>-0,0295***</t>
  </si>
  <si>
    <t>-0,0508***</t>
  </si>
  <si>
    <t>(0,0001)</t>
  </si>
  <si>
    <t>5 tot 10 jaar</t>
  </si>
  <si>
    <t>-0,0717***</t>
  </si>
  <si>
    <t>-0,0712***</t>
  </si>
  <si>
    <t>-0,0695***</t>
  </si>
  <si>
    <t>-0,0706***</t>
  </si>
  <si>
    <t>-0,0479***</t>
  </si>
  <si>
    <t>-0,0812***</t>
  </si>
  <si>
    <t>(0,0002)</t>
  </si>
  <si>
    <t>10 jaar of meer</t>
  </si>
  <si>
    <t>-0,1003***</t>
  </si>
  <si>
    <t>-0,1002***</t>
  </si>
  <si>
    <t>-0,0969***</t>
  </si>
  <si>
    <t>-0,0988***</t>
  </si>
  <si>
    <t>-0,0693***</t>
  </si>
  <si>
    <t>-0,1103***</t>
  </si>
  <si>
    <t>-0,0349***</t>
  </si>
  <si>
    <t>-0,0376***</t>
  </si>
  <si>
    <t>-0,0414***</t>
  </si>
  <si>
    <t>-0,0346***</t>
  </si>
  <si>
    <t>-0,0256***</t>
  </si>
  <si>
    <t>-0,0345***</t>
  </si>
  <si>
    <t>-0,0662***</t>
  </si>
  <si>
    <t>-0,0685***</t>
  </si>
  <si>
    <t>-0,0768***</t>
  </si>
  <si>
    <t>-0,0655***</t>
  </si>
  <si>
    <t>-0,0506***</t>
  </si>
  <si>
    <t>-0,0646***</t>
  </si>
  <si>
    <t>-0,0782***</t>
  </si>
  <si>
    <t>-0,0813***</t>
  </si>
  <si>
    <t>-0,0876***</t>
  </si>
  <si>
    <t>-0,0775***</t>
  </si>
  <si>
    <t>-0,0590***</t>
  </si>
  <si>
    <t>-0,0773***</t>
  </si>
  <si>
    <t>-0,1084***</t>
  </si>
  <si>
    <t>-0,1112***</t>
  </si>
  <si>
    <t>-0,1164***</t>
  </si>
  <si>
    <t>-0,1076***</t>
  </si>
  <si>
    <t>-0,0789***</t>
  </si>
  <si>
    <t>-0,1078***</t>
  </si>
  <si>
    <t>-0,1565***</t>
  </si>
  <si>
    <t>-0,1581***</t>
  </si>
  <si>
    <t>-0,1598***</t>
  </si>
  <si>
    <t>-0,1562***</t>
  </si>
  <si>
    <t>-0,1049***</t>
  </si>
  <si>
    <t>-0,1563***</t>
  </si>
  <si>
    <t>(0,0004)</t>
  </si>
  <si>
    <t>(0,0005)</t>
  </si>
  <si>
    <t>(0,0003)</t>
  </si>
  <si>
    <t>0,0028***</t>
  </si>
  <si>
    <t>0,0029***</t>
  </si>
  <si>
    <t>0,0037***</t>
  </si>
  <si>
    <t>0,0025***</t>
  </si>
  <si>
    <t>0,0023***</t>
  </si>
  <si>
    <t>Nederlands</t>
  </si>
  <si>
    <t>Westers</t>
  </si>
  <si>
    <t>0,0040***</t>
  </si>
  <si>
    <t>0,0033***</t>
  </si>
  <si>
    <t>0,0035***</t>
  </si>
  <si>
    <t>Niet-Westers</t>
  </si>
  <si>
    <t>0,0090***</t>
  </si>
  <si>
    <t>0,0091***</t>
  </si>
  <si>
    <t>0,0085***</t>
  </si>
  <si>
    <t>0,0088***</t>
  </si>
  <si>
    <t>0,0014***</t>
  </si>
  <si>
    <t>0,0078***</t>
  </si>
  <si>
    <t>0,0068***</t>
  </si>
  <si>
    <t>0,0089***</t>
  </si>
  <si>
    <t>0,0098***</t>
  </si>
  <si>
    <t>0,0081***</t>
  </si>
  <si>
    <t>0,0136***</t>
  </si>
  <si>
    <t>0,0086***</t>
  </si>
  <si>
    <t>0,0183***</t>
  </si>
  <si>
    <t>0,0207***</t>
  </si>
  <si>
    <t>0,0182***</t>
  </si>
  <si>
    <t>0,0186***</t>
  </si>
  <si>
    <t>0,0257***</t>
  </si>
  <si>
    <t>0,0172***</t>
  </si>
  <si>
    <t>0,0156***</t>
  </si>
  <si>
    <t>0,0252***</t>
  </si>
  <si>
    <t>0,0297***</t>
  </si>
  <si>
    <t>0,0261***</t>
  </si>
  <si>
    <t>0,0255***</t>
  </si>
  <si>
    <t>0,0239***</t>
  </si>
  <si>
    <t>0,0234***</t>
  </si>
  <si>
    <t>-0,0417***</t>
  </si>
  <si>
    <t>-0,0415***</t>
  </si>
  <si>
    <t>-0,0389***</t>
  </si>
  <si>
    <t>-0,0419***</t>
  </si>
  <si>
    <t>0,0120***</t>
  </si>
  <si>
    <t>-0,0406***</t>
  </si>
  <si>
    <t>(0,0016)</t>
  </si>
  <si>
    <t>(0,0017)</t>
  </si>
  <si>
    <t>-0,0141***</t>
  </si>
  <si>
    <t>-0,0140***</t>
  </si>
  <si>
    <t>-0,0120***</t>
  </si>
  <si>
    <t>-0,0144***</t>
  </si>
  <si>
    <t>-0,0244***</t>
  </si>
  <si>
    <t>-0,0145***</t>
  </si>
  <si>
    <t>-0,0134***</t>
  </si>
  <si>
    <t>0,0347***</t>
  </si>
  <si>
    <t>0,0378***</t>
  </si>
  <si>
    <t>0,0365***</t>
  </si>
  <si>
    <t>0,0345***</t>
  </si>
  <si>
    <t>0,0354***</t>
  </si>
  <si>
    <t>(0,0010)</t>
  </si>
  <si>
    <t>(0,0009)</t>
  </si>
  <si>
    <t>-0,0096***</t>
  </si>
  <si>
    <t>-0,0071***</t>
  </si>
  <si>
    <t>-0,0099***</t>
  </si>
  <si>
    <t>0,0145***</t>
  </si>
  <si>
    <t>-0,0103***</t>
  </si>
  <si>
    <t>-0,0097***</t>
  </si>
  <si>
    <t>-0,0021***</t>
  </si>
  <si>
    <t>-0,0296***</t>
  </si>
  <si>
    <t>-0,0013*</t>
  </si>
  <si>
    <t>0,0212***</t>
  </si>
  <si>
    <t>0,0211***</t>
  </si>
  <si>
    <t>0,0220***</t>
  </si>
  <si>
    <t>0,0194***</t>
  </si>
  <si>
    <t>-0,0293***</t>
  </si>
  <si>
    <t>0,0206***</t>
  </si>
  <si>
    <t>0,0209***</t>
  </si>
  <si>
    <t>0,0131***</t>
  </si>
  <si>
    <t>0,0135***</t>
  </si>
  <si>
    <t>0,0148***</t>
  </si>
  <si>
    <t>0,0129***</t>
  </si>
  <si>
    <t>-0,0177***</t>
  </si>
  <si>
    <t>0,0125***</t>
  </si>
  <si>
    <t>0,0130***</t>
  </si>
  <si>
    <t>0,0656***</t>
  </si>
  <si>
    <t>0,0680***</t>
  </si>
  <si>
    <t>-0,0077***</t>
  </si>
  <si>
    <t>0,0648***</t>
  </si>
  <si>
    <t>0,0657***</t>
  </si>
  <si>
    <t>0,0254***</t>
  </si>
  <si>
    <t>0,0283***</t>
  </si>
  <si>
    <t>0,0247***</t>
  </si>
  <si>
    <t>-0,0138***</t>
  </si>
  <si>
    <t>0,0245***</t>
  </si>
  <si>
    <t>FinanciÃ«le instellingen</t>
  </si>
  <si>
    <t>0,0532***</t>
  </si>
  <si>
    <t>0,0535***</t>
  </si>
  <si>
    <t>0,0563***</t>
  </si>
  <si>
    <t>0,0543***</t>
  </si>
  <si>
    <t>-0,0176***</t>
  </si>
  <si>
    <t>0,0542***</t>
  </si>
  <si>
    <t>0,0552***</t>
  </si>
  <si>
    <t>(0,0006)</t>
  </si>
  <si>
    <t>-0,0048***</t>
  </si>
  <si>
    <t>-0,0047***</t>
  </si>
  <si>
    <t>-0,0023**</t>
  </si>
  <si>
    <t>-0,0059***</t>
  </si>
  <si>
    <t>-0,0052***</t>
  </si>
  <si>
    <t>(0,0007)</t>
  </si>
  <si>
    <t>0,0256***</t>
  </si>
  <si>
    <t>0,0281***</t>
  </si>
  <si>
    <t>0,0137***</t>
  </si>
  <si>
    <t>0,0525***</t>
  </si>
  <si>
    <t>0,0531***</t>
  </si>
  <si>
    <t>0,0539***</t>
  </si>
  <si>
    <t>0,0522***</t>
  </si>
  <si>
    <t>0,0338***</t>
  </si>
  <si>
    <t>0,0519***</t>
  </si>
  <si>
    <t>0,0520***</t>
  </si>
  <si>
    <t>-0,0875***</t>
  </si>
  <si>
    <t>-0,0853***</t>
  </si>
  <si>
    <t>-0,0874***</t>
  </si>
  <si>
    <t>-0,1036***</t>
  </si>
  <si>
    <t>-0,0866***</t>
  </si>
  <si>
    <t>-0,0583***</t>
  </si>
  <si>
    <t>-0,0582***</t>
  </si>
  <si>
    <t>-0,0562***</t>
  </si>
  <si>
    <t>-0,0589***</t>
  </si>
  <si>
    <t>-0,0912***</t>
  </si>
  <si>
    <t>-0,0579***</t>
  </si>
  <si>
    <t>-0,0570***</t>
  </si>
  <si>
    <t>-0,0088***</t>
  </si>
  <si>
    <t>-0,0070***</t>
  </si>
  <si>
    <t>-0,0092***</t>
  </si>
  <si>
    <t>-0,0986***</t>
  </si>
  <si>
    <t>-0,0086***</t>
  </si>
  <si>
    <t>-0,0082***</t>
  </si>
  <si>
    <t>0,0122***</t>
  </si>
  <si>
    <t>0,0121***</t>
  </si>
  <si>
    <t>0,0069***</t>
  </si>
  <si>
    <t>0,0050***</t>
  </si>
  <si>
    <t>0,0052***</t>
  </si>
  <si>
    <t>0,0065***</t>
  </si>
  <si>
    <t>0,0042***</t>
  </si>
  <si>
    <t>-0,0043***</t>
  </si>
  <si>
    <t>0,0056***</t>
  </si>
  <si>
    <t>0,0064***</t>
  </si>
  <si>
    <t>0,1652***</t>
  </si>
  <si>
    <t>0,1654***</t>
  </si>
  <si>
    <t>0,1618***</t>
  </si>
  <si>
    <t>0,0991***</t>
  </si>
  <si>
    <t>0,1622***</t>
  </si>
  <si>
    <t>0,1621***</t>
  </si>
  <si>
    <t>-0,0033***</t>
  </si>
  <si>
    <t>-0,0026***</t>
  </si>
  <si>
    <t>-0,0064***</t>
  </si>
  <si>
    <t>-0,0031***</t>
  </si>
  <si>
    <t>-0,0032***</t>
  </si>
  <si>
    <t>-0,0024***</t>
  </si>
  <si>
    <t>-0,0011***</t>
  </si>
  <si>
    <t>-0,0066***</t>
  </si>
  <si>
    <t>-0,0020***</t>
  </si>
  <si>
    <t>-0,0018***</t>
  </si>
  <si>
    <t>-0,0215***</t>
  </si>
  <si>
    <t>-0,0216***</t>
  </si>
  <si>
    <t>-0,0200***</t>
  </si>
  <si>
    <t>-0,0248***</t>
  </si>
  <si>
    <t>-0,0231***</t>
  </si>
  <si>
    <t>-0,0208***</t>
  </si>
  <si>
    <t>0,0765***</t>
  </si>
  <si>
    <t>0,0763***</t>
  </si>
  <si>
    <t>0,0755***</t>
  </si>
  <si>
    <t>0,0782***</t>
  </si>
  <si>
    <t>0,0534***</t>
  </si>
  <si>
    <t>0,0725***</t>
  </si>
  <si>
    <t>0,0759***</t>
  </si>
  <si>
    <t>0,1634***</t>
  </si>
  <si>
    <t>0,1669***</t>
  </si>
  <si>
    <t>0,1732***</t>
  </si>
  <si>
    <t>0,0776***</t>
  </si>
  <si>
    <t>0,1598***</t>
  </si>
  <si>
    <t>0,1629***</t>
  </si>
  <si>
    <t>0,0936***</t>
  </si>
  <si>
    <t>0,0935***</t>
  </si>
  <si>
    <t>0,0971***</t>
  </si>
  <si>
    <t>0,0982***</t>
  </si>
  <si>
    <t>0,0739***</t>
  </si>
  <si>
    <t>0,0870***</t>
  </si>
  <si>
    <t>0,0896***</t>
  </si>
  <si>
    <t>-0,0343***</t>
  </si>
  <si>
    <t>-0,0353***</t>
  </si>
  <si>
    <t>-0,0348***</t>
  </si>
  <si>
    <t>-0,0251***</t>
  </si>
  <si>
    <t>-0,0355***</t>
  </si>
  <si>
    <t>-0,0360***</t>
  </si>
  <si>
    <t>-0,0574***</t>
  </si>
  <si>
    <t>-0,0569***</t>
  </si>
  <si>
    <t>-0,0437***</t>
  </si>
  <si>
    <t>-0,0603***</t>
  </si>
  <si>
    <t>-0,0612***</t>
  </si>
  <si>
    <t>-0,0607***</t>
  </si>
  <si>
    <t>-0,0621***</t>
  </si>
  <si>
    <t>-0,0502***</t>
  </si>
  <si>
    <t>-0,0629***</t>
  </si>
  <si>
    <t>-0,0642***</t>
  </si>
  <si>
    <t>-0,0668***</t>
  </si>
  <si>
    <t>-0,0664***</t>
  </si>
  <si>
    <t>-0,0676***</t>
  </si>
  <si>
    <t>-0,0661***</t>
  </si>
  <si>
    <t>-0,0516***</t>
  </si>
  <si>
    <t>-0,0686***</t>
  </si>
  <si>
    <t>-0,0705***</t>
  </si>
  <si>
    <t>-0,0748***</t>
  </si>
  <si>
    <t>-0,0744***</t>
  </si>
  <si>
    <t>-0,0752***</t>
  </si>
  <si>
    <t>-0,0764***</t>
  </si>
  <si>
    <t>-0,0787***</t>
  </si>
  <si>
    <t>Oost-Groningen</t>
  </si>
  <si>
    <t>Delfzijl en omgeving</t>
  </si>
  <si>
    <t>0,0053*</t>
  </si>
  <si>
    <t>0,0050*</t>
  </si>
  <si>
    <t>0,0057*</t>
  </si>
  <si>
    <t>0,0146***</t>
  </si>
  <si>
    <t>(0,0025)</t>
  </si>
  <si>
    <t>(0,0020)</t>
  </si>
  <si>
    <t>(0,0024)</t>
  </si>
  <si>
    <t>Overig Groningen</t>
  </si>
  <si>
    <t>-0,0068***</t>
  </si>
  <si>
    <t>-0,0067***</t>
  </si>
  <si>
    <t>0,0045***</t>
  </si>
  <si>
    <t>-0,0069***</t>
  </si>
  <si>
    <t>(0,0008)</t>
  </si>
  <si>
    <t>Noord-Friesland</t>
  </si>
  <si>
    <t>0,0151***</t>
  </si>
  <si>
    <t>0,0152***</t>
  </si>
  <si>
    <t>0,0153***</t>
  </si>
  <si>
    <t>0,0150***</t>
  </si>
  <si>
    <t>Zuidwest-Friesland</t>
  </si>
  <si>
    <t>-0,0142***</t>
  </si>
  <si>
    <t>-0,0151***</t>
  </si>
  <si>
    <t>0,0020**</t>
  </si>
  <si>
    <t>-0,0146***</t>
  </si>
  <si>
    <t>Zuidoost-Friesland</t>
  </si>
  <si>
    <t>0,0210***</t>
  </si>
  <si>
    <t>0,0057***</t>
  </si>
  <si>
    <t>Noord-Drenthe</t>
  </si>
  <si>
    <t>0,0036***</t>
  </si>
  <si>
    <t>0,0101***</t>
  </si>
  <si>
    <t>0,0102***</t>
  </si>
  <si>
    <t>Zuidoost-Drenthe</t>
  </si>
  <si>
    <t>Zuidwest-Drenthe</t>
  </si>
  <si>
    <t>0,0106***</t>
  </si>
  <si>
    <t>0,0107***</t>
  </si>
  <si>
    <t>0,0103***</t>
  </si>
  <si>
    <t>0,0108***</t>
  </si>
  <si>
    <t>0,0105***</t>
  </si>
  <si>
    <t>Noord-Overijssel</t>
  </si>
  <si>
    <t>0,0031***</t>
  </si>
  <si>
    <t>0,0032***</t>
  </si>
  <si>
    <t>0,0027***</t>
  </si>
  <si>
    <t>Zuidwest-Overijssel</t>
  </si>
  <si>
    <t>0,0126***</t>
  </si>
  <si>
    <t>0,0128***</t>
  </si>
  <si>
    <t>0,0124***</t>
  </si>
  <si>
    <t>0,0115***</t>
  </si>
  <si>
    <t>Twente</t>
  </si>
  <si>
    <t>0,0047***</t>
  </si>
  <si>
    <t>0,0041***</t>
  </si>
  <si>
    <t>0,0062***</t>
  </si>
  <si>
    <t>Veluwe</t>
  </si>
  <si>
    <t>0,0072***</t>
  </si>
  <si>
    <t>0,0074***</t>
  </si>
  <si>
    <t>0,0070***</t>
  </si>
  <si>
    <t>0,0113***</t>
  </si>
  <si>
    <t>Achterhoek</t>
  </si>
  <si>
    <t>-0,0046***</t>
  </si>
  <si>
    <t>0,0018**</t>
  </si>
  <si>
    <t>-0,0041***</t>
  </si>
  <si>
    <t>-0,0039***</t>
  </si>
  <si>
    <t>Arnhem/Nijmegen</t>
  </si>
  <si>
    <t>0,0204***</t>
  </si>
  <si>
    <t>0,0201***</t>
  </si>
  <si>
    <t>Zuidwest-Gelderland</t>
  </si>
  <si>
    <t>0,0043***</t>
  </si>
  <si>
    <t>0,0038***</t>
  </si>
  <si>
    <t>0,0082***</t>
  </si>
  <si>
    <t>0,0051***</t>
  </si>
  <si>
    <t>0,0053***</t>
  </si>
  <si>
    <t>Utrecht</t>
  </si>
  <si>
    <t>0,0114***</t>
  </si>
  <si>
    <t>0,0116***</t>
  </si>
  <si>
    <t>0,0147***</t>
  </si>
  <si>
    <t>0,0118***</t>
  </si>
  <si>
    <t>0,0119***</t>
  </si>
  <si>
    <t>Kop van Noord-Holland</t>
  </si>
  <si>
    <t>0,0073***</t>
  </si>
  <si>
    <t>0,0099***</t>
  </si>
  <si>
    <t>Alkmaar en omgeving</t>
  </si>
  <si>
    <t>0,0104***</t>
  </si>
  <si>
    <t>0,0100***</t>
  </si>
  <si>
    <t>IJmond</t>
  </si>
  <si>
    <t>0,0225***</t>
  </si>
  <si>
    <t>0,0223***</t>
  </si>
  <si>
    <t>0,0215***</t>
  </si>
  <si>
    <t>0,0127***</t>
  </si>
  <si>
    <t>0,0229***</t>
  </si>
  <si>
    <t>0,0230***</t>
  </si>
  <si>
    <t>Agglomeratie Haarlem</t>
  </si>
  <si>
    <t>0,0164***</t>
  </si>
  <si>
    <t>0,0168***</t>
  </si>
  <si>
    <t>0,0160***</t>
  </si>
  <si>
    <t>0,0163***</t>
  </si>
  <si>
    <t>0,0221***</t>
  </si>
  <si>
    <t>0,0176***</t>
  </si>
  <si>
    <t>Zaanstreek</t>
  </si>
  <si>
    <t>-0,0306***</t>
  </si>
  <si>
    <t>-0,0307***</t>
  </si>
  <si>
    <t>-0,0319***</t>
  </si>
  <si>
    <t>-0,0290***</t>
  </si>
  <si>
    <t>-0,0298***</t>
  </si>
  <si>
    <t>Groot-Amsterdam</t>
  </si>
  <si>
    <t>0,0189***</t>
  </si>
  <si>
    <t>0,0185***</t>
  </si>
  <si>
    <t>0,0195***</t>
  </si>
  <si>
    <t>Het Gooi en Vechtstreek</t>
  </si>
  <si>
    <t>0,0018*</t>
  </si>
  <si>
    <t>0,0142***</t>
  </si>
  <si>
    <t>0,0034***</t>
  </si>
  <si>
    <t>Agglomeratie Leiden en Bollenstreek</t>
  </si>
  <si>
    <t>0,0039***</t>
  </si>
  <si>
    <t>Agglomeratie 's-Gravenhage</t>
  </si>
  <si>
    <t>0,0024**</t>
  </si>
  <si>
    <t>0,0023**</t>
  </si>
  <si>
    <t>0,0025**</t>
  </si>
  <si>
    <t>0,0161***</t>
  </si>
  <si>
    <t>Delft en Westland</t>
  </si>
  <si>
    <t>-0,0056***</t>
  </si>
  <si>
    <t>-0,0062***</t>
  </si>
  <si>
    <t>-0,0061***</t>
  </si>
  <si>
    <t>-0,0053***</t>
  </si>
  <si>
    <t>Oost-Zuid-Holland</t>
  </si>
  <si>
    <t>Groot-Rijnmond</t>
  </si>
  <si>
    <t>0,0095***</t>
  </si>
  <si>
    <t>0,0097***</t>
  </si>
  <si>
    <t>0,0092***</t>
  </si>
  <si>
    <t>0,0133***</t>
  </si>
  <si>
    <t>Zuidoost-Zuid-Holland</t>
  </si>
  <si>
    <t>0,0048***</t>
  </si>
  <si>
    <t>0,0046***</t>
  </si>
  <si>
    <t>Zeeuwsch-Vlaanderen</t>
  </si>
  <si>
    <t>-0,0201***</t>
  </si>
  <si>
    <t>-0,0203***</t>
  </si>
  <si>
    <t>-0,0198***</t>
  </si>
  <si>
    <t>-0,0058***</t>
  </si>
  <si>
    <t>-0,0190***</t>
  </si>
  <si>
    <t>-0,0189***</t>
  </si>
  <si>
    <t>(0,0011)</t>
  </si>
  <si>
    <t>Overig Zeeland</t>
  </si>
  <si>
    <t>-0,0017*</t>
  </si>
  <si>
    <t>0,0071***</t>
  </si>
  <si>
    <t>West-Noord-Brabant</t>
  </si>
  <si>
    <t>0,0110***</t>
  </si>
  <si>
    <t>Midden-Noord-Brabant</t>
  </si>
  <si>
    <t>0,0084***</t>
  </si>
  <si>
    <t>0,0087***</t>
  </si>
  <si>
    <t>0,0075***</t>
  </si>
  <si>
    <t>0,0083***</t>
  </si>
  <si>
    <t>Noordoost-Noord-Brabant</t>
  </si>
  <si>
    <t>0,0157***</t>
  </si>
  <si>
    <t>0,0132***</t>
  </si>
  <si>
    <t>Zuidoost-Noord-Brabant</t>
  </si>
  <si>
    <t>Noord-Limburg</t>
  </si>
  <si>
    <t>-0,0036***</t>
  </si>
  <si>
    <t>-0,0034***</t>
  </si>
  <si>
    <t>-0,0038***</t>
  </si>
  <si>
    <t>-0,0027**</t>
  </si>
  <si>
    <t>-0,0029***</t>
  </si>
  <si>
    <t>Midden-Limburg</t>
  </si>
  <si>
    <t>0,0026**</t>
  </si>
  <si>
    <t>0,0023*</t>
  </si>
  <si>
    <t>Zuid-Limburg</t>
  </si>
  <si>
    <t>0,0111***</t>
  </si>
  <si>
    <t>0,0112***</t>
  </si>
  <si>
    <t>Flevoland</t>
  </si>
  <si>
    <t>0,0154***</t>
  </si>
  <si>
    <t>0,0198***</t>
  </si>
  <si>
    <t>0,0162***</t>
  </si>
  <si>
    <t>year=2011</t>
  </si>
  <si>
    <t>year=2012</t>
  </si>
  <si>
    <t>year=2013</t>
  </si>
  <si>
    <t>-0,0037***</t>
  </si>
  <si>
    <t>year=2014</t>
  </si>
  <si>
    <t>0,0199***</t>
  </si>
  <si>
    <t>0,0109***</t>
  </si>
  <si>
    <t>year=2015</t>
  </si>
  <si>
    <t>0,0386***</t>
  </si>
  <si>
    <t>0,0238***</t>
  </si>
  <si>
    <t>year=2016</t>
  </si>
  <si>
    <t>0,0380***</t>
  </si>
  <si>
    <t>0,0265***</t>
  </si>
  <si>
    <t>year=2017</t>
  </si>
  <si>
    <t>0,0376***</t>
  </si>
  <si>
    <t>0,0286***</t>
  </si>
  <si>
    <t>year=2018</t>
  </si>
  <si>
    <t>0,0316***</t>
  </si>
  <si>
    <t>year=2019</t>
  </si>
  <si>
    <t>0,0140***</t>
  </si>
  <si>
    <t>year=2020</t>
  </si>
  <si>
    <t>0,0276***</t>
  </si>
  <si>
    <t>0,0190***</t>
  </si>
  <si>
    <t>year=2021</t>
  </si>
  <si>
    <t>0,0498***</t>
  </si>
  <si>
    <t>0,0416***</t>
  </si>
  <si>
    <t>year=2022</t>
  </si>
  <si>
    <t>0,0395***</t>
  </si>
  <si>
    <t>0,0326***</t>
  </si>
  <si>
    <t>year=2023</t>
  </si>
  <si>
    <t>0,0327***</t>
  </si>
  <si>
    <t>0,0267***</t>
  </si>
  <si>
    <t>year=2024</t>
  </si>
  <si>
    <t>0,0169***</t>
  </si>
  <si>
    <t>Current tenure at 1 jan of year, in days</t>
  </si>
  <si>
    <t>-0,0118***</t>
  </si>
  <si>
    <t>(0,0000)</t>
  </si>
  <si>
    <t>Age</t>
  </si>
  <si>
    <t>-0,0015***</t>
  </si>
  <si>
    <t>leeftijd2</t>
  </si>
  <si>
    <t>-0,0000***</t>
  </si>
  <si>
    <t>2.grootteklasse</t>
  </si>
  <si>
    <t>-0,0040***</t>
  </si>
  <si>
    <t>-0,0035***</t>
  </si>
  <si>
    <t>-0,0536***</t>
  </si>
  <si>
    <t>(0,0023)</t>
  </si>
  <si>
    <t>3.grootteklasse</t>
  </si>
  <si>
    <t>-0,0090***</t>
  </si>
  <si>
    <t>0,0013***</t>
  </si>
  <si>
    <t>-0,0675***</t>
  </si>
  <si>
    <t>(0,0021)</t>
  </si>
  <si>
    <t>4.grootteklasse</t>
  </si>
  <si>
    <t>-0,0335***</t>
  </si>
  <si>
    <t>-0,0852***</t>
  </si>
  <si>
    <t>2.flex</t>
  </si>
  <si>
    <t>0,0642***</t>
  </si>
  <si>
    <t>0,0745***</t>
  </si>
  <si>
    <t>0,0878***</t>
  </si>
  <si>
    <t>0,0711***</t>
  </si>
  <si>
    <t>0,0779***</t>
  </si>
  <si>
    <t>0,0720***</t>
  </si>
  <si>
    <t>0,0858***</t>
  </si>
  <si>
    <t>(0,0012)</t>
  </si>
  <si>
    <t>3.flex</t>
  </si>
  <si>
    <t>0,2195***</t>
  </si>
  <si>
    <t>0,1699***</t>
  </si>
  <si>
    <t>0,1609***</t>
  </si>
  <si>
    <t>0,1678***</t>
  </si>
  <si>
    <t>0,1303***</t>
  </si>
  <si>
    <t>0,2032***</t>
  </si>
  <si>
    <t>0,1857***</t>
  </si>
  <si>
    <t>0,1737***</t>
  </si>
  <si>
    <t>0,1415***</t>
  </si>
  <si>
    <t>0,0222***</t>
  </si>
  <si>
    <t>(0,0013)</t>
  </si>
  <si>
    <t>4.flex</t>
  </si>
  <si>
    <t>0,0809***</t>
  </si>
  <si>
    <t>0,0802***</t>
  </si>
  <si>
    <t>0,0999***</t>
  </si>
  <si>
    <t>0,1084***</t>
  </si>
  <si>
    <t>0,0865***</t>
  </si>
  <si>
    <t>0,1511***</t>
  </si>
  <si>
    <t>0,0829***</t>
  </si>
  <si>
    <t>0,0780***</t>
  </si>
  <si>
    <t>0,0584***</t>
  </si>
  <si>
    <t>-0,0126***</t>
  </si>
  <si>
    <t>2.agegroup</t>
  </si>
  <si>
    <t>-0,0358***</t>
  </si>
  <si>
    <t>-0,0301***</t>
  </si>
  <si>
    <t>-0,0463***</t>
  </si>
  <si>
    <t>-0,0494***</t>
  </si>
  <si>
    <t>-0,0561***</t>
  </si>
  <si>
    <t>-0,0493***</t>
  </si>
  <si>
    <t>0,0167***</t>
  </si>
  <si>
    <t>3.agegroup</t>
  </si>
  <si>
    <t>-0,0690***</t>
  </si>
  <si>
    <t>-0,0563***</t>
  </si>
  <si>
    <t>-0,0797***</t>
  </si>
  <si>
    <t>-0,0878***</t>
  </si>
  <si>
    <t>-0,0827***</t>
  </si>
  <si>
    <t>-0,0818***</t>
  </si>
  <si>
    <t>-0,0273***</t>
  </si>
  <si>
    <t>-0,0863***</t>
  </si>
  <si>
    <t>4.agegroup</t>
  </si>
  <si>
    <t>-0,0856***</t>
  </si>
  <si>
    <t>-0,0696***</t>
  </si>
  <si>
    <t>-0,1030***</t>
  </si>
  <si>
    <t>-0,0965***</t>
  </si>
  <si>
    <t>-0,0819***</t>
  </si>
  <si>
    <t>-0,0531***</t>
  </si>
  <si>
    <t>-0,1050***</t>
  </si>
  <si>
    <t>5.agegroup</t>
  </si>
  <si>
    <t>-0,1151***</t>
  </si>
  <si>
    <t>-0,1027***</t>
  </si>
  <si>
    <t>-0,1111***</t>
  </si>
  <si>
    <t>-0,1279***</t>
  </si>
  <si>
    <t>-0,1229***</t>
  </si>
  <si>
    <t>-0,1045***</t>
  </si>
  <si>
    <t>-0,1117***</t>
  </si>
  <si>
    <t>-0,1509***</t>
  </si>
  <si>
    <t>6.agegroup</t>
  </si>
  <si>
    <t>-0,1594***</t>
  </si>
  <si>
    <t>-0,1520***</t>
  </si>
  <si>
    <t>-0,1614***</t>
  </si>
  <si>
    <t>-0,1619***</t>
  </si>
  <si>
    <t>-0,1272***</t>
  </si>
  <si>
    <t>-0,1858***</t>
  </si>
  <si>
    <t>-0,2354***</t>
  </si>
  <si>
    <t>-0,2263***</t>
  </si>
  <si>
    <t>2.opleidingsniveau</t>
  </si>
  <si>
    <t>0,0149***</t>
  </si>
  <si>
    <t>3.opleidingsniveau</t>
  </si>
  <si>
    <t>0,0260***</t>
  </si>
  <si>
    <t>0,0259***</t>
  </si>
  <si>
    <t>0,0299***</t>
  </si>
  <si>
    <t>4.opleidingsniveau</t>
  </si>
  <si>
    <t>0,0418***</t>
  </si>
  <si>
    <t>0,0282***</t>
  </si>
  <si>
    <t>0,0231***</t>
  </si>
  <si>
    <t>0,0244***</t>
  </si>
  <si>
    <t>0,0290***</t>
  </si>
  <si>
    <t>0,0394***</t>
  </si>
  <si>
    <t>r2</t>
  </si>
  <si>
    <t>* p&lt;0.05, ** p&lt;0.01, *** p&lt;0.001</t>
  </si>
  <si>
    <t>Variabele</t>
  </si>
  <si>
    <t>Leeftijd x opleidingsniv. (2)</t>
  </si>
  <si>
    <t>Geslacht (Man = baseline)</t>
  </si>
  <si>
    <t>0.003***</t>
  </si>
  <si>
    <t>(0.000)</t>
  </si>
  <si>
    <t>Leeftijd (15-25 = baseline)</t>
  </si>
  <si>
    <t>-0.035***</t>
  </si>
  <si>
    <t>-0.066***</t>
  </si>
  <si>
    <t>-0.078***</t>
  </si>
  <si>
    <t>-0.108***</t>
  </si>
  <si>
    <t>-0.157***</t>
  </si>
  <si>
    <t>-0.156***</t>
  </si>
  <si>
    <t>Opleiding (Laag opgeleid = baseline)</t>
  </si>
  <si>
    <t>0.009***</t>
  </si>
  <si>
    <t>0.008***</t>
  </si>
  <si>
    <t>0.018***</t>
  </si>
  <si>
    <t>0.019***</t>
  </si>
  <si>
    <t>0.025***</t>
  </si>
  <si>
    <t>0.026***</t>
  </si>
  <si>
    <t>Contract (Onbepaalde tijd = baseline)</t>
  </si>
  <si>
    <t>0.077***</t>
  </si>
  <si>
    <t>(0.00)</t>
  </si>
  <si>
    <t>0.076***</t>
  </si>
  <si>
    <t>0.163***</t>
  </si>
  <si>
    <t>0.094***</t>
  </si>
  <si>
    <t>Bedrijfsgrootte (Micro: &lt;10 = baseline)</t>
  </si>
  <si>
    <t>-0.003***</t>
  </si>
  <si>
    <t>-0.002***</t>
  </si>
  <si>
    <t>-0.001***</t>
  </si>
  <si>
    <t>-0.022***</t>
  </si>
  <si>
    <t>-0.020***</t>
  </si>
  <si>
    <t>Dienstjaren (1 tot 2 jaar = baseline)</t>
  </si>
  <si>
    <t>-0.049***</t>
  </si>
  <si>
    <t>-0.072***</t>
  </si>
  <si>
    <t>-0.071***</t>
  </si>
  <si>
    <t>-0.070***</t>
  </si>
  <si>
    <t>-0.100***</t>
  </si>
  <si>
    <t>-0.097***</t>
  </si>
  <si>
    <t>-0.06***</t>
  </si>
  <si>
    <t>Interactietermen</t>
  </si>
  <si>
    <t>Leeftijd × Opleiding</t>
  </si>
  <si>
    <t>(15 tot 25 = baseline)</t>
  </si>
  <si>
    <t>25 tot 35 # Lower</t>
  </si>
  <si>
    <t>-0.036***</t>
  </si>
  <si>
    <t>25 tot 35 # Medium</t>
  </si>
  <si>
    <t>-0.030***</t>
  </si>
  <si>
    <t>25 tot 35 # Bachelor</t>
  </si>
  <si>
    <t>-0.046***</t>
  </si>
  <si>
    <t>25 tot 35 # Master</t>
  </si>
  <si>
    <t>(0.001)</t>
  </si>
  <si>
    <t>35 tot 45 # Lower</t>
  </si>
  <si>
    <t>-0.069***</t>
  </si>
  <si>
    <t>35 tot 45 # Medium</t>
  </si>
  <si>
    <t>-0.056***</t>
  </si>
  <si>
    <t>35 tot 45 # Bachelor</t>
  </si>
  <si>
    <t>-0.080***</t>
  </si>
  <si>
    <t>35 tot 45 # Master</t>
  </si>
  <si>
    <t>-0.087***</t>
  </si>
  <si>
    <t>45 tot 55 # Lower</t>
  </si>
  <si>
    <t>-0.086***</t>
  </si>
  <si>
    <t>45 tot 55 # Medium</t>
  </si>
  <si>
    <t>45 tot 55 # Bachelor</t>
  </si>
  <si>
    <t>45 tot 55 # Master</t>
  </si>
  <si>
    <t>-0.103***</t>
  </si>
  <si>
    <t>55 tot 65 # Lower</t>
  </si>
  <si>
    <t>-0.115***</t>
  </si>
  <si>
    <t>55 tot 65 # Medium</t>
  </si>
  <si>
    <t>55 tot 65 # Bachelor</t>
  </si>
  <si>
    <t>-0.111***</t>
  </si>
  <si>
    <t>55 tot 65 # Master</t>
  </si>
  <si>
    <t>-0.128***</t>
  </si>
  <si>
    <t>65 tot 75 # Lower</t>
  </si>
  <si>
    <t>-0.159***</t>
  </si>
  <si>
    <t>65 tot 75 # Medium</t>
  </si>
  <si>
    <t>-0.152***</t>
  </si>
  <si>
    <t>65 tot 75 # Bachelor</t>
  </si>
  <si>
    <t>-0.161***</t>
  </si>
  <si>
    <t>65 tot 75 # Master</t>
  </si>
  <si>
    <t>-0.162***</t>
  </si>
  <si>
    <t>(0.002)</t>
  </si>
  <si>
    <t>(Laag opgeleid = baseline)</t>
  </si>
  <si>
    <t>Medium # 15 tot 25</t>
  </si>
  <si>
    <t>Medium # 25 tot 35</t>
  </si>
  <si>
    <t>Medium # 35 tot 45</t>
  </si>
  <si>
    <t>0.015***</t>
  </si>
  <si>
    <t>Medium # 45 tot 55</t>
  </si>
  <si>
    <t>Medium # 55 tot 65</t>
  </si>
  <si>
    <t>Medium # 65 tot 75</t>
  </si>
  <si>
    <t>0.010***</t>
  </si>
  <si>
    <t>Bachelor # 15 tot 25</t>
  </si>
  <si>
    <t>Bachelor # 25 tot 35</t>
  </si>
  <si>
    <t>Bachelor # 35 tot 45</t>
  </si>
  <si>
    <t>Bachelor # 45 tot 55</t>
  </si>
  <si>
    <t>Bachelor # 55 tot 65</t>
  </si>
  <si>
    <t>0.030***</t>
  </si>
  <si>
    <t>Bachelor # 65 tot 75</t>
  </si>
  <si>
    <t>0.024***</t>
  </si>
  <si>
    <t>Master # 15 tot 25</t>
  </si>
  <si>
    <t>0.042***</t>
  </si>
  <si>
    <t>Master # 25 tot 35</t>
  </si>
  <si>
    <t>0.028***</t>
  </si>
  <si>
    <t>Master # 35 tot 45</t>
  </si>
  <si>
    <t>0.023***</t>
  </si>
  <si>
    <t>Master # 45 tot 55</t>
  </si>
  <si>
    <t>Master # 55 tot 65</t>
  </si>
  <si>
    <t>0.029***</t>
  </si>
  <si>
    <t>Master # 65 tot 75</t>
  </si>
  <si>
    <t>0.039***</t>
  </si>
  <si>
    <t>Leeftijd × Contract</t>
  </si>
  <si>
    <t>(Onbepaalde tijd = baseline)</t>
  </si>
  <si>
    <t>Bepaalde tijd # 15 tot 25</t>
  </si>
  <si>
    <t>0.071***</t>
  </si>
  <si>
    <t>Bepaalde tijd # 25 tot 35</t>
  </si>
  <si>
    <t>0.078***</t>
  </si>
  <si>
    <t>Bepaalde tijd # 35 tot 45</t>
  </si>
  <si>
    <t>0.072***</t>
  </si>
  <si>
    <t>Bepaalde tijd # 45 tot 55</t>
  </si>
  <si>
    <t>0.086***</t>
  </si>
  <si>
    <t>Bepaalde tijd # 55 tot 65</t>
  </si>
  <si>
    <t>0.090***</t>
  </si>
  <si>
    <t>Bepaalde tijd # 65 tot 75</t>
  </si>
  <si>
    <t>0.013***</t>
  </si>
  <si>
    <t>Uitzend # 15 tot 25</t>
  </si>
  <si>
    <t>0.130***</t>
  </si>
  <si>
    <t>Uitzend # 25 tot 35</t>
  </si>
  <si>
    <t>0.203***</t>
  </si>
  <si>
    <t>Uitzend # 35 tot 45</t>
  </si>
  <si>
    <t>0.186***</t>
  </si>
  <si>
    <t>Uitzend # 45 tot 55</t>
  </si>
  <si>
    <t>0.174***</t>
  </si>
  <si>
    <t>Uitzend # 55 tot 65</t>
  </si>
  <si>
    <t>0.142***</t>
  </si>
  <si>
    <t>Uitzend # 65 tot 75</t>
  </si>
  <si>
    <t>0.022***</t>
  </si>
  <si>
    <t>Oproep # 15 tot 25</t>
  </si>
  <si>
    <t>0.087***</t>
  </si>
  <si>
    <t>Oproep # 25 tot 35</t>
  </si>
  <si>
    <t>0.151***</t>
  </si>
  <si>
    <t>Oproep # 35 tot 45</t>
  </si>
  <si>
    <t>0.083***</t>
  </si>
  <si>
    <t>Oproep # 45 tot 55</t>
  </si>
  <si>
    <t>Oproep # 55 tot 65</t>
  </si>
  <si>
    <t>0.058***</t>
  </si>
  <si>
    <t>Oproep # 65 tot 75</t>
  </si>
  <si>
    <t>-0.013***</t>
  </si>
  <si>
    <t>(15 tot 25 baseline)</t>
  </si>
  <si>
    <t>25 tot 35 # Onbepaalde tijd</t>
  </si>
  <si>
    <t>25 tot 35 # Bepaalde tijd</t>
  </si>
  <si>
    <t>25 tot 35 # Uitzend</t>
  </si>
  <si>
    <t>0.017***</t>
  </si>
  <si>
    <t>25 tot 35 # Oproep</t>
  </si>
  <si>
    <t>35 tot 45 # Onbepaalde tijd</t>
  </si>
  <si>
    <t>-0.083***</t>
  </si>
  <si>
    <t>35 tot 45 # Bepaalde tijd</t>
  </si>
  <si>
    <t>-0.082***</t>
  </si>
  <si>
    <t>35 tot 45 # Uitzend</t>
  </si>
  <si>
    <t>-0.027***</t>
  </si>
  <si>
    <t>35 tot 45 # Oproep</t>
  </si>
  <si>
    <t>45 tot 55 # Onbepaalde tijd</t>
  </si>
  <si>
    <t>-0.096***</t>
  </si>
  <si>
    <t>45 tot 55 # Bepaalde tijd</t>
  </si>
  <si>
    <t>45 tot 55 # Uitzend</t>
  </si>
  <si>
    <t>-0.053***</t>
  </si>
  <si>
    <t>45 tot 55 # Oproep</t>
  </si>
  <si>
    <t>-0.105***</t>
  </si>
  <si>
    <t>55 tot 65 # Onbepaalde tijd</t>
  </si>
  <si>
    <t>-0.123***</t>
  </si>
  <si>
    <t>55 tot 65 # Bepaalde tijd</t>
  </si>
  <si>
    <t>55 tot 65 # Uitzend</t>
  </si>
  <si>
    <t>-0.112***</t>
  </si>
  <si>
    <t>55 tot 65 # Oproep</t>
  </si>
  <si>
    <t>-0.151***</t>
  </si>
  <si>
    <t>65 tot 75 # Onbepaalde tijd</t>
  </si>
  <si>
    <t>-0.127***</t>
  </si>
  <si>
    <t>65 tot 75 # Bepaalde tijd</t>
  </si>
  <si>
    <t>-0.186***</t>
  </si>
  <si>
    <t>65 tot 75 # Uitzend</t>
  </si>
  <si>
    <t>-0.235***</t>
  </si>
  <si>
    <t>65 tot 75 # Oproep</t>
  </si>
  <si>
    <t>-0.226***</t>
  </si>
  <si>
    <t>Bedrijfsgrootte × Contract</t>
  </si>
  <si>
    <t>(Micro: &lt;10 = baseline)</t>
  </si>
  <si>
    <t>Small: 10-50 employees # Onbepaalde tijd</t>
  </si>
  <si>
    <t>-0.004***</t>
  </si>
  <si>
    <t>Small: 10-50 employees # Bepaalde tijd</t>
  </si>
  <si>
    <t>Small: 10-50 employees # Uitzend</t>
  </si>
  <si>
    <t>-0.054***</t>
  </si>
  <si>
    <t>Small: 10-50 employees # Oproep</t>
  </si>
  <si>
    <t>-0.005***</t>
  </si>
  <si>
    <t>Medium: 50-250 employees # Onbepaalde tijd</t>
  </si>
  <si>
    <t>-0.009***</t>
  </si>
  <si>
    <t>Medium: 50-250 employees # Bepaalde tijd</t>
  </si>
  <si>
    <t>Medium: 50-250 employees # Uitzend</t>
  </si>
  <si>
    <t>-0.068***</t>
  </si>
  <si>
    <t>Medium: 50-250 employees # Oproep</t>
  </si>
  <si>
    <t>Large: &gt;250 employees # Onbepaalde tijd</t>
  </si>
  <si>
    <t>-0.034***</t>
  </si>
  <si>
    <t>Large: &gt;250 employees # Bepaalde tijd</t>
  </si>
  <si>
    <t>-0.010***</t>
  </si>
  <si>
    <t>Large: &gt;250 employees # Uitzend</t>
  </si>
  <si>
    <t>-0.085***</t>
  </si>
  <si>
    <t>Large: &gt;250 employees # Oproep</t>
  </si>
  <si>
    <t>-0.006***</t>
  </si>
  <si>
    <t>Bepaalde tijd # Micro: &lt;10 employees</t>
  </si>
  <si>
    <t>0.064***</t>
  </si>
  <si>
    <t>Bepaalde tijd # Small: 10-50 employees</t>
  </si>
  <si>
    <t>0.065***</t>
  </si>
  <si>
    <t>Bepaalde tijd # Medium: 50-250 employees</t>
  </si>
  <si>
    <t>0.075***</t>
  </si>
  <si>
    <t>Bepaalde tijd # Large: &gt;250 employees</t>
  </si>
  <si>
    <t>0.088***</t>
  </si>
  <si>
    <t>Uitzend # Micro: &lt;10 employees</t>
  </si>
  <si>
    <t>0.220***</t>
  </si>
  <si>
    <t>Uitzend # Small: 10-50 employees</t>
  </si>
  <si>
    <t>0.170***</t>
  </si>
  <si>
    <t>Uitzend # Medium: 50-250 employees</t>
  </si>
  <si>
    <t>0.161***</t>
  </si>
  <si>
    <t>Uitzend # Large: &gt;250 employees</t>
  </si>
  <si>
    <t>0.168***</t>
  </si>
  <si>
    <t>Oproep # Micro: &lt;10 employees</t>
  </si>
  <si>
    <t>0.081***</t>
  </si>
  <si>
    <t>Oproep # Small: 10-50 employees</t>
  </si>
  <si>
    <t>0.080***</t>
  </si>
  <si>
    <t>Oproep # Medium: 50-250 employees</t>
  </si>
  <si>
    <t>0.100***</t>
  </si>
  <si>
    <t>Oproep # Large: &gt;250 employees</t>
  </si>
  <si>
    <t>0.108***</t>
  </si>
  <si>
    <t>TABEL ANALYSE</t>
  </si>
  <si>
    <t>Basis logit (1)</t>
  </si>
  <si>
    <t>Leeftijd x Contract type (3)</t>
  </si>
  <si>
    <t>Bedrijfsgr. x Contract type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</si>
</sst>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0.0%"/>
  </numFmts>
  <fonts count="30" x14ac:knownFonts="1">
    <font>
      <sz val="11"/>
      <color theme="1"/>
      <name val="Aptos Narrow"/>
      <family val="2"/>
      <scheme val="minor"/>
    </font>
    <font>
      <sz val="11"/>
      <color theme="1"/>
      <name val="Aptos Narrow"/>
      <family val="2"/>
      <scheme val="minor"/>
    </font>
    <font>
      <sz val="10"/>
      <name val="Arial"/>
      <family val="2"/>
    </font>
    <font>
      <i/>
      <sz val="10"/>
      <name val="Arial"/>
      <family val="2"/>
    </font>
    <font>
      <i/>
      <sz val="10"/>
      <color rgb="FFFF0000"/>
      <name val="Arial"/>
      <family val="2"/>
    </font>
    <font>
      <b/>
      <sz val="10"/>
      <name val="Arial"/>
      <family val="2"/>
    </font>
    <font>
      <b/>
      <sz val="10"/>
      <name val="Arial"/>
      <family val="2"/>
      <charset val="1"/>
    </font>
    <font>
      <sz val="10"/>
      <name val="Arial"/>
      <family val="2"/>
      <charset val="1"/>
    </font>
    <font>
      <sz val="10"/>
      <color rgb="FFFF0000"/>
      <name val="Arial"/>
      <family val="2"/>
    </font>
    <font>
      <sz val="10"/>
      <color theme="1"/>
      <name val="Arial"/>
      <family val="2"/>
    </font>
    <font>
      <sz val="9"/>
      <name val="Aptos Display"/>
      <family val="2"/>
      <scheme val="major"/>
    </font>
    <font>
      <sz val="10"/>
      <color rgb="FF800080"/>
      <name val="Arial"/>
      <family val="2"/>
      <charset val="1"/>
    </font>
    <font>
      <b/>
      <sz val="12"/>
      <name val="Arial"/>
      <family val="2"/>
    </font>
    <font>
      <sz val="10"/>
      <color theme="8"/>
      <name val="Arial"/>
      <family val="2"/>
      <charset val="1"/>
    </font>
    <font>
      <sz val="10"/>
      <color rgb="FFFF0000"/>
      <name val="Arial"/>
      <family val="2"/>
      <charset val="1"/>
    </font>
    <font>
      <b/>
      <sz val="10"/>
      <color rgb="FFFF0000"/>
      <name val="Arial"/>
      <family val="2"/>
    </font>
    <font>
      <sz val="8"/>
      <name val="Aptos Narrow"/>
      <family val="2"/>
      <scheme val="minor"/>
    </font>
    <font>
      <i/>
      <sz val="10"/>
      <color theme="1"/>
      <name val="Arial"/>
      <family val="2"/>
    </font>
    <font>
      <b/>
      <sz val="10"/>
      <color rgb="FF000000"/>
      <name val="Arial"/>
      <family val="2"/>
      <charset val="1"/>
    </font>
    <font>
      <sz val="10"/>
      <name val="Arial"/>
      <family val="2"/>
    </font>
    <font>
      <i/>
      <sz val="10"/>
      <color rgb="FFFF0000"/>
      <name val="Arial"/>
      <family val="2"/>
      <charset val="1"/>
    </font>
    <font>
      <b/>
      <sz val="10"/>
      <color rgb="FF000000"/>
      <name val="Arial"/>
      <family val="2"/>
    </font>
    <font>
      <b/>
      <i/>
      <sz val="10"/>
      <name val="Arial"/>
      <family val="2"/>
    </font>
    <font>
      <b/>
      <u/>
      <sz val="11"/>
      <color theme="1"/>
      <name val="Aptos Narrow"/>
      <family val="2"/>
      <scheme val="minor"/>
    </font>
    <font>
      <b/>
      <sz val="8"/>
      <color rgb="FFFFFFFF"/>
      <name val="Aptos"/>
      <family val="2"/>
    </font>
    <font>
      <sz val="8"/>
      <color rgb="FFFFFFFF"/>
      <name val="Aptos"/>
      <family val="2"/>
    </font>
    <font>
      <sz val="8"/>
      <color theme="1"/>
      <name val="Aptos"/>
      <family val="2"/>
    </font>
    <font>
      <sz val="8"/>
      <color rgb="FF000000"/>
      <name val="Aptos"/>
      <family val="2"/>
    </font>
    <font>
      <sz val="6"/>
      <color theme="1"/>
      <name val="Aptos"/>
      <family val="2"/>
    </font>
    <font>
      <b/>
      <sz val="8"/>
      <color theme="1"/>
      <name val="Aptos"/>
      <family val="2"/>
    </font>
  </fonts>
  <fills count="12">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CC66"/>
        <bgColor indexed="64"/>
      </patternFill>
    </fill>
    <fill>
      <patternFill patternType="solid">
        <fgColor theme="5" tint="0.79998168889431442"/>
        <bgColor indexed="64"/>
      </patternFill>
    </fill>
    <fill>
      <patternFill patternType="solid">
        <fgColor rgb="FFFFC000"/>
        <bgColor indexed="64"/>
      </patternFill>
    </fill>
    <fill>
      <patternFill patternType="solid">
        <fgColor rgb="FF215E99"/>
        <bgColor indexed="64"/>
      </patternFill>
    </fill>
    <fill>
      <patternFill patternType="solid">
        <fgColor rgb="FF4C94D8"/>
        <bgColor indexed="64"/>
      </patternFill>
    </fill>
    <fill>
      <patternFill patternType="solid">
        <fgColor rgb="FFDAE9F7"/>
        <bgColor indexed="64"/>
      </patternFill>
    </fill>
    <fill>
      <patternFill patternType="solid">
        <fgColor rgb="FF548DD4"/>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bottom style="double">
        <color indexed="64"/>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double">
        <color indexed="64"/>
      </bottom>
      <diagonal/>
    </border>
    <border>
      <left style="medium">
        <color indexed="64"/>
      </left>
      <right/>
      <top/>
      <bottom style="double">
        <color indexed="64"/>
      </bottom>
      <diagonal/>
    </border>
    <border>
      <left style="medium">
        <color indexed="64"/>
      </left>
      <right style="medium">
        <color indexed="64"/>
      </right>
      <top style="double">
        <color indexed="64"/>
      </top>
      <bottom/>
      <diagonal/>
    </border>
    <border>
      <left style="medium">
        <color indexed="64"/>
      </left>
      <right/>
      <top style="double">
        <color indexed="64"/>
      </top>
      <bottom/>
      <diagonal/>
    </border>
  </borders>
  <cellStyleXfs count="8">
    <xf numFmtId="0" fontId="0" fillId="0" borderId="0"/>
    <xf numFmtId="9" fontId="1" fillId="0" borderId="0" applyFont="0" applyFill="0" applyBorder="0" applyAlignment="0" applyProtection="0"/>
    <xf numFmtId="0" fontId="2" fillId="0" borderId="0"/>
    <xf numFmtId="0" fontId="7" fillId="0" borderId="0"/>
    <xf numFmtId="9" fontId="19" fillId="0" borderId="0" applyBorder="0" applyAlignment="0" applyProtection="0"/>
    <xf numFmtId="9" fontId="2" fillId="0" borderId="0" applyBorder="0" applyAlignment="0" applyProtection="0"/>
    <xf numFmtId="43" fontId="1" fillId="0" borderId="0" applyFont="0" applyFill="0" applyBorder="0" applyAlignment="0" applyProtection="0"/>
    <xf numFmtId="9" fontId="2" fillId="0" borderId="0" applyBorder="0" applyAlignment="0" applyProtection="0"/>
  </cellStyleXfs>
  <cellXfs count="201">
    <xf numFmtId="0" fontId="0" fillId="0" borderId="0" xfId="0"/>
    <xf numFmtId="0" fontId="2" fillId="0" borderId="0" xfId="2"/>
    <xf numFmtId="3" fontId="2" fillId="0" borderId="0" xfId="2" applyNumberFormat="1"/>
    <xf numFmtId="3" fontId="3" fillId="0" borderId="0" xfId="2" applyNumberFormat="1" applyFont="1"/>
    <xf numFmtId="0" fontId="5" fillId="2" borderId="0" xfId="2" applyFont="1" applyFill="1"/>
    <xf numFmtId="0" fontId="2" fillId="2" borderId="0" xfId="2" applyFill="1"/>
    <xf numFmtId="3" fontId="2" fillId="2" borderId="0" xfId="2" applyNumberFormat="1" applyFill="1"/>
    <xf numFmtId="0" fontId="4" fillId="2" borderId="0" xfId="2" applyFont="1" applyFill="1"/>
    <xf numFmtId="9" fontId="2" fillId="2" borderId="0" xfId="1" applyFont="1" applyFill="1"/>
    <xf numFmtId="0" fontId="6" fillId="0" borderId="0" xfId="2" applyFont="1"/>
    <xf numFmtId="4" fontId="2" fillId="0" borderId="0" xfId="2" applyNumberFormat="1"/>
    <xf numFmtId="164" fontId="2" fillId="0" borderId="0" xfId="2" applyNumberFormat="1"/>
    <xf numFmtId="165" fontId="2" fillId="2" borderId="0" xfId="1" applyNumberFormat="1" applyFont="1" applyFill="1"/>
    <xf numFmtId="0" fontId="5" fillId="2" borderId="0" xfId="2" applyFont="1" applyFill="1" applyAlignment="1">
      <alignment horizontal="right"/>
    </xf>
    <xf numFmtId="0" fontId="8" fillId="0" borderId="0" xfId="2" applyFont="1"/>
    <xf numFmtId="165" fontId="3" fillId="0" borderId="0" xfId="2" applyNumberFormat="1" applyFont="1"/>
    <xf numFmtId="0" fontId="9" fillId="2" borderId="0" xfId="2" applyFont="1" applyFill="1"/>
    <xf numFmtId="0" fontId="5" fillId="0" borderId="0" xfId="2" applyFont="1"/>
    <xf numFmtId="0" fontId="7" fillId="0" borderId="0" xfId="3"/>
    <xf numFmtId="1" fontId="7" fillId="0" borderId="0" xfId="3" applyNumberFormat="1"/>
    <xf numFmtId="0" fontId="5" fillId="0" borderId="0" xfId="3" applyFont="1" applyAlignment="1">
      <alignment horizontal="left"/>
    </xf>
    <xf numFmtId="1" fontId="3" fillId="0" borderId="0" xfId="3" applyNumberFormat="1" applyFont="1"/>
    <xf numFmtId="0" fontId="3" fillId="0" borderId="0" xfId="3" applyFont="1" applyAlignment="1">
      <alignment horizontal="right"/>
    </xf>
    <xf numFmtId="0" fontId="7" fillId="0" borderId="0" xfId="3" applyAlignment="1">
      <alignment horizontal="center"/>
    </xf>
    <xf numFmtId="0" fontId="7" fillId="3" borderId="0" xfId="3" applyFill="1"/>
    <xf numFmtId="0" fontId="7" fillId="3" borderId="0" xfId="3" applyFill="1" applyAlignment="1">
      <alignment horizontal="center"/>
    </xf>
    <xf numFmtId="0" fontId="7" fillId="3" borderId="0" xfId="3" applyFill="1" applyAlignment="1">
      <alignment vertical="center"/>
    </xf>
    <xf numFmtId="0" fontId="7" fillId="0" borderId="0" xfId="3" applyAlignment="1">
      <alignment horizontal="right" indent="1"/>
    </xf>
    <xf numFmtId="0" fontId="7" fillId="3" borderId="0" xfId="3" applyFill="1" applyAlignment="1">
      <alignment horizontal="right" indent="1"/>
    </xf>
    <xf numFmtId="0" fontId="7" fillId="2" borderId="0" xfId="3" applyFill="1"/>
    <xf numFmtId="0" fontId="5" fillId="2" borderId="0" xfId="3" applyFont="1" applyFill="1"/>
    <xf numFmtId="0" fontId="10" fillId="3" borderId="0" xfId="3" applyFont="1" applyFill="1" applyAlignment="1">
      <alignment horizontal="right" vertical="center" indent="1"/>
    </xf>
    <xf numFmtId="0" fontId="10" fillId="3" borderId="0" xfId="3" applyFont="1" applyFill="1" applyAlignment="1">
      <alignment horizontal="center" vertical="center"/>
    </xf>
    <xf numFmtId="0" fontId="10" fillId="3" borderId="0" xfId="3" applyFont="1" applyFill="1" applyAlignment="1">
      <alignment horizontal="right" vertical="center"/>
    </xf>
    <xf numFmtId="9" fontId="10" fillId="3" borderId="0" xfId="1" applyFont="1" applyFill="1" applyAlignment="1">
      <alignment vertical="center"/>
    </xf>
    <xf numFmtId="9" fontId="2" fillId="0" borderId="0" xfId="2" applyNumberFormat="1"/>
    <xf numFmtId="0" fontId="5" fillId="0" borderId="0" xfId="2" applyFont="1" applyAlignment="1">
      <alignment horizontal="right"/>
    </xf>
    <xf numFmtId="3" fontId="7" fillId="0" borderId="0" xfId="3" applyNumberFormat="1"/>
    <xf numFmtId="0" fontId="3" fillId="0" borderId="0" xfId="3" applyFont="1"/>
    <xf numFmtId="9" fontId="2" fillId="2" borderId="0" xfId="2" applyNumberFormat="1" applyFill="1"/>
    <xf numFmtId="3" fontId="0" fillId="0" borderId="0" xfId="0" applyNumberFormat="1"/>
    <xf numFmtId="0" fontId="0" fillId="0" borderId="0" xfId="0" applyAlignment="1">
      <alignment horizontal="right"/>
    </xf>
    <xf numFmtId="0" fontId="2" fillId="0" borderId="0" xfId="2" applyAlignment="1">
      <alignment horizontal="right"/>
    </xf>
    <xf numFmtId="0" fontId="3" fillId="0" borderId="0" xfId="2" applyFont="1"/>
    <xf numFmtId="0" fontId="8" fillId="2" borderId="0" xfId="2" applyFont="1" applyFill="1"/>
    <xf numFmtId="3" fontId="8" fillId="2" borderId="0" xfId="2" applyNumberFormat="1" applyFont="1" applyFill="1"/>
    <xf numFmtId="3" fontId="0" fillId="0" borderId="0" xfId="0" applyNumberFormat="1" applyAlignment="1">
      <alignment horizontal="right" vertical="center"/>
    </xf>
    <xf numFmtId="3" fontId="6" fillId="0" borderId="0" xfId="0" applyNumberFormat="1" applyFont="1" applyAlignment="1">
      <alignment vertical="center"/>
    </xf>
    <xf numFmtId="3" fontId="6" fillId="0" borderId="0" xfId="0" applyNumberFormat="1" applyFont="1" applyAlignment="1">
      <alignment horizontal="right" vertical="center"/>
    </xf>
    <xf numFmtId="0" fontId="12" fillId="4" borderId="0" xfId="3" applyFont="1" applyFill="1" applyAlignment="1">
      <alignment horizontal="center"/>
    </xf>
    <xf numFmtId="0" fontId="5" fillId="0" borderId="0" xfId="3" applyFont="1"/>
    <xf numFmtId="0" fontId="13" fillId="0" borderId="0" xfId="3" applyFont="1"/>
    <xf numFmtId="0" fontId="14" fillId="0" borderId="0" xfId="3" applyFont="1"/>
    <xf numFmtId="0" fontId="7" fillId="2" borderId="0" xfId="3" applyFill="1" applyAlignment="1">
      <alignment horizontal="right"/>
    </xf>
    <xf numFmtId="0" fontId="2" fillId="0" borderId="0" xfId="3" applyFont="1"/>
    <xf numFmtId="0" fontId="15" fillId="0" borderId="0" xfId="3" applyFont="1"/>
    <xf numFmtId="1" fontId="7" fillId="2" borderId="1" xfId="3" applyNumberFormat="1" applyFill="1" applyBorder="1"/>
    <xf numFmtId="1" fontId="2" fillId="0" borderId="0" xfId="3" applyNumberFormat="1" applyFont="1"/>
    <xf numFmtId="1" fontId="7" fillId="3" borderId="0" xfId="3" applyNumberFormat="1" applyFill="1" applyAlignment="1">
      <alignment horizontal="center"/>
    </xf>
    <xf numFmtId="1" fontId="7" fillId="3" borderId="0" xfId="3" applyNumberFormat="1" applyFill="1"/>
    <xf numFmtId="0" fontId="9" fillId="0" borderId="0" xfId="0" applyFont="1"/>
    <xf numFmtId="0" fontId="8" fillId="2" borderId="0" xfId="3" applyFont="1" applyFill="1"/>
    <xf numFmtId="0" fontId="2" fillId="2" borderId="0" xfId="3" applyFont="1" applyFill="1"/>
    <xf numFmtId="1" fontId="2" fillId="2" borderId="0" xfId="1" applyNumberFormat="1" applyFont="1" applyFill="1"/>
    <xf numFmtId="0" fontId="9" fillId="2" borderId="0" xfId="0" applyFont="1" applyFill="1"/>
    <xf numFmtId="9" fontId="4" fillId="2" borderId="0" xfId="1" applyFont="1" applyFill="1"/>
    <xf numFmtId="0" fontId="17" fillId="0" borderId="0" xfId="0" applyFont="1"/>
    <xf numFmtId="0" fontId="2" fillId="0" borderId="0" xfId="0" applyFont="1"/>
    <xf numFmtId="0" fontId="7" fillId="0" borderId="0" xfId="3" applyAlignment="1">
      <alignment horizontal="left"/>
    </xf>
    <xf numFmtId="165" fontId="2" fillId="0" borderId="0" xfId="2" applyNumberFormat="1"/>
    <xf numFmtId="0" fontId="18" fillId="0" borderId="0" xfId="0" applyFont="1"/>
    <xf numFmtId="0" fontId="6" fillId="0" borderId="0" xfId="0" applyFont="1"/>
    <xf numFmtId="0" fontId="6" fillId="0" borderId="0" xfId="0" applyFont="1" applyAlignment="1">
      <alignment horizontal="right"/>
    </xf>
    <xf numFmtId="3" fontId="0" fillId="0" borderId="0" xfId="0" applyNumberFormat="1" applyAlignment="1">
      <alignment horizontal="right"/>
    </xf>
    <xf numFmtId="0" fontId="2" fillId="4" borderId="0" xfId="2" applyFill="1"/>
    <xf numFmtId="1" fontId="2" fillId="2" borderId="0" xfId="2" applyNumberFormat="1" applyFill="1"/>
    <xf numFmtId="165" fontId="2" fillId="2" borderId="0" xfId="2" applyNumberFormat="1" applyFill="1"/>
    <xf numFmtId="164" fontId="10" fillId="3" borderId="1" xfId="1" applyNumberFormat="1" applyFont="1" applyFill="1" applyBorder="1" applyAlignment="1">
      <alignment horizontal="center" vertical="center"/>
    </xf>
    <xf numFmtId="164" fontId="10" fillId="5" borderId="1" xfId="1" applyNumberFormat="1" applyFont="1" applyFill="1" applyBorder="1" applyAlignment="1">
      <alignment horizontal="center" vertical="center"/>
    </xf>
    <xf numFmtId="165" fontId="2" fillId="4" borderId="0" xfId="1" applyNumberFormat="1" applyFont="1" applyFill="1"/>
    <xf numFmtId="0" fontId="6" fillId="0" borderId="0" xfId="3" applyFont="1"/>
    <xf numFmtId="0" fontId="7" fillId="0" borderId="0" xfId="3" applyAlignment="1">
      <alignment horizontal="right"/>
    </xf>
    <xf numFmtId="0" fontId="11" fillId="0" borderId="0" xfId="3" applyFont="1" applyAlignment="1">
      <alignment horizontal="left"/>
    </xf>
    <xf numFmtId="3" fontId="7" fillId="0" borderId="0" xfId="3" applyNumberFormat="1" applyAlignment="1">
      <alignment horizontal="right" vertical="center"/>
    </xf>
    <xf numFmtId="3" fontId="20" fillId="0" borderId="0" xfId="3" applyNumberFormat="1" applyFont="1"/>
    <xf numFmtId="0" fontId="7" fillId="4" borderId="0" xfId="3" applyFill="1"/>
    <xf numFmtId="9" fontId="7" fillId="4" borderId="0" xfId="1" applyFont="1" applyFill="1"/>
    <xf numFmtId="0" fontId="5" fillId="6" borderId="0" xfId="3" applyFont="1" applyFill="1"/>
    <xf numFmtId="0" fontId="7" fillId="6" borderId="0" xfId="3" applyFill="1"/>
    <xf numFmtId="0" fontId="7" fillId="6" borderId="0" xfId="3" applyFill="1" applyAlignment="1">
      <alignment horizontal="right"/>
    </xf>
    <xf numFmtId="0" fontId="7" fillId="6" borderId="0" xfId="3" applyFill="1" applyAlignment="1">
      <alignment horizontal="left"/>
    </xf>
    <xf numFmtId="9" fontId="7" fillId="6" borderId="0" xfId="1" applyFont="1" applyFill="1"/>
    <xf numFmtId="9" fontId="2" fillId="6" borderId="0" xfId="5" applyFill="1"/>
    <xf numFmtId="0" fontId="5" fillId="6" borderId="0" xfId="2" applyFont="1" applyFill="1"/>
    <xf numFmtId="0" fontId="2" fillId="6" borderId="0" xfId="2" applyFill="1"/>
    <xf numFmtId="165" fontId="2" fillId="6" borderId="0" xfId="1" applyNumberFormat="1" applyFont="1" applyFill="1"/>
    <xf numFmtId="0" fontId="4" fillId="6" borderId="0" xfId="2" applyFont="1" applyFill="1"/>
    <xf numFmtId="3" fontId="4" fillId="6" borderId="0" xfId="2" applyNumberFormat="1" applyFont="1" applyFill="1"/>
    <xf numFmtId="3" fontId="2" fillId="6" borderId="0" xfId="2" applyNumberFormat="1" applyFill="1"/>
    <xf numFmtId="0" fontId="5" fillId="4" borderId="0" xfId="2" applyFont="1" applyFill="1"/>
    <xf numFmtId="9" fontId="2" fillId="6" borderId="0" xfId="1" applyFont="1" applyFill="1"/>
    <xf numFmtId="0" fontId="5" fillId="6" borderId="0" xfId="2" applyFont="1" applyFill="1" applyAlignment="1">
      <alignment horizontal="right"/>
    </xf>
    <xf numFmtId="4" fontId="2" fillId="6" borderId="0" xfId="2" applyNumberFormat="1" applyFill="1"/>
    <xf numFmtId="49" fontId="5" fillId="6" borderId="0" xfId="2" applyNumberFormat="1" applyFont="1" applyFill="1" applyAlignment="1">
      <alignment horizontal="right"/>
    </xf>
    <xf numFmtId="1" fontId="2" fillId="6" borderId="0" xfId="2" applyNumberFormat="1" applyFill="1"/>
    <xf numFmtId="0" fontId="5" fillId="0" borderId="0" xfId="0" applyFont="1"/>
    <xf numFmtId="0" fontId="5" fillId="0" borderId="0" xfId="0" applyFont="1" applyAlignment="1">
      <alignment horizontal="right"/>
    </xf>
    <xf numFmtId="0" fontId="9" fillId="0" borderId="0" xfId="0" applyFont="1" applyAlignment="1">
      <alignment horizontal="right"/>
    </xf>
    <xf numFmtId="3" fontId="9" fillId="0" borderId="0" xfId="0" applyNumberFormat="1" applyFont="1"/>
    <xf numFmtId="3" fontId="9" fillId="0" borderId="0" xfId="0" applyNumberFormat="1" applyFont="1" applyAlignment="1">
      <alignment horizontal="right"/>
    </xf>
    <xf numFmtId="0" fontId="21" fillId="4" borderId="0" xfId="0" applyFont="1" applyFill="1"/>
    <xf numFmtId="0" fontId="9" fillId="4" borderId="0" xfId="0" applyFont="1" applyFill="1"/>
    <xf numFmtId="0" fontId="9" fillId="4" borderId="0" xfId="0" applyFont="1" applyFill="1" applyAlignment="1">
      <alignment horizontal="right"/>
    </xf>
    <xf numFmtId="165" fontId="8" fillId="2" borderId="0" xfId="2" applyNumberFormat="1" applyFont="1" applyFill="1"/>
    <xf numFmtId="0" fontId="22" fillId="0" borderId="0" xfId="3" applyFont="1"/>
    <xf numFmtId="9" fontId="2" fillId="6" borderId="0" xfId="2" applyNumberFormat="1" applyFill="1"/>
    <xf numFmtId="2" fontId="10" fillId="3" borderId="0" xfId="1" applyNumberFormat="1" applyFont="1" applyFill="1" applyAlignment="1">
      <alignment vertical="center"/>
    </xf>
    <xf numFmtId="0" fontId="7" fillId="4" borderId="0" xfId="3" applyFill="1" applyAlignment="1">
      <alignment horizontal="right"/>
    </xf>
    <xf numFmtId="49" fontId="0" fillId="0" borderId="0" xfId="0" applyNumberFormat="1"/>
    <xf numFmtId="0" fontId="23" fillId="7" borderId="0" xfId="0" applyFont="1" applyFill="1" applyAlignment="1">
      <alignment horizontal="center"/>
    </xf>
    <xf numFmtId="0" fontId="24" fillId="8" borderId="0" xfId="0" applyFont="1" applyFill="1" applyAlignment="1">
      <alignment horizontal="center" vertical="center" wrapText="1"/>
    </xf>
    <xf numFmtId="0" fontId="24" fillId="8" borderId="2" xfId="0" applyFont="1" applyFill="1" applyBorder="1" applyAlignment="1">
      <alignment horizontal="center" vertical="center" wrapText="1"/>
    </xf>
    <xf numFmtId="0" fontId="0" fillId="8" borderId="3" xfId="0" applyFill="1" applyBorder="1" applyAlignment="1">
      <alignment horizontal="center" vertical="center" wrapText="1"/>
    </xf>
    <xf numFmtId="0" fontId="24" fillId="8" borderId="4" xfId="0" applyFont="1" applyFill="1" applyBorder="1" applyAlignment="1">
      <alignment horizontal="center" vertical="center" wrapText="1"/>
    </xf>
    <xf numFmtId="0" fontId="24" fillId="8" borderId="3" xfId="0" applyFont="1" applyFill="1" applyBorder="1" applyAlignment="1">
      <alignment horizontal="center" vertical="center" wrapText="1"/>
    </xf>
    <xf numFmtId="0" fontId="0" fillId="8" borderId="4" xfId="0" applyFill="1" applyBorder="1" applyAlignment="1">
      <alignment vertical="top" wrapText="1"/>
    </xf>
    <xf numFmtId="0" fontId="24" fillId="8" borderId="5" xfId="0" applyFont="1" applyFill="1" applyBorder="1" applyAlignment="1">
      <alignment horizontal="center" vertical="center" wrapText="1"/>
    </xf>
    <xf numFmtId="0" fontId="0" fillId="8" borderId="6" xfId="0" applyFill="1" applyBorder="1" applyAlignment="1">
      <alignment vertical="top" wrapText="1"/>
    </xf>
    <xf numFmtId="0" fontId="25" fillId="9" borderId="4" xfId="0" applyFont="1" applyFill="1" applyBorder="1" applyAlignment="1">
      <alignment vertical="center" wrapText="1"/>
    </xf>
    <xf numFmtId="0" fontId="25" fillId="9" borderId="6" xfId="0" applyFont="1" applyFill="1" applyBorder="1" applyAlignment="1">
      <alignment vertical="center" wrapText="1"/>
    </xf>
    <xf numFmtId="0" fontId="27" fillId="10" borderId="3" xfId="0" applyFont="1" applyFill="1" applyBorder="1" applyAlignment="1">
      <alignment horizontal="center" vertical="center" wrapText="1"/>
    </xf>
    <xf numFmtId="0" fontId="27" fillId="10" borderId="4" xfId="0" applyFont="1" applyFill="1" applyBorder="1" applyAlignment="1">
      <alignment horizontal="center" vertical="center" wrapText="1"/>
    </xf>
    <xf numFmtId="0" fontId="26" fillId="0" borderId="0" xfId="0" applyFont="1" applyAlignment="1">
      <alignment horizontal="center" vertical="center" wrapText="1"/>
    </xf>
    <xf numFmtId="0" fontId="26" fillId="0" borderId="3"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6" xfId="0" applyFont="1" applyBorder="1" applyAlignment="1">
      <alignment horizontal="center" vertical="center" wrapText="1"/>
    </xf>
    <xf numFmtId="0" fontId="26" fillId="9" borderId="4" xfId="0" applyFont="1" applyFill="1" applyBorder="1" applyAlignment="1">
      <alignment vertical="center" wrapText="1"/>
    </xf>
    <xf numFmtId="0" fontId="26" fillId="9" borderId="4" xfId="0" applyFont="1" applyFill="1" applyBorder="1" applyAlignment="1">
      <alignment horizontal="center" vertical="center" wrapText="1"/>
    </xf>
    <xf numFmtId="0" fontId="26" fillId="9" borderId="6" xfId="0" applyFont="1" applyFill="1" applyBorder="1" applyAlignment="1">
      <alignment vertical="center" wrapText="1"/>
    </xf>
    <xf numFmtId="0" fontId="29" fillId="0" borderId="3" xfId="0" applyFont="1" applyBorder="1" applyAlignment="1">
      <alignment vertical="center" wrapText="1"/>
    </xf>
    <xf numFmtId="0" fontId="29" fillId="0" borderId="7" xfId="0" applyFont="1" applyBorder="1" applyAlignment="1">
      <alignment vertical="center" wrapText="1"/>
    </xf>
    <xf numFmtId="0" fontId="25" fillId="9" borderId="3" xfId="0" applyFont="1" applyFill="1" applyBorder="1" applyAlignment="1">
      <alignment vertical="center" wrapText="1"/>
    </xf>
    <xf numFmtId="0" fontId="25" fillId="11" borderId="3" xfId="0" applyFont="1" applyFill="1" applyBorder="1" applyAlignment="1">
      <alignment vertical="center" wrapText="1"/>
    </xf>
    <xf numFmtId="0" fontId="25" fillId="11" borderId="4" xfId="0" applyFont="1" applyFill="1" applyBorder="1" applyAlignment="1">
      <alignment vertical="center" wrapText="1"/>
    </xf>
    <xf numFmtId="0" fontId="25" fillId="9" borderId="2" xfId="0" applyFont="1" applyFill="1" applyBorder="1" applyAlignment="1">
      <alignment vertical="center" wrapText="1"/>
    </xf>
    <xf numFmtId="0" fontId="0" fillId="10" borderId="3" xfId="0" applyFill="1" applyBorder="1" applyAlignment="1">
      <alignment vertical="top" wrapText="1"/>
    </xf>
    <xf numFmtId="0" fontId="0" fillId="10" borderId="4" xfId="0" applyFill="1" applyBorder="1" applyAlignment="1">
      <alignment vertical="top" wrapText="1"/>
    </xf>
    <xf numFmtId="0" fontId="26" fillId="0" borderId="8" xfId="0" applyFont="1" applyBorder="1" applyAlignment="1">
      <alignment horizontal="center" vertical="center" wrapText="1"/>
    </xf>
    <xf numFmtId="0" fontId="24" fillId="8" borderId="2" xfId="0" applyFont="1" applyFill="1" applyBorder="1" applyAlignment="1">
      <alignment vertical="center" wrapText="1"/>
    </xf>
    <xf numFmtId="0" fontId="24" fillId="8" borderId="3" xfId="0" applyFont="1" applyFill="1" applyBorder="1" applyAlignment="1">
      <alignment vertical="center" wrapText="1"/>
    </xf>
    <xf numFmtId="0" fontId="24" fillId="8" borderId="4" xfId="0" applyFont="1" applyFill="1" applyBorder="1" applyAlignment="1">
      <alignment vertical="center" wrapText="1"/>
    </xf>
    <xf numFmtId="0" fontId="24" fillId="8" borderId="9" xfId="0" applyFont="1" applyFill="1" applyBorder="1" applyAlignment="1">
      <alignment horizontal="center" vertical="center" wrapText="1"/>
    </xf>
    <xf numFmtId="0" fontId="24" fillId="8" borderId="10" xfId="0" applyFont="1" applyFill="1" applyBorder="1" applyAlignment="1">
      <alignment horizontal="center" vertical="center" wrapText="1"/>
    </xf>
    <xf numFmtId="0" fontId="24" fillId="8" borderId="11" xfId="0" applyFont="1" applyFill="1" applyBorder="1" applyAlignment="1">
      <alignment horizontal="center" vertical="center" wrapText="1"/>
    </xf>
    <xf numFmtId="0" fontId="26" fillId="0" borderId="3" xfId="0" applyFont="1" applyBorder="1" applyAlignment="1">
      <alignment vertical="center" wrapText="1"/>
    </xf>
    <xf numFmtId="0" fontId="26" fillId="0" borderId="2" xfId="0" applyFont="1" applyBorder="1" applyAlignment="1">
      <alignment vertical="center" wrapText="1"/>
    </xf>
    <xf numFmtId="0" fontId="26" fillId="0" borderId="4" xfId="0" applyFont="1" applyBorder="1" applyAlignment="1">
      <alignment vertical="center" wrapText="1"/>
    </xf>
    <xf numFmtId="0" fontId="28" fillId="0" borderId="9" xfId="0" applyFont="1" applyBorder="1" applyAlignment="1">
      <alignment horizontal="center" vertical="center" wrapText="1"/>
    </xf>
    <xf numFmtId="0" fontId="28" fillId="0" borderId="10" xfId="0" applyFont="1" applyBorder="1" applyAlignment="1">
      <alignment horizontal="center" vertical="center" wrapText="1"/>
    </xf>
    <xf numFmtId="0" fontId="26" fillId="10" borderId="9" xfId="0" applyFont="1" applyFill="1" applyBorder="1" applyAlignment="1">
      <alignment horizontal="center" vertical="center" wrapText="1"/>
    </xf>
    <xf numFmtId="0" fontId="26" fillId="10" borderId="10" xfId="0" applyFont="1" applyFill="1" applyBorder="1" applyAlignment="1">
      <alignment horizontal="center" vertical="center" wrapText="1"/>
    </xf>
    <xf numFmtId="0" fontId="26" fillId="0" borderId="10" xfId="0" applyFont="1" applyBorder="1" applyAlignment="1">
      <alignment horizontal="center" vertical="center" wrapText="1"/>
    </xf>
    <xf numFmtId="0" fontId="26" fillId="0" borderId="11" xfId="0" applyFont="1" applyBorder="1" applyAlignment="1">
      <alignment horizontal="center" vertical="center" wrapText="1"/>
    </xf>
    <xf numFmtId="0" fontId="26" fillId="10" borderId="11" xfId="0" applyFont="1" applyFill="1" applyBorder="1" applyAlignment="1">
      <alignment horizontal="center" vertical="center" wrapText="1"/>
    </xf>
    <xf numFmtId="0" fontId="26" fillId="0" borderId="9" xfId="0" applyFont="1" applyBorder="1" applyAlignment="1">
      <alignment horizontal="center" vertical="center" wrapText="1"/>
    </xf>
    <xf numFmtId="0" fontId="26" fillId="0" borderId="12"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14" xfId="0" applyFont="1" applyBorder="1" applyAlignment="1">
      <alignment horizontal="center" vertical="center" wrapText="1"/>
    </xf>
    <xf numFmtId="0" fontId="26" fillId="10" borderId="9" xfId="0" applyFont="1" applyFill="1" applyBorder="1" applyAlignment="1">
      <alignment vertical="center" wrapText="1"/>
    </xf>
    <xf numFmtId="0" fontId="26" fillId="10" borderId="15" xfId="0" applyFont="1" applyFill="1" applyBorder="1" applyAlignment="1">
      <alignment vertical="center" wrapText="1"/>
    </xf>
    <xf numFmtId="0" fontId="26" fillId="0" borderId="9" xfId="0" applyFont="1" applyBorder="1" applyAlignment="1">
      <alignment vertical="center" wrapText="1"/>
    </xf>
    <xf numFmtId="0" fontId="26" fillId="0" borderId="15" xfId="0" applyFont="1" applyBorder="1" applyAlignment="1">
      <alignment vertical="center" wrapText="1"/>
    </xf>
    <xf numFmtId="0" fontId="26" fillId="0" borderId="12" xfId="0" applyFont="1" applyBorder="1" applyAlignment="1">
      <alignment vertical="center" wrapText="1"/>
    </xf>
    <xf numFmtId="0" fontId="26" fillId="0" borderId="16" xfId="0" applyFont="1" applyBorder="1" applyAlignment="1">
      <alignment vertical="center" wrapText="1"/>
    </xf>
    <xf numFmtId="0" fontId="26" fillId="9" borderId="17" xfId="0" applyFont="1" applyFill="1" applyBorder="1" applyAlignment="1">
      <alignment vertical="center" wrapText="1"/>
    </xf>
    <xf numFmtId="0" fontId="26" fillId="9" borderId="11" xfId="0" applyFont="1" applyFill="1" applyBorder="1" applyAlignment="1">
      <alignment vertical="center" wrapText="1"/>
    </xf>
    <xf numFmtId="0" fontId="26" fillId="9" borderId="18" xfId="0" applyFont="1" applyFill="1" applyBorder="1" applyAlignment="1">
      <alignment vertical="center" wrapText="1"/>
    </xf>
    <xf numFmtId="0" fontId="26" fillId="9" borderId="14" xfId="0" applyFont="1" applyFill="1" applyBorder="1" applyAlignment="1">
      <alignment vertical="center" wrapText="1"/>
    </xf>
    <xf numFmtId="0" fontId="26" fillId="9" borderId="9" xfId="0" applyFont="1" applyFill="1" applyBorder="1" applyAlignment="1">
      <alignment vertical="center" wrapText="1"/>
    </xf>
    <xf numFmtId="0" fontId="26" fillId="9" borderId="12" xfId="0" applyFont="1" applyFill="1" applyBorder="1" applyAlignment="1">
      <alignment vertical="center" wrapText="1"/>
    </xf>
    <xf numFmtId="0" fontId="26" fillId="10" borderId="10" xfId="0" applyFont="1" applyFill="1" applyBorder="1" applyAlignment="1">
      <alignment vertical="center" wrapText="1"/>
    </xf>
    <xf numFmtId="0" fontId="26" fillId="0" borderId="13" xfId="0" applyFont="1" applyBorder="1" applyAlignment="1">
      <alignment vertical="center" wrapText="1"/>
    </xf>
    <xf numFmtId="0" fontId="26" fillId="10" borderId="11" xfId="0" applyFont="1" applyFill="1" applyBorder="1" applyAlignment="1">
      <alignment vertical="center" wrapText="1"/>
    </xf>
    <xf numFmtId="0" fontId="26" fillId="0" borderId="14" xfId="0" applyFont="1" applyBorder="1" applyAlignment="1">
      <alignment vertical="center" wrapText="1"/>
    </xf>
    <xf numFmtId="0" fontId="26" fillId="11" borderId="9" xfId="0" applyFont="1" applyFill="1" applyBorder="1" applyAlignment="1">
      <alignment vertical="center" wrapText="1"/>
    </xf>
    <xf numFmtId="0" fontId="26" fillId="11" borderId="11" xfId="0" applyFont="1" applyFill="1" applyBorder="1" applyAlignment="1">
      <alignment vertical="center" wrapText="1"/>
    </xf>
    <xf numFmtId="0" fontId="26" fillId="11" borderId="9" xfId="0" applyFont="1" applyFill="1" applyBorder="1" applyAlignment="1">
      <alignment horizontal="center" vertical="center" wrapText="1"/>
    </xf>
    <xf numFmtId="0" fontId="26" fillId="11" borderId="11" xfId="0" applyFont="1" applyFill="1" applyBorder="1" applyAlignment="1">
      <alignment horizontal="center" vertical="center" wrapText="1"/>
    </xf>
    <xf numFmtId="0" fontId="26" fillId="11" borderId="12" xfId="0" applyFont="1" applyFill="1" applyBorder="1" applyAlignment="1">
      <alignment vertical="center" wrapText="1"/>
    </xf>
    <xf numFmtId="0" fontId="26" fillId="11" borderId="14" xfId="0" applyFont="1" applyFill="1" applyBorder="1" applyAlignment="1">
      <alignment vertical="center" wrapText="1"/>
    </xf>
    <xf numFmtId="0" fontId="26" fillId="9" borderId="9" xfId="0" applyFont="1" applyFill="1" applyBorder="1" applyAlignment="1">
      <alignment horizontal="center" vertical="center" wrapText="1"/>
    </xf>
    <xf numFmtId="0" fontId="26" fillId="9" borderId="11" xfId="0" applyFont="1" applyFill="1" applyBorder="1" applyAlignment="1">
      <alignment horizontal="center" vertical="center" wrapText="1"/>
    </xf>
    <xf numFmtId="0" fontId="26" fillId="9" borderId="12" xfId="0" applyFont="1" applyFill="1" applyBorder="1" applyAlignment="1">
      <alignment horizontal="center" vertical="center" wrapText="1"/>
    </xf>
    <xf numFmtId="0" fontId="26" fillId="9" borderId="14" xfId="0" applyFont="1" applyFill="1" applyBorder="1" applyAlignment="1">
      <alignment horizontal="center" vertical="center" wrapText="1"/>
    </xf>
    <xf numFmtId="0" fontId="26" fillId="0" borderId="10" xfId="0" applyFont="1" applyBorder="1" applyAlignment="1">
      <alignment vertical="center" wrapText="1"/>
    </xf>
    <xf numFmtId="0" fontId="26" fillId="11" borderId="12" xfId="0" applyFont="1" applyFill="1" applyBorder="1" applyAlignment="1">
      <alignment horizontal="center" vertical="center" wrapText="1"/>
    </xf>
    <xf numFmtId="0" fontId="26" fillId="11" borderId="14" xfId="0" applyFont="1" applyFill="1" applyBorder="1" applyAlignment="1">
      <alignment horizontal="center" vertical="center" wrapText="1"/>
    </xf>
    <xf numFmtId="0" fontId="26" fillId="0" borderId="7" xfId="0" applyFont="1" applyBorder="1" applyAlignment="1">
      <alignment vertical="center" wrapText="1"/>
    </xf>
    <xf numFmtId="0" fontId="26" fillId="10" borderId="15" xfId="0" applyFont="1" applyFill="1" applyBorder="1" applyAlignment="1">
      <alignment horizontal="center" vertical="center" wrapText="1"/>
    </xf>
    <xf numFmtId="0" fontId="26" fillId="0" borderId="15" xfId="0" applyFont="1" applyBorder="1" applyAlignment="1">
      <alignment horizontal="center" vertical="center" wrapText="1"/>
    </xf>
    <xf numFmtId="0" fontId="23" fillId="5" borderId="6" xfId="0" applyFont="1" applyFill="1" applyBorder="1" applyAlignment="1">
      <alignment horizontal="center"/>
    </xf>
  </cellXfs>
  <cellStyles count="8">
    <cellStyle name="Comma 2" xfId="6" xr:uid="{4D0B1441-BD41-4520-BF09-B69F0FC44539}"/>
    <cellStyle name="Normal" xfId="0" builtinId="0"/>
    <cellStyle name="Normal 2" xfId="2" xr:uid="{AF7E098A-BE8C-4A37-A7D4-0DA6300BC06C}"/>
    <cellStyle name="Normal 3" xfId="3" xr:uid="{24FC48CB-881A-4A9D-884F-5C73824FAE83}"/>
    <cellStyle name="Percent" xfId="1" builtinId="5"/>
    <cellStyle name="Percent 2" xfId="4" xr:uid="{6A9B4198-C8C9-4043-AE4B-D8DD7FD4902A}"/>
    <cellStyle name="Percent 2 2" xfId="7" xr:uid="{9665A249-37B3-4E70-88B8-FB04B1D843D2}"/>
    <cellStyle name="Percent 3" xfId="5" xr:uid="{E11A80BC-E96C-4352-AF93-C848F1400B36}"/>
  </cellStyles>
  <dxfs count="10">
    <dxf>
      <font>
        <color theme="0"/>
      </font>
    </dxf>
    <dxf>
      <font>
        <color theme="0"/>
      </font>
    </dxf>
    <dxf>
      <font>
        <color theme="0"/>
      </font>
    </dxf>
    <dxf>
      <font>
        <color theme="0"/>
      </font>
    </dxf>
    <dxf>
      <font>
        <color theme="0"/>
      </font>
    </dxf>
    <dxf>
      <font>
        <color theme="0"/>
      </font>
    </dxf>
    <dxf>
      <font>
        <b/>
        <color rgb="FFFFFFFF"/>
        <name val="Arial"/>
        <family val="2"/>
        <charset val="1"/>
      </font>
      <fill>
        <patternFill>
          <bgColor rgb="FFCC0000"/>
        </patternFill>
      </fill>
    </dxf>
    <dxf>
      <font>
        <b/>
        <color rgb="FFFFFFFF"/>
        <name val="Arial"/>
        <family val="2"/>
        <charset val="1"/>
      </font>
      <fill>
        <patternFill>
          <bgColor rgb="FFCC0000"/>
        </patternFill>
      </fill>
    </dxf>
    <dxf>
      <font>
        <color theme="0"/>
      </font>
    </dxf>
    <dxf>
      <font>
        <color theme="0"/>
      </font>
    </dxf>
  </dxfs>
  <tableStyles count="0" defaultTableStyle="TableStyleMedium2" defaultPivotStyle="PivotStyleLight16"/>
  <colors>
    <mruColors>
      <color rgb="FFFFCC66"/>
      <color rgb="FFFF00FF"/>
      <color rgb="FFCC6600"/>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861437908496729E-2"/>
          <c:y val="5.5436507936507937E-2"/>
          <c:w val="0.47545228758169933"/>
          <c:h val="0.79379991817457074"/>
        </c:manualLayout>
      </c:layout>
      <c:lineChart>
        <c:grouping val="standard"/>
        <c:varyColors val="0"/>
        <c:ser>
          <c:idx val="1"/>
          <c:order val="0"/>
          <c:tx>
            <c:strRef>
              <c:f>Figuur_2!$A$57</c:f>
              <c:strCache>
                <c:ptCount val="1"/>
                <c:pt idx="0">
                  <c:v>Baan-baanwisselaars</c:v>
                </c:pt>
              </c:strCache>
            </c:strRef>
          </c:tx>
          <c:spPr>
            <a:ln w="28575" cap="rnd">
              <a:solidFill>
                <a:srgbClr val="0070C0"/>
              </a:solidFill>
              <a:round/>
            </a:ln>
            <a:effectLst/>
          </c:spPr>
          <c:marker>
            <c:symbol val="circle"/>
            <c:size val="5"/>
            <c:spPr>
              <a:solidFill>
                <a:srgbClr val="0070C0"/>
              </a:solidFill>
              <a:ln w="9525">
                <a:noFill/>
              </a:ln>
              <a:effectLst/>
            </c:spPr>
          </c:marker>
          <c:cat>
            <c:numRef>
              <c:f>Figuur_2!$B$55:$O$55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Figuur_2!$B$57:$O$57</c:f>
              <c:numCache>
                <c:formatCode>0.0%</c:formatCode>
                <c:ptCount val="14"/>
                <c:pt idx="0">
                  <c:v>0.15833067671842332</c:v>
                </c:pt>
                <c:pt idx="1">
                  <c:v>0.14270404976612291</c:v>
                </c:pt>
                <c:pt idx="2">
                  <c:v>0.15018052631617038</c:v>
                </c:pt>
                <c:pt idx="3">
                  <c:v>0.16217565304580633</c:v>
                </c:pt>
                <c:pt idx="4">
                  <c:v>0.16904667713839641</c:v>
                </c:pt>
                <c:pt idx="5">
                  <c:v>0.17669246105927811</c:v>
                </c:pt>
                <c:pt idx="6">
                  <c:v>0.179988605097441</c:v>
                </c:pt>
                <c:pt idx="7">
                  <c:v>0.18447488715440855</c:v>
                </c:pt>
                <c:pt idx="8">
                  <c:v>0.15984414996432494</c:v>
                </c:pt>
                <c:pt idx="9">
                  <c:v>0.1648184564049483</c:v>
                </c:pt>
                <c:pt idx="10">
                  <c:v>0.18302845009973817</c:v>
                </c:pt>
                <c:pt idx="11">
                  <c:v>0.17590811309214563</c:v>
                </c:pt>
                <c:pt idx="12">
                  <c:v>0.16864919581736212</c:v>
                </c:pt>
                <c:pt idx="13">
                  <c:v>0.15934498948230472</c:v>
                </c:pt>
              </c:numCache>
            </c:numRef>
          </c:val>
          <c:smooth val="0"/>
          <c:extLst>
            <c:ext xmlns:c16="http://schemas.microsoft.com/office/drawing/2014/chart" uri="{C3380CC4-5D6E-409C-BE32-E72D297353CC}">
              <c16:uniqueId val="{00000000-9DE8-4D73-B96F-7AF2EF6331A7}"/>
            </c:ext>
          </c:extLst>
        </c:ser>
        <c:ser>
          <c:idx val="2"/>
          <c:order val="1"/>
          <c:tx>
            <c:strRef>
              <c:f>Figuur_2!$A$58</c:f>
              <c:strCache>
                <c:ptCount val="1"/>
                <c:pt idx="0">
                  <c:v>Uitstroom naar niet-werknemersbaan</c:v>
                </c:pt>
              </c:strCache>
            </c:strRef>
          </c:tx>
          <c:spPr>
            <a:ln w="28575" cap="rnd">
              <a:solidFill>
                <a:schemeClr val="accent3">
                  <a:lumMod val="60000"/>
                  <a:lumOff val="40000"/>
                </a:schemeClr>
              </a:solidFill>
              <a:round/>
            </a:ln>
            <a:effectLst/>
          </c:spPr>
          <c:marker>
            <c:symbol val="triangle"/>
            <c:size val="5"/>
            <c:spPr>
              <a:solidFill>
                <a:schemeClr val="accent3">
                  <a:lumMod val="60000"/>
                  <a:lumOff val="40000"/>
                </a:schemeClr>
              </a:solidFill>
              <a:ln w="9525">
                <a:noFill/>
              </a:ln>
              <a:effectLst/>
            </c:spPr>
          </c:marker>
          <c:cat>
            <c:numRef>
              <c:f>Figuur_2!$B$55:$O$55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Figuur_2!$B$58:$O$58</c:f>
              <c:numCache>
                <c:formatCode>0.0%</c:formatCode>
                <c:ptCount val="14"/>
                <c:pt idx="0">
                  <c:v>9.2637442633685063E-2</c:v>
                </c:pt>
                <c:pt idx="1">
                  <c:v>9.7560760168865612E-2</c:v>
                </c:pt>
                <c:pt idx="2">
                  <c:v>9.3169816318363172E-2</c:v>
                </c:pt>
                <c:pt idx="3">
                  <c:v>9.1032130932942476E-2</c:v>
                </c:pt>
                <c:pt idx="4">
                  <c:v>8.656735348386338E-2</c:v>
                </c:pt>
                <c:pt idx="5">
                  <c:v>8.2200455577645742E-2</c:v>
                </c:pt>
                <c:pt idx="6">
                  <c:v>8.160654895425444E-2</c:v>
                </c:pt>
                <c:pt idx="7">
                  <c:v>9.1629981446950171E-2</c:v>
                </c:pt>
                <c:pt idx="8">
                  <c:v>9.7718147492244001E-2</c:v>
                </c:pt>
                <c:pt idx="9">
                  <c:v>8.1915167690333968E-2</c:v>
                </c:pt>
                <c:pt idx="10">
                  <c:v>9.0319256615251281E-2</c:v>
                </c:pt>
                <c:pt idx="11">
                  <c:v>9.4801136122935656E-2</c:v>
                </c:pt>
                <c:pt idx="12">
                  <c:v>9.4298543109043856E-2</c:v>
                </c:pt>
                <c:pt idx="13">
                  <c:v>9.3044958411559894E-2</c:v>
                </c:pt>
              </c:numCache>
            </c:numRef>
          </c:val>
          <c:smooth val="0"/>
          <c:extLst>
            <c:ext xmlns:c16="http://schemas.microsoft.com/office/drawing/2014/chart" uri="{C3380CC4-5D6E-409C-BE32-E72D297353CC}">
              <c16:uniqueId val="{00000001-9DE8-4D73-B96F-7AF2EF6331A7}"/>
            </c:ext>
          </c:extLst>
        </c:ser>
        <c:ser>
          <c:idx val="0"/>
          <c:order val="2"/>
          <c:tx>
            <c:strRef>
              <c:f>Figuur_2!$A$59</c:f>
              <c:strCache>
                <c:ptCount val="1"/>
                <c:pt idx="0">
                  <c:v>Instroom vanuit niet-werknemersbaan</c:v>
                </c:pt>
              </c:strCache>
            </c:strRef>
          </c:tx>
          <c:spPr>
            <a:ln w="28575" cap="rnd">
              <a:solidFill>
                <a:srgbClr val="002060"/>
              </a:solidFill>
              <a:round/>
            </a:ln>
            <a:effectLst/>
          </c:spPr>
          <c:marker>
            <c:symbol val="circle"/>
            <c:size val="5"/>
            <c:spPr>
              <a:solidFill>
                <a:srgbClr val="002060"/>
              </a:solidFill>
              <a:ln w="9525">
                <a:solidFill>
                  <a:srgbClr val="002060"/>
                </a:solidFill>
              </a:ln>
              <a:effectLst/>
            </c:spPr>
          </c:marker>
          <c:cat>
            <c:numRef>
              <c:f>Figuur_2!$B$55:$O$55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Figuur_2!$B$59:$O$59</c:f>
              <c:numCache>
                <c:formatCode>0.0%</c:formatCode>
                <c:ptCount val="14"/>
                <c:pt idx="0">
                  <c:v>7.9189907483163735E-2</c:v>
                </c:pt>
                <c:pt idx="1">
                  <c:v>7.9499918112034079E-2</c:v>
                </c:pt>
                <c:pt idx="2">
                  <c:v>8.7462365744878964E-2</c:v>
                </c:pt>
                <c:pt idx="3">
                  <c:v>9.4703852616982193E-2</c:v>
                </c:pt>
                <c:pt idx="4">
                  <c:v>9.7616231379382551E-2</c:v>
                </c:pt>
                <c:pt idx="5">
                  <c:v>9.9969061027123995E-2</c:v>
                </c:pt>
                <c:pt idx="6">
                  <c:v>0.12556994608221816</c:v>
                </c:pt>
                <c:pt idx="7">
                  <c:v>9.6571700045407424E-2</c:v>
                </c:pt>
                <c:pt idx="8">
                  <c:v>8.0383944236033025E-2</c:v>
                </c:pt>
                <c:pt idx="9">
                  <c:v>0.10715998752223348</c:v>
                </c:pt>
                <c:pt idx="10">
                  <c:v>0.10572727703909036</c:v>
                </c:pt>
                <c:pt idx="11">
                  <c:v>9.4862376399552681E-2</c:v>
                </c:pt>
                <c:pt idx="12">
                  <c:v>9.0927131217979629E-2</c:v>
                </c:pt>
                <c:pt idx="13">
                  <c:v>8.5923009922634186E-2</c:v>
                </c:pt>
              </c:numCache>
            </c:numRef>
          </c:val>
          <c:smooth val="0"/>
          <c:extLst>
            <c:ext xmlns:c16="http://schemas.microsoft.com/office/drawing/2014/chart" uri="{C3380CC4-5D6E-409C-BE32-E72D297353CC}">
              <c16:uniqueId val="{00000002-9DE8-4D73-B96F-7AF2EF6331A7}"/>
            </c:ext>
          </c:extLst>
        </c:ser>
        <c:dLbls>
          <c:showLegendKey val="0"/>
          <c:showVal val="0"/>
          <c:showCatName val="0"/>
          <c:showSerName val="0"/>
          <c:showPercent val="0"/>
          <c:showBubbleSize val="0"/>
        </c:dLbls>
        <c:marker val="1"/>
        <c:smooth val="0"/>
        <c:axId val="1268011040"/>
        <c:axId val="1268029280"/>
      </c:lineChart>
      <c:catAx>
        <c:axId val="126801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nl-NL"/>
          </a:p>
        </c:txPr>
        <c:crossAx val="1268011040"/>
        <c:crosses val="autoZero"/>
        <c:crossBetween val="midCat"/>
      </c:valAx>
      <c:spPr>
        <a:noFill/>
        <a:ln>
          <a:noFill/>
        </a:ln>
        <a:effectLst/>
      </c:spPr>
    </c:plotArea>
    <c:legend>
      <c:legendPos val="b"/>
      <c:layout>
        <c:manualLayout>
          <c:xMode val="edge"/>
          <c:yMode val="edge"/>
          <c:x val="0.58584409240368507"/>
          <c:y val="1.8963871784401169E-2"/>
          <c:w val="0.39751799133089966"/>
          <c:h val="0.2447224878688060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ysClr val="windowText" lastClr="000000"/>
          </a:solidFill>
        </a:defRPr>
      </a:pPr>
      <a:endParaRPr lang="nl-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NL" sz="900" b="1"/>
              <a:t>geslacht</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12424006479763802"/>
          <c:y val="0.10486991445581692"/>
          <c:w val="0.83023194444444426"/>
          <c:h val="0.64517841880341875"/>
        </c:manualLayout>
      </c:layout>
      <c:lineChart>
        <c:grouping val="standard"/>
        <c:varyColors val="0"/>
        <c:ser>
          <c:idx val="1"/>
          <c:order val="0"/>
          <c:tx>
            <c:strRef>
              <c:f>Figuur_4a!$U$12</c:f>
              <c:strCache>
                <c:ptCount val="1"/>
                <c:pt idx="0">
                  <c:v>man</c:v>
                </c:pt>
              </c:strCache>
            </c:strRef>
          </c:tx>
          <c:spPr>
            <a:ln w="28575" cap="rnd">
              <a:solidFill>
                <a:srgbClr val="002060"/>
              </a:solidFill>
              <a:round/>
            </a:ln>
            <a:effectLst/>
          </c:spPr>
          <c:marker>
            <c:symbol val="none"/>
          </c:marker>
          <c:cat>
            <c:numRef>
              <c:f>Figuur_4a!$V$11:$AI$11</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Figuur_4a!$V$12:$AI$12</c:f>
              <c:numCache>
                <c:formatCode>0%</c:formatCode>
                <c:ptCount val="14"/>
                <c:pt idx="0">
                  <c:v>0.15763585375173331</c:v>
                </c:pt>
                <c:pt idx="1">
                  <c:v>0.14398910102678644</c:v>
                </c:pt>
                <c:pt idx="2">
                  <c:v>0.15517721338554288</c:v>
                </c:pt>
                <c:pt idx="3">
                  <c:v>0.15838117655501333</c:v>
                </c:pt>
                <c:pt idx="4">
                  <c:v>0.16596399351327423</c:v>
                </c:pt>
                <c:pt idx="5">
                  <c:v>0.17508237591786413</c:v>
                </c:pt>
                <c:pt idx="6">
                  <c:v>0.17851729711684969</c:v>
                </c:pt>
                <c:pt idx="7">
                  <c:v>0.18059831056055028</c:v>
                </c:pt>
                <c:pt idx="8">
                  <c:v>0.15521807129087981</c:v>
                </c:pt>
                <c:pt idx="9">
                  <c:v>0.16148639729418537</c:v>
                </c:pt>
                <c:pt idx="10">
                  <c:v>0.1775771180706629</c:v>
                </c:pt>
                <c:pt idx="11">
                  <c:v>0.17090386849847602</c:v>
                </c:pt>
                <c:pt idx="12">
                  <c:v>0.16123557877283359</c:v>
                </c:pt>
                <c:pt idx="13">
                  <c:v>0.16000825204764652</c:v>
                </c:pt>
              </c:numCache>
            </c:numRef>
          </c:val>
          <c:smooth val="0"/>
          <c:extLst>
            <c:ext xmlns:c16="http://schemas.microsoft.com/office/drawing/2014/chart" uri="{C3380CC4-5D6E-409C-BE32-E72D297353CC}">
              <c16:uniqueId val="{00000000-9600-4213-9D2E-02241AA96DB3}"/>
            </c:ext>
          </c:extLst>
        </c:ser>
        <c:ser>
          <c:idx val="2"/>
          <c:order val="1"/>
          <c:tx>
            <c:strRef>
              <c:f>Figuur_4a!$U$13</c:f>
              <c:strCache>
                <c:ptCount val="1"/>
                <c:pt idx="0">
                  <c:v>vrouw</c:v>
                </c:pt>
              </c:strCache>
            </c:strRef>
          </c:tx>
          <c:spPr>
            <a:ln w="28575" cap="rnd">
              <a:solidFill>
                <a:srgbClr val="00B0F0"/>
              </a:solidFill>
              <a:round/>
            </a:ln>
            <a:effectLst/>
          </c:spPr>
          <c:marker>
            <c:symbol val="none"/>
          </c:marker>
          <c:cat>
            <c:numRef>
              <c:f>Figuur_4a!$V$11:$AI$11</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Figuur_4a!$V$13:$AI$13</c:f>
              <c:numCache>
                <c:formatCode>0%</c:formatCode>
                <c:ptCount val="14"/>
                <c:pt idx="0">
                  <c:v>0.15908986298847752</c:v>
                </c:pt>
                <c:pt idx="1">
                  <c:v>0.14131630382861607</c:v>
                </c:pt>
                <c:pt idx="2">
                  <c:v>0.14481361122160263</c:v>
                </c:pt>
                <c:pt idx="3">
                  <c:v>0.16624531028695827</c:v>
                </c:pt>
                <c:pt idx="4">
                  <c:v>0.17236603031139239</c:v>
                </c:pt>
                <c:pt idx="5">
                  <c:v>0.17842428225436163</c:v>
                </c:pt>
                <c:pt idx="6">
                  <c:v>0.18156534559980494</c:v>
                </c:pt>
                <c:pt idx="7">
                  <c:v>0.1886784813373692</c:v>
                </c:pt>
                <c:pt idx="8">
                  <c:v>0.16479373396261668</c:v>
                </c:pt>
                <c:pt idx="9">
                  <c:v>0.16832655666905172</c:v>
                </c:pt>
                <c:pt idx="10">
                  <c:v>0.18875194513894736</c:v>
                </c:pt>
                <c:pt idx="11">
                  <c:v>0.18112571411515685</c:v>
                </c:pt>
                <c:pt idx="12">
                  <c:v>0.17632847130438573</c:v>
                </c:pt>
                <c:pt idx="13">
                  <c:v>0.15865990657091641</c:v>
                </c:pt>
              </c:numCache>
            </c:numRef>
          </c:val>
          <c:smooth val="0"/>
          <c:extLst>
            <c:ext xmlns:c16="http://schemas.microsoft.com/office/drawing/2014/chart" uri="{C3380CC4-5D6E-409C-BE32-E72D297353CC}">
              <c16:uniqueId val="{00000001-9600-4213-9D2E-02241AA96DB3}"/>
            </c:ext>
          </c:extLst>
        </c:ser>
        <c:dLbls>
          <c:showLegendKey val="0"/>
          <c:showVal val="0"/>
          <c:showCatName val="0"/>
          <c:showSerName val="0"/>
          <c:showPercent val="0"/>
          <c:showBubbleSize val="0"/>
        </c:dLbls>
        <c:smooth val="0"/>
        <c:axId val="1268011040"/>
        <c:axId val="1268029280"/>
      </c:lineChart>
      <c:catAx>
        <c:axId val="126801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autoZero"/>
        <c:crossBetween val="midCat"/>
      </c:valAx>
      <c:spPr>
        <a:noFill/>
        <a:ln>
          <a:noFill/>
        </a:ln>
        <a:effectLst/>
      </c:spPr>
    </c:plotArea>
    <c:legend>
      <c:legendPos val="b"/>
      <c:layout>
        <c:manualLayout>
          <c:xMode val="edge"/>
          <c:yMode val="edge"/>
          <c:x val="5.9469097222222225E-2"/>
          <c:y val="0.86936574074074058"/>
          <c:w val="0.28771631944444448"/>
          <c:h val="0.1080202991452991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NL" sz="900" b="1"/>
              <a:t>leeftijd</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12424006479763802"/>
          <c:y val="0.10486991445581692"/>
          <c:w val="0.83023194444444426"/>
          <c:h val="0.64517841880341875"/>
        </c:manualLayout>
      </c:layout>
      <c:lineChart>
        <c:grouping val="standard"/>
        <c:varyColors val="0"/>
        <c:ser>
          <c:idx val="1"/>
          <c:order val="0"/>
          <c:tx>
            <c:strRef>
              <c:f>Figuur_4b!$U$16</c:f>
              <c:strCache>
                <c:ptCount val="1"/>
                <c:pt idx="0">
                  <c:v>15 tot 25</c:v>
                </c:pt>
              </c:strCache>
            </c:strRef>
          </c:tx>
          <c:spPr>
            <a:ln w="19050" cap="rnd">
              <a:solidFill>
                <a:srgbClr val="002060"/>
              </a:solidFill>
              <a:round/>
            </a:ln>
            <a:effectLst/>
          </c:spPr>
          <c:marker>
            <c:symbol val="none"/>
          </c:marker>
          <c:cat>
            <c:numRef>
              <c:f>Figuur_4b!$V$15:$AI$15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Figuur_4b!$V$16:$AI$16</c:f>
              <c:numCache>
                <c:formatCode>0%</c:formatCode>
                <c:ptCount val="14"/>
                <c:pt idx="0">
                  <c:v>0.29573373920366158</c:v>
                </c:pt>
                <c:pt idx="1">
                  <c:v>0.2797655386091476</c:v>
                </c:pt>
                <c:pt idx="2">
                  <c:v>0.29042932687998568</c:v>
                </c:pt>
                <c:pt idx="3">
                  <c:v>0.32079612968019106</c:v>
                </c:pt>
                <c:pt idx="4">
                  <c:v>0.33877664990715917</c:v>
                </c:pt>
                <c:pt idx="5">
                  <c:v>0.34078235627602843</c:v>
                </c:pt>
                <c:pt idx="6">
                  <c:v>0.34249407854134939</c:v>
                </c:pt>
                <c:pt idx="7">
                  <c:v>0.32966908101149811</c:v>
                </c:pt>
                <c:pt idx="8">
                  <c:v>0.30560444119064306</c:v>
                </c:pt>
                <c:pt idx="9">
                  <c:v>0.32426316098000441</c:v>
                </c:pt>
                <c:pt idx="10">
                  <c:v>0.34469048271452712</c:v>
                </c:pt>
                <c:pt idx="11">
                  <c:v>0.32844975288982198</c:v>
                </c:pt>
                <c:pt idx="12">
                  <c:v>0.3147360245479835</c:v>
                </c:pt>
                <c:pt idx="13">
                  <c:v>0.31162359365955805</c:v>
                </c:pt>
              </c:numCache>
            </c:numRef>
          </c:val>
          <c:smooth val="0"/>
          <c:extLst>
            <c:ext xmlns:c16="http://schemas.microsoft.com/office/drawing/2014/chart" uri="{C3380CC4-5D6E-409C-BE32-E72D297353CC}">
              <c16:uniqueId val="{00000000-6DEC-4E8B-8925-853675E99D1C}"/>
            </c:ext>
          </c:extLst>
        </c:ser>
        <c:ser>
          <c:idx val="2"/>
          <c:order val="1"/>
          <c:tx>
            <c:strRef>
              <c:f>Figuur_4b!$U$17</c:f>
              <c:strCache>
                <c:ptCount val="1"/>
                <c:pt idx="0">
                  <c:v>25 tot 35</c:v>
                </c:pt>
              </c:strCache>
            </c:strRef>
          </c:tx>
          <c:spPr>
            <a:ln w="19050" cap="rnd">
              <a:solidFill>
                <a:srgbClr val="00B0F0"/>
              </a:solidFill>
              <a:round/>
            </a:ln>
            <a:effectLst/>
          </c:spPr>
          <c:marker>
            <c:symbol val="none"/>
          </c:marker>
          <c:cat>
            <c:numRef>
              <c:f>Figuur_4b!$V$15:$AI$15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Figuur_4b!$V$17:$AI$17</c:f>
              <c:numCache>
                <c:formatCode>0%</c:formatCode>
                <c:ptCount val="14"/>
                <c:pt idx="0">
                  <c:v>0.1860327400376339</c:v>
                </c:pt>
                <c:pt idx="1">
                  <c:v>0.1672316676414923</c:v>
                </c:pt>
                <c:pt idx="2">
                  <c:v>0.18092344654010215</c:v>
                </c:pt>
                <c:pt idx="3">
                  <c:v>0.19904252024365615</c:v>
                </c:pt>
                <c:pt idx="4">
                  <c:v>0.21407606340585841</c:v>
                </c:pt>
                <c:pt idx="5">
                  <c:v>0.22071629792251668</c:v>
                </c:pt>
                <c:pt idx="6">
                  <c:v>0.22810952829233538</c:v>
                </c:pt>
                <c:pt idx="7">
                  <c:v>0.2280113542625872</c:v>
                </c:pt>
                <c:pt idx="8">
                  <c:v>0.19634589042279516</c:v>
                </c:pt>
                <c:pt idx="9">
                  <c:v>0.20359030663804828</c:v>
                </c:pt>
                <c:pt idx="10">
                  <c:v>0.22377892030848329</c:v>
                </c:pt>
                <c:pt idx="11">
                  <c:v>0.20701949750814633</c:v>
                </c:pt>
                <c:pt idx="12">
                  <c:v>0.19637171273520918</c:v>
                </c:pt>
                <c:pt idx="13">
                  <c:v>0.18936705708192816</c:v>
                </c:pt>
              </c:numCache>
            </c:numRef>
          </c:val>
          <c:smooth val="0"/>
          <c:extLst>
            <c:ext xmlns:c16="http://schemas.microsoft.com/office/drawing/2014/chart" uri="{C3380CC4-5D6E-409C-BE32-E72D297353CC}">
              <c16:uniqueId val="{00000001-6DEC-4E8B-8925-853675E99D1C}"/>
            </c:ext>
          </c:extLst>
        </c:ser>
        <c:ser>
          <c:idx val="0"/>
          <c:order val="2"/>
          <c:tx>
            <c:strRef>
              <c:f>Figuur_4b!$U$18</c:f>
              <c:strCache>
                <c:ptCount val="1"/>
                <c:pt idx="0">
                  <c:v>35 tot 45</c:v>
                </c:pt>
              </c:strCache>
            </c:strRef>
          </c:tx>
          <c:spPr>
            <a:ln w="19050" cap="rnd">
              <a:solidFill>
                <a:schemeClr val="accent3">
                  <a:lumMod val="60000"/>
                  <a:lumOff val="40000"/>
                </a:schemeClr>
              </a:solidFill>
              <a:round/>
            </a:ln>
            <a:effectLst/>
          </c:spPr>
          <c:marker>
            <c:symbol val="none"/>
          </c:marker>
          <c:cat>
            <c:numRef>
              <c:f>Figuur_4b!$V$15:$AI$15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Figuur_4b!$V$18:$AI$18</c:f>
              <c:numCache>
                <c:formatCode>0%</c:formatCode>
                <c:ptCount val="14"/>
                <c:pt idx="0">
                  <c:v>0.13388914411362202</c:v>
                </c:pt>
                <c:pt idx="1">
                  <c:v>0.11671067067375999</c:v>
                </c:pt>
                <c:pt idx="2">
                  <c:v>0.12188851789681432</c:v>
                </c:pt>
                <c:pt idx="3">
                  <c:v>0.1318398577016742</c:v>
                </c:pt>
                <c:pt idx="4">
                  <c:v>0.13713372659620993</c:v>
                </c:pt>
                <c:pt idx="5">
                  <c:v>0.14767013506049548</c:v>
                </c:pt>
                <c:pt idx="6">
                  <c:v>0.15278518588850321</c:v>
                </c:pt>
                <c:pt idx="7">
                  <c:v>0.16085428494187617</c:v>
                </c:pt>
                <c:pt idx="8">
                  <c:v>0.13510353381206652</c:v>
                </c:pt>
                <c:pt idx="9">
                  <c:v>0.13734090794153841</c:v>
                </c:pt>
                <c:pt idx="10">
                  <c:v>0.15646975493757673</c:v>
                </c:pt>
                <c:pt idx="11">
                  <c:v>0.15128776854391773</c:v>
                </c:pt>
                <c:pt idx="12">
                  <c:v>0.14227805810421471</c:v>
                </c:pt>
                <c:pt idx="13">
                  <c:v>0.13156306093878467</c:v>
                </c:pt>
              </c:numCache>
            </c:numRef>
          </c:val>
          <c:smooth val="0"/>
          <c:extLst>
            <c:ext xmlns:c16="http://schemas.microsoft.com/office/drawing/2014/chart" uri="{C3380CC4-5D6E-409C-BE32-E72D297353CC}">
              <c16:uniqueId val="{00000002-6DEC-4E8B-8925-853675E99D1C}"/>
            </c:ext>
          </c:extLst>
        </c:ser>
        <c:ser>
          <c:idx val="3"/>
          <c:order val="3"/>
          <c:tx>
            <c:strRef>
              <c:f>Figuur_4b!$U$19</c:f>
              <c:strCache>
                <c:ptCount val="1"/>
                <c:pt idx="0">
                  <c:v>45 tot 55</c:v>
                </c:pt>
              </c:strCache>
            </c:strRef>
          </c:tx>
          <c:spPr>
            <a:ln w="19050" cap="rnd">
              <a:solidFill>
                <a:srgbClr val="FF00FF"/>
              </a:solidFill>
              <a:round/>
            </a:ln>
            <a:effectLst/>
          </c:spPr>
          <c:marker>
            <c:symbol val="none"/>
          </c:marker>
          <c:cat>
            <c:numRef>
              <c:f>Figuur_4b!$V$15:$AI$15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Figuur_4b!$V$19:$AI$19</c:f>
              <c:numCache>
                <c:formatCode>0%</c:formatCode>
                <c:ptCount val="14"/>
                <c:pt idx="0">
                  <c:v>0.110079912538093</c:v>
                </c:pt>
                <c:pt idx="1">
                  <c:v>9.6731883860785323E-2</c:v>
                </c:pt>
                <c:pt idx="2">
                  <c:v>0.10261061182269753</c:v>
                </c:pt>
                <c:pt idx="3">
                  <c:v>0.10870776758499881</c:v>
                </c:pt>
                <c:pt idx="4">
                  <c:v>0.10902778329506542</c:v>
                </c:pt>
                <c:pt idx="5">
                  <c:v>0.11892663014548652</c:v>
                </c:pt>
                <c:pt idx="6">
                  <c:v>0.12049972815881572</c:v>
                </c:pt>
                <c:pt idx="7">
                  <c:v>0.13144059446126208</c:v>
                </c:pt>
                <c:pt idx="8">
                  <c:v>0.10955156759713476</c:v>
                </c:pt>
                <c:pt idx="9">
                  <c:v>0.11074899850981225</c:v>
                </c:pt>
                <c:pt idx="10">
                  <c:v>0.12599270309192276</c:v>
                </c:pt>
                <c:pt idx="11">
                  <c:v>0.12525416482848956</c:v>
                </c:pt>
                <c:pt idx="12">
                  <c:v>0.11998754524480351</c:v>
                </c:pt>
                <c:pt idx="13">
                  <c:v>0.10881240461541841</c:v>
                </c:pt>
              </c:numCache>
            </c:numRef>
          </c:val>
          <c:smooth val="0"/>
          <c:extLst>
            <c:ext xmlns:c16="http://schemas.microsoft.com/office/drawing/2014/chart" uri="{C3380CC4-5D6E-409C-BE32-E72D297353CC}">
              <c16:uniqueId val="{00000003-6DEC-4E8B-8925-853675E99D1C}"/>
            </c:ext>
          </c:extLst>
        </c:ser>
        <c:ser>
          <c:idx val="4"/>
          <c:order val="4"/>
          <c:tx>
            <c:strRef>
              <c:f>Figuur_4b!$U$20</c:f>
              <c:strCache>
                <c:ptCount val="1"/>
                <c:pt idx="0">
                  <c:v>55 tot 65</c:v>
                </c:pt>
              </c:strCache>
            </c:strRef>
          </c:tx>
          <c:spPr>
            <a:ln w="19050" cap="rnd">
              <a:solidFill>
                <a:srgbClr val="FF0000"/>
              </a:solidFill>
              <a:round/>
            </a:ln>
            <a:effectLst/>
          </c:spPr>
          <c:marker>
            <c:symbol val="none"/>
          </c:marker>
          <c:cat>
            <c:numRef>
              <c:f>Figuur_4b!$V$15:$AI$15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Figuur_4b!$V$20:$AI$20</c:f>
              <c:numCache>
                <c:formatCode>0%</c:formatCode>
                <c:ptCount val="14"/>
                <c:pt idx="0">
                  <c:v>7.8854921591745911E-2</c:v>
                </c:pt>
                <c:pt idx="1">
                  <c:v>7.1898144133417385E-2</c:v>
                </c:pt>
                <c:pt idx="2">
                  <c:v>7.8986690266090454E-2</c:v>
                </c:pt>
                <c:pt idx="3">
                  <c:v>7.8969087635054017E-2</c:v>
                </c:pt>
                <c:pt idx="4">
                  <c:v>7.4443625894256182E-2</c:v>
                </c:pt>
                <c:pt idx="5">
                  <c:v>8.1336494572225942E-2</c:v>
                </c:pt>
                <c:pt idx="6">
                  <c:v>7.7554925090019253E-2</c:v>
                </c:pt>
                <c:pt idx="7">
                  <c:v>8.7161523010131595E-2</c:v>
                </c:pt>
                <c:pt idx="8">
                  <c:v>7.0934146705996862E-2</c:v>
                </c:pt>
                <c:pt idx="9">
                  <c:v>7.351875094278279E-2</c:v>
                </c:pt>
                <c:pt idx="10">
                  <c:v>8.20169677027279E-2</c:v>
                </c:pt>
                <c:pt idx="11">
                  <c:v>8.4699710194575742E-2</c:v>
                </c:pt>
                <c:pt idx="12">
                  <c:v>8.7591963023021163E-2</c:v>
                </c:pt>
                <c:pt idx="13">
                  <c:v>7.4842042889766244E-2</c:v>
                </c:pt>
              </c:numCache>
            </c:numRef>
          </c:val>
          <c:smooth val="0"/>
          <c:extLst>
            <c:ext xmlns:c16="http://schemas.microsoft.com/office/drawing/2014/chart" uri="{C3380CC4-5D6E-409C-BE32-E72D297353CC}">
              <c16:uniqueId val="{00000004-6DEC-4E8B-8925-853675E99D1C}"/>
            </c:ext>
          </c:extLst>
        </c:ser>
        <c:ser>
          <c:idx val="5"/>
          <c:order val="5"/>
          <c:tx>
            <c:strRef>
              <c:f>Figuur_4b!$U$21</c:f>
              <c:strCache>
                <c:ptCount val="1"/>
                <c:pt idx="0">
                  <c:v>65 tot 75</c:v>
                </c:pt>
              </c:strCache>
            </c:strRef>
          </c:tx>
          <c:spPr>
            <a:ln w="19050" cap="rnd">
              <a:solidFill>
                <a:srgbClr val="FFCC66"/>
              </a:solidFill>
              <a:round/>
            </a:ln>
            <a:effectLst/>
          </c:spPr>
          <c:marker>
            <c:symbol val="none"/>
          </c:marker>
          <c:cat>
            <c:numRef>
              <c:f>Figuur_4b!$V$15:$AI$15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Figuur_4b!$V$21:$AI$21</c:f>
              <c:numCache>
                <c:formatCode>0%</c:formatCode>
                <c:ptCount val="14"/>
                <c:pt idx="0">
                  <c:v>7.7148990530876718E-2</c:v>
                </c:pt>
                <c:pt idx="1">
                  <c:v>8.0144210859662376E-2</c:v>
                </c:pt>
                <c:pt idx="2">
                  <c:v>8.042488619119878E-2</c:v>
                </c:pt>
                <c:pt idx="3">
                  <c:v>7.1514557046680638E-2</c:v>
                </c:pt>
                <c:pt idx="4">
                  <c:v>7.1935889689057064E-2</c:v>
                </c:pt>
                <c:pt idx="5">
                  <c:v>6.7877629063097508E-2</c:v>
                </c:pt>
                <c:pt idx="6">
                  <c:v>7.1733470573988864E-2</c:v>
                </c:pt>
                <c:pt idx="7">
                  <c:v>6.7690885988217625E-2</c:v>
                </c:pt>
                <c:pt idx="8">
                  <c:v>5.727504174765255E-2</c:v>
                </c:pt>
                <c:pt idx="9">
                  <c:v>5.5190446666846374E-2</c:v>
                </c:pt>
                <c:pt idx="10">
                  <c:v>6.0818168465516284E-2</c:v>
                </c:pt>
                <c:pt idx="11">
                  <c:v>5.9740558321322142E-2</c:v>
                </c:pt>
                <c:pt idx="12">
                  <c:v>6.3742817948666972E-2</c:v>
                </c:pt>
                <c:pt idx="13">
                  <c:v>5.9807688101885942E-2</c:v>
                </c:pt>
              </c:numCache>
            </c:numRef>
          </c:val>
          <c:smooth val="0"/>
          <c:extLst>
            <c:ext xmlns:c16="http://schemas.microsoft.com/office/drawing/2014/chart" uri="{C3380CC4-5D6E-409C-BE32-E72D297353CC}">
              <c16:uniqueId val="{00000005-6DEC-4E8B-8925-853675E99D1C}"/>
            </c:ext>
          </c:extLst>
        </c:ser>
        <c:dLbls>
          <c:showLegendKey val="0"/>
          <c:showVal val="0"/>
          <c:showCatName val="0"/>
          <c:showSerName val="0"/>
          <c:showPercent val="0"/>
          <c:showBubbleSize val="0"/>
        </c:dLbls>
        <c:smooth val="0"/>
        <c:axId val="1268011040"/>
        <c:axId val="1268029280"/>
      </c:lineChart>
      <c:catAx>
        <c:axId val="126801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autoZero"/>
        <c:crossBetween val="midCat"/>
      </c:valAx>
      <c:spPr>
        <a:noFill/>
        <a:ln>
          <a:noFill/>
        </a:ln>
        <a:effectLst/>
      </c:spPr>
    </c:plotArea>
    <c:legend>
      <c:legendPos val="b"/>
      <c:layout>
        <c:manualLayout>
          <c:xMode val="edge"/>
          <c:yMode val="edge"/>
          <c:x val="9.4746874999999939E-2"/>
          <c:y val="0.86936574074074058"/>
          <c:w val="0.86979965277777782"/>
          <c:h val="0.1080202991452991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NL" sz="900" b="1"/>
              <a:t>hoogst</a:t>
            </a:r>
            <a:r>
              <a:rPr lang="en-NL" sz="900" b="1" baseline="0"/>
              <a:t> behaalde </a:t>
            </a:r>
            <a:r>
              <a:rPr lang="en-NL" sz="900" b="1"/>
              <a:t>opleidingsniveau</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12424006479763802"/>
          <c:y val="0.10486991445581692"/>
          <c:w val="0.83023194444444426"/>
          <c:h val="0.64517841880341875"/>
        </c:manualLayout>
      </c:layout>
      <c:lineChart>
        <c:grouping val="standard"/>
        <c:varyColors val="0"/>
        <c:ser>
          <c:idx val="1"/>
          <c:order val="0"/>
          <c:tx>
            <c:strRef>
              <c:f>Figuur_4c!$V$15</c:f>
              <c:strCache>
                <c:ptCount val="1"/>
                <c:pt idx="0">
                  <c:v>mbo1 of lager</c:v>
                </c:pt>
              </c:strCache>
            </c:strRef>
          </c:tx>
          <c:spPr>
            <a:ln w="28575" cap="rnd">
              <a:solidFill>
                <a:srgbClr val="002060"/>
              </a:solidFill>
              <a:round/>
            </a:ln>
            <a:effectLst/>
          </c:spPr>
          <c:marker>
            <c:symbol val="none"/>
          </c:marker>
          <c:cat>
            <c:numRef>
              <c:f>Figuur_4c!$W$14:$AJ$14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Figuur_4c!$W$15:$AJ$15</c:f>
              <c:numCache>
                <c:formatCode>0%</c:formatCode>
                <c:ptCount val="14"/>
                <c:pt idx="0">
                  <c:v>0.23184411034335531</c:v>
                </c:pt>
                <c:pt idx="1">
                  <c:v>0.21324371347420704</c:v>
                </c:pt>
                <c:pt idx="2">
                  <c:v>0.20763553943004598</c:v>
                </c:pt>
                <c:pt idx="3">
                  <c:v>0.23130233241386064</c:v>
                </c:pt>
                <c:pt idx="4">
                  <c:v>0.24986580928029672</c:v>
                </c:pt>
                <c:pt idx="5">
                  <c:v>0.25526683956899865</c:v>
                </c:pt>
                <c:pt idx="6">
                  <c:v>0.26372072947016295</c:v>
                </c:pt>
                <c:pt idx="7">
                  <c:v>0.26315336212722856</c:v>
                </c:pt>
                <c:pt idx="8">
                  <c:v>0.234098415653298</c:v>
                </c:pt>
                <c:pt idx="9">
                  <c:v>0.2403085901122084</c:v>
                </c:pt>
                <c:pt idx="10">
                  <c:v>0.27234977178352038</c:v>
                </c:pt>
                <c:pt idx="11">
                  <c:v>0.26145992081142766</c:v>
                </c:pt>
                <c:pt idx="12">
                  <c:v>0.25241304164415335</c:v>
                </c:pt>
                <c:pt idx="13">
                  <c:v>0.2414362139805695</c:v>
                </c:pt>
              </c:numCache>
            </c:numRef>
          </c:val>
          <c:smooth val="0"/>
          <c:extLst>
            <c:ext xmlns:c16="http://schemas.microsoft.com/office/drawing/2014/chart" uri="{C3380CC4-5D6E-409C-BE32-E72D297353CC}">
              <c16:uniqueId val="{00000000-3E72-4BEF-BACF-929245925672}"/>
            </c:ext>
          </c:extLst>
        </c:ser>
        <c:ser>
          <c:idx val="2"/>
          <c:order val="1"/>
          <c:tx>
            <c:strRef>
              <c:f>Figuur_4c!$V$16</c:f>
              <c:strCache>
                <c:ptCount val="1"/>
                <c:pt idx="0">
                  <c:v>mbo2-4</c:v>
                </c:pt>
              </c:strCache>
            </c:strRef>
          </c:tx>
          <c:spPr>
            <a:ln w="28575" cap="rnd">
              <a:solidFill>
                <a:srgbClr val="00B0F0"/>
              </a:solidFill>
              <a:round/>
            </a:ln>
            <a:effectLst/>
          </c:spPr>
          <c:marker>
            <c:symbol val="none"/>
          </c:marker>
          <c:cat>
            <c:numRef>
              <c:f>Figuur_4c!$W$14:$AJ$14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Figuur_4c!$W$16:$AJ$16</c:f>
              <c:numCache>
                <c:formatCode>0%</c:formatCode>
                <c:ptCount val="14"/>
                <c:pt idx="0">
                  <c:v>0.2054554624361625</c:v>
                </c:pt>
                <c:pt idx="1">
                  <c:v>0.18506301227710728</c:v>
                </c:pt>
                <c:pt idx="2">
                  <c:v>0.1997481549270976</c:v>
                </c:pt>
                <c:pt idx="3">
                  <c:v>0.21517605753079089</c:v>
                </c:pt>
                <c:pt idx="4">
                  <c:v>0.2269178617020195</c:v>
                </c:pt>
                <c:pt idx="5">
                  <c:v>0.22464245168620642</c:v>
                </c:pt>
                <c:pt idx="6">
                  <c:v>0.2259022431601132</c:v>
                </c:pt>
                <c:pt idx="7">
                  <c:v>0.21938981642649946</c:v>
                </c:pt>
                <c:pt idx="8">
                  <c:v>0.18971005492329959</c:v>
                </c:pt>
                <c:pt idx="9">
                  <c:v>0.19375836281413439</c:v>
                </c:pt>
                <c:pt idx="10">
                  <c:v>0.21308447973710484</c:v>
                </c:pt>
                <c:pt idx="11">
                  <c:v>0.20064417605482102</c:v>
                </c:pt>
                <c:pt idx="12">
                  <c:v>0.19052045709999454</c:v>
                </c:pt>
                <c:pt idx="13">
                  <c:v>0.17780970758948034</c:v>
                </c:pt>
              </c:numCache>
            </c:numRef>
          </c:val>
          <c:smooth val="0"/>
          <c:extLst>
            <c:ext xmlns:c16="http://schemas.microsoft.com/office/drawing/2014/chart" uri="{C3380CC4-5D6E-409C-BE32-E72D297353CC}">
              <c16:uniqueId val="{00000001-3E72-4BEF-BACF-929245925672}"/>
            </c:ext>
          </c:extLst>
        </c:ser>
        <c:ser>
          <c:idx val="0"/>
          <c:order val="2"/>
          <c:tx>
            <c:strRef>
              <c:f>Figuur_4c!$V$17</c:f>
              <c:strCache>
                <c:ptCount val="1"/>
                <c:pt idx="0">
                  <c:v>bachelor</c:v>
                </c:pt>
              </c:strCache>
            </c:strRef>
          </c:tx>
          <c:spPr>
            <a:ln w="28575" cap="rnd">
              <a:solidFill>
                <a:schemeClr val="accent3">
                  <a:lumMod val="60000"/>
                  <a:lumOff val="40000"/>
                </a:schemeClr>
              </a:solidFill>
              <a:round/>
            </a:ln>
            <a:effectLst/>
          </c:spPr>
          <c:marker>
            <c:symbol val="none"/>
          </c:marker>
          <c:cat>
            <c:numRef>
              <c:f>Figuur_4c!$W$14:$AJ$14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Figuur_4c!$W$17:$AJ$17</c:f>
              <c:numCache>
                <c:formatCode>0%</c:formatCode>
                <c:ptCount val="14"/>
                <c:pt idx="0">
                  <c:v>0.16329933172409686</c:v>
                </c:pt>
                <c:pt idx="1">
                  <c:v>0.14310613654694482</c:v>
                </c:pt>
                <c:pt idx="2">
                  <c:v>0.1537604079825784</c:v>
                </c:pt>
                <c:pt idx="3">
                  <c:v>0.17085470732324118</c:v>
                </c:pt>
                <c:pt idx="4">
                  <c:v>0.17899553473926497</c:v>
                </c:pt>
                <c:pt idx="5">
                  <c:v>0.18059024088606168</c:v>
                </c:pt>
                <c:pt idx="6">
                  <c:v>0.17952529790817309</c:v>
                </c:pt>
                <c:pt idx="7">
                  <c:v>0.18448793523778595</c:v>
                </c:pt>
                <c:pt idx="8">
                  <c:v>0.15303295032808681</c:v>
                </c:pt>
                <c:pt idx="9">
                  <c:v>0.15824140161794126</c:v>
                </c:pt>
                <c:pt idx="10">
                  <c:v>0.17179288994390127</c:v>
                </c:pt>
                <c:pt idx="11">
                  <c:v>0.16255082898544546</c:v>
                </c:pt>
                <c:pt idx="12">
                  <c:v>0.15330282423242797</c:v>
                </c:pt>
                <c:pt idx="13">
                  <c:v>0.14183734329002928</c:v>
                </c:pt>
              </c:numCache>
            </c:numRef>
          </c:val>
          <c:smooth val="0"/>
          <c:extLst>
            <c:ext xmlns:c16="http://schemas.microsoft.com/office/drawing/2014/chart" uri="{C3380CC4-5D6E-409C-BE32-E72D297353CC}">
              <c16:uniqueId val="{00000002-3E72-4BEF-BACF-929245925672}"/>
            </c:ext>
          </c:extLst>
        </c:ser>
        <c:ser>
          <c:idx val="3"/>
          <c:order val="3"/>
          <c:tx>
            <c:strRef>
              <c:f>Figuur_4c!$V$18</c:f>
              <c:strCache>
                <c:ptCount val="1"/>
                <c:pt idx="0">
                  <c:v>master of hoger</c:v>
                </c:pt>
              </c:strCache>
            </c:strRef>
          </c:tx>
          <c:spPr>
            <a:ln w="28575" cap="rnd">
              <a:solidFill>
                <a:srgbClr val="FF00FF"/>
              </a:solidFill>
              <a:round/>
            </a:ln>
            <a:effectLst/>
          </c:spPr>
          <c:marker>
            <c:symbol val="none"/>
          </c:marker>
          <c:cat>
            <c:numRef>
              <c:f>Figuur_4c!$W$14:$AJ$14</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Figuur_4c!$W$18:$AJ$18</c:f>
              <c:numCache>
                <c:formatCode>0%</c:formatCode>
                <c:ptCount val="14"/>
                <c:pt idx="0">
                  <c:v>0.16425834069745238</c:v>
                </c:pt>
                <c:pt idx="1">
                  <c:v>0.14013636986373551</c:v>
                </c:pt>
                <c:pt idx="2">
                  <c:v>0.14395495032261274</c:v>
                </c:pt>
                <c:pt idx="3">
                  <c:v>0.15914744414874715</c:v>
                </c:pt>
                <c:pt idx="4">
                  <c:v>0.16196583656196706</c:v>
                </c:pt>
                <c:pt idx="5">
                  <c:v>0.17365775705054584</c:v>
                </c:pt>
                <c:pt idx="6">
                  <c:v>0.16378043131045641</c:v>
                </c:pt>
                <c:pt idx="7">
                  <c:v>0.17441410238390118</c:v>
                </c:pt>
                <c:pt idx="8">
                  <c:v>0.14543789921215419</c:v>
                </c:pt>
                <c:pt idx="9">
                  <c:v>0.15009875155844188</c:v>
                </c:pt>
                <c:pt idx="10">
                  <c:v>0.15600280843807987</c:v>
                </c:pt>
                <c:pt idx="11">
                  <c:v>0.14761625009094551</c:v>
                </c:pt>
                <c:pt idx="12">
                  <c:v>0.13767975656852963</c:v>
                </c:pt>
                <c:pt idx="13">
                  <c:v>0.13004752790633831</c:v>
                </c:pt>
              </c:numCache>
            </c:numRef>
          </c:val>
          <c:smooth val="0"/>
          <c:extLst>
            <c:ext xmlns:c16="http://schemas.microsoft.com/office/drawing/2014/chart" uri="{C3380CC4-5D6E-409C-BE32-E72D297353CC}">
              <c16:uniqueId val="{00000003-3E72-4BEF-BACF-929245925672}"/>
            </c:ext>
          </c:extLst>
        </c:ser>
        <c:dLbls>
          <c:showLegendKey val="0"/>
          <c:showVal val="0"/>
          <c:showCatName val="0"/>
          <c:showSerName val="0"/>
          <c:showPercent val="0"/>
          <c:showBubbleSize val="0"/>
        </c:dLbls>
        <c:smooth val="0"/>
        <c:axId val="1268011040"/>
        <c:axId val="1268029280"/>
      </c:lineChart>
      <c:catAx>
        <c:axId val="126801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autoZero"/>
        <c:crossBetween val="midCat"/>
      </c:valAx>
      <c:spPr>
        <a:noFill/>
        <a:ln>
          <a:noFill/>
        </a:ln>
        <a:effectLst/>
      </c:spPr>
    </c:plotArea>
    <c:legend>
      <c:legendPos val="b"/>
      <c:layout>
        <c:manualLayout>
          <c:xMode val="edge"/>
          <c:yMode val="edge"/>
          <c:x val="6.8288541666666661E-2"/>
          <c:y val="0.86936574074074058"/>
          <c:w val="0.89625798611111129"/>
          <c:h val="0.1080202991452991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NL" sz="900" b="1"/>
              <a:t>type arbeidscontract</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12424006479763802"/>
          <c:y val="0.10486991445581692"/>
          <c:w val="0.83023194444444426"/>
          <c:h val="0.64517841880341875"/>
        </c:manualLayout>
      </c:layout>
      <c:lineChart>
        <c:grouping val="standard"/>
        <c:varyColors val="0"/>
        <c:ser>
          <c:idx val="1"/>
          <c:order val="0"/>
          <c:tx>
            <c:strRef>
              <c:f>Figuur_4d!$U$14</c:f>
              <c:strCache>
                <c:ptCount val="1"/>
                <c:pt idx="0">
                  <c:v>vast</c:v>
                </c:pt>
              </c:strCache>
            </c:strRef>
          </c:tx>
          <c:spPr>
            <a:ln w="28575" cap="rnd">
              <a:solidFill>
                <a:srgbClr val="002060"/>
              </a:solidFill>
              <a:round/>
            </a:ln>
            <a:effectLst/>
          </c:spPr>
          <c:marker>
            <c:symbol val="none"/>
          </c:marker>
          <c:cat>
            <c:numRef>
              <c:f>Figuur_4d!$V$13:$AI$13</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Figuur_4d!$V$14:$AI$14</c:f>
              <c:numCache>
                <c:formatCode>0%</c:formatCode>
                <c:ptCount val="14"/>
                <c:pt idx="0">
                  <c:v>0.11265120533924834</c:v>
                </c:pt>
                <c:pt idx="1">
                  <c:v>9.6289212231162574E-2</c:v>
                </c:pt>
                <c:pt idx="2">
                  <c:v>0.10080586190233869</c:v>
                </c:pt>
                <c:pt idx="3">
                  <c:v>0.10578975436095457</c:v>
                </c:pt>
                <c:pt idx="4">
                  <c:v>9.5761289215259601E-2</c:v>
                </c:pt>
                <c:pt idx="5">
                  <c:v>0.10721062892435249</c:v>
                </c:pt>
                <c:pt idx="6">
                  <c:v>0.10622272648701278</c:v>
                </c:pt>
                <c:pt idx="7">
                  <c:v>0.11436533862947897</c:v>
                </c:pt>
                <c:pt idx="8">
                  <c:v>9.1708770755782335E-2</c:v>
                </c:pt>
                <c:pt idx="9">
                  <c:v>9.656142565299014E-2</c:v>
                </c:pt>
                <c:pt idx="10">
                  <c:v>0.10961604627521884</c:v>
                </c:pt>
                <c:pt idx="11">
                  <c:v>0.10741487442234045</c:v>
                </c:pt>
                <c:pt idx="12">
                  <c:v>0.10478394393812449</c:v>
                </c:pt>
                <c:pt idx="13">
                  <c:v>9.4761455660717142E-2</c:v>
                </c:pt>
              </c:numCache>
            </c:numRef>
          </c:val>
          <c:smooth val="0"/>
          <c:extLst>
            <c:ext xmlns:c16="http://schemas.microsoft.com/office/drawing/2014/chart" uri="{C3380CC4-5D6E-409C-BE32-E72D297353CC}">
              <c16:uniqueId val="{00000000-226D-42EC-AB2B-DD37FB51EC3F}"/>
            </c:ext>
          </c:extLst>
        </c:ser>
        <c:ser>
          <c:idx val="2"/>
          <c:order val="1"/>
          <c:tx>
            <c:strRef>
              <c:f>Figuur_4d!$U$15</c:f>
              <c:strCache>
                <c:ptCount val="1"/>
                <c:pt idx="0">
                  <c:v>tijdelijk</c:v>
                </c:pt>
              </c:strCache>
            </c:strRef>
          </c:tx>
          <c:spPr>
            <a:ln w="28575" cap="rnd">
              <a:solidFill>
                <a:srgbClr val="00B0F0"/>
              </a:solidFill>
              <a:round/>
            </a:ln>
            <a:effectLst/>
          </c:spPr>
          <c:marker>
            <c:symbol val="none"/>
          </c:marker>
          <c:cat>
            <c:numRef>
              <c:f>Figuur_4d!$V$13:$AI$13</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Figuur_4d!$V$15:$AI$15</c:f>
              <c:numCache>
                <c:formatCode>0%</c:formatCode>
                <c:ptCount val="14"/>
                <c:pt idx="0">
                  <c:v>0.22561385811246248</c:v>
                </c:pt>
                <c:pt idx="1">
                  <c:v>0.21275862542389171</c:v>
                </c:pt>
                <c:pt idx="2">
                  <c:v>0.22398257328349672</c:v>
                </c:pt>
                <c:pt idx="3">
                  <c:v>0.23856751993217684</c:v>
                </c:pt>
                <c:pt idx="4">
                  <c:v>0.25360531608380144</c:v>
                </c:pt>
                <c:pt idx="5">
                  <c:v>0.26321939305152658</c:v>
                </c:pt>
                <c:pt idx="6">
                  <c:v>0.26370123955861174</c:v>
                </c:pt>
                <c:pt idx="7">
                  <c:v>0.25628320607147442</c:v>
                </c:pt>
                <c:pt idx="8">
                  <c:v>0.22656559874276133</c:v>
                </c:pt>
                <c:pt idx="9">
                  <c:v>0.252273944527518</c:v>
                </c:pt>
                <c:pt idx="10">
                  <c:v>0.26459668370703771</c:v>
                </c:pt>
                <c:pt idx="11">
                  <c:v>0.24811023355140505</c:v>
                </c:pt>
                <c:pt idx="12">
                  <c:v>0.24182644410307172</c:v>
                </c:pt>
                <c:pt idx="13">
                  <c:v>0.23466969564995624</c:v>
                </c:pt>
              </c:numCache>
            </c:numRef>
          </c:val>
          <c:smooth val="0"/>
          <c:extLst>
            <c:ext xmlns:c16="http://schemas.microsoft.com/office/drawing/2014/chart" uri="{C3380CC4-5D6E-409C-BE32-E72D297353CC}">
              <c16:uniqueId val="{00000001-226D-42EC-AB2B-DD37FB51EC3F}"/>
            </c:ext>
          </c:extLst>
        </c:ser>
        <c:ser>
          <c:idx val="0"/>
          <c:order val="2"/>
          <c:tx>
            <c:strRef>
              <c:f>Figuur_4d!$U$16</c:f>
              <c:strCache>
                <c:ptCount val="1"/>
                <c:pt idx="0">
                  <c:v>uitzend</c:v>
                </c:pt>
              </c:strCache>
            </c:strRef>
          </c:tx>
          <c:spPr>
            <a:ln w="28575" cap="rnd">
              <a:solidFill>
                <a:schemeClr val="accent3">
                  <a:lumMod val="60000"/>
                  <a:lumOff val="40000"/>
                </a:schemeClr>
              </a:solidFill>
              <a:round/>
            </a:ln>
            <a:effectLst/>
          </c:spPr>
          <c:marker>
            <c:symbol val="none"/>
          </c:marker>
          <c:cat>
            <c:numRef>
              <c:f>Figuur_4d!$V$13:$AI$13</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Figuur_4d!$V$16:$AI$16</c:f>
              <c:numCache>
                <c:formatCode>0%</c:formatCode>
                <c:ptCount val="14"/>
                <c:pt idx="0">
                  <c:v>0.42616714972103981</c:v>
                </c:pt>
                <c:pt idx="1">
                  <c:v>0.38732768797743461</c:v>
                </c:pt>
                <c:pt idx="2">
                  <c:v>0.39924032378257207</c:v>
                </c:pt>
                <c:pt idx="3">
                  <c:v>0.43022803177325453</c:v>
                </c:pt>
                <c:pt idx="4">
                  <c:v>0.52873996047370897</c:v>
                </c:pt>
                <c:pt idx="5">
                  <c:v>0.4501961554927047</c:v>
                </c:pt>
                <c:pt idx="6">
                  <c:v>0.44974877040908462</c:v>
                </c:pt>
                <c:pt idx="7">
                  <c:v>0.39751296587873697</c:v>
                </c:pt>
                <c:pt idx="8">
                  <c:v>0.40941197116157996</c:v>
                </c:pt>
                <c:pt idx="9">
                  <c:v>0.41424259983582018</c:v>
                </c:pt>
                <c:pt idx="10">
                  <c:v>0.40693395124230863</c:v>
                </c:pt>
                <c:pt idx="11">
                  <c:v>0.37786561726149609</c:v>
                </c:pt>
                <c:pt idx="12">
                  <c:v>0.36487645940809121</c:v>
                </c:pt>
                <c:pt idx="13">
                  <c:v>0.36823509746497191</c:v>
                </c:pt>
              </c:numCache>
            </c:numRef>
          </c:val>
          <c:smooth val="0"/>
          <c:extLst>
            <c:ext xmlns:c16="http://schemas.microsoft.com/office/drawing/2014/chart" uri="{C3380CC4-5D6E-409C-BE32-E72D297353CC}">
              <c16:uniqueId val="{00000002-226D-42EC-AB2B-DD37FB51EC3F}"/>
            </c:ext>
          </c:extLst>
        </c:ser>
        <c:ser>
          <c:idx val="3"/>
          <c:order val="3"/>
          <c:tx>
            <c:strRef>
              <c:f>Figuur_4d!$U$17</c:f>
              <c:strCache>
                <c:ptCount val="1"/>
                <c:pt idx="0">
                  <c:v>oproep</c:v>
                </c:pt>
              </c:strCache>
            </c:strRef>
          </c:tx>
          <c:spPr>
            <a:ln w="28575" cap="rnd">
              <a:solidFill>
                <a:srgbClr val="FF00FF"/>
              </a:solidFill>
              <a:round/>
            </a:ln>
            <a:effectLst/>
          </c:spPr>
          <c:marker>
            <c:symbol val="none"/>
          </c:marker>
          <c:cat>
            <c:numRef>
              <c:f>Figuur_4d!$V$13:$AI$13</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Figuur_4d!$V$17:$AI$17</c:f>
              <c:numCache>
                <c:formatCode>0%</c:formatCode>
                <c:ptCount val="14"/>
                <c:pt idx="0">
                  <c:v>0.24273541788412906</c:v>
                </c:pt>
                <c:pt idx="1">
                  <c:v>0.23144282148512185</c:v>
                </c:pt>
                <c:pt idx="2">
                  <c:v>0.2419519610689205</c:v>
                </c:pt>
                <c:pt idx="3">
                  <c:v>0.26655336746177194</c:v>
                </c:pt>
                <c:pt idx="4">
                  <c:v>0.2789491884144919</c:v>
                </c:pt>
                <c:pt idx="5">
                  <c:v>0.284711014088329</c:v>
                </c:pt>
                <c:pt idx="6">
                  <c:v>0.29832223385965256</c:v>
                </c:pt>
                <c:pt idx="7">
                  <c:v>0.3082031371786666</c:v>
                </c:pt>
                <c:pt idx="8">
                  <c:v>0.27325547818264867</c:v>
                </c:pt>
                <c:pt idx="9">
                  <c:v>0.3236932813336465</c:v>
                </c:pt>
                <c:pt idx="10">
                  <c:v>0.3459190209771415</c:v>
                </c:pt>
                <c:pt idx="11">
                  <c:v>0.33006778329533459</c:v>
                </c:pt>
                <c:pt idx="12">
                  <c:v>0.31527303707488552</c:v>
                </c:pt>
                <c:pt idx="13">
                  <c:v>0.31489272330618062</c:v>
                </c:pt>
              </c:numCache>
            </c:numRef>
          </c:val>
          <c:smooth val="0"/>
          <c:extLst>
            <c:ext xmlns:c16="http://schemas.microsoft.com/office/drawing/2014/chart" uri="{C3380CC4-5D6E-409C-BE32-E72D297353CC}">
              <c16:uniqueId val="{00000003-226D-42EC-AB2B-DD37FB51EC3F}"/>
            </c:ext>
          </c:extLst>
        </c:ser>
        <c:dLbls>
          <c:showLegendKey val="0"/>
          <c:showVal val="0"/>
          <c:showCatName val="0"/>
          <c:showSerName val="0"/>
          <c:showPercent val="0"/>
          <c:showBubbleSize val="0"/>
        </c:dLbls>
        <c:smooth val="0"/>
        <c:axId val="1268011040"/>
        <c:axId val="1268029280"/>
      </c:lineChart>
      <c:catAx>
        <c:axId val="126801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autoZero"/>
        <c:crossBetween val="midCat"/>
      </c:valAx>
      <c:spPr>
        <a:noFill/>
        <a:ln>
          <a:noFill/>
        </a:ln>
        <a:effectLst/>
      </c:spPr>
    </c:plotArea>
    <c:legend>
      <c:legendPos val="b"/>
      <c:layout>
        <c:manualLayout>
          <c:xMode val="edge"/>
          <c:yMode val="edge"/>
          <c:x val="6.8288541666666661E-2"/>
          <c:y val="0.86936574074074058"/>
          <c:w val="0.85657048611111131"/>
          <c:h val="0.1080202991452991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US" sz="900" b="1"/>
              <a:t>baanomvang</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12424006479763802"/>
          <c:y val="0.10486991445581692"/>
          <c:w val="0.83023194444444426"/>
          <c:h val="0.64517841880341875"/>
        </c:manualLayout>
      </c:layout>
      <c:lineChart>
        <c:grouping val="standard"/>
        <c:varyColors val="0"/>
        <c:ser>
          <c:idx val="1"/>
          <c:order val="0"/>
          <c:tx>
            <c:strRef>
              <c:f>Figuur_4e!$U$16</c:f>
              <c:strCache>
                <c:ptCount val="1"/>
                <c:pt idx="0">
                  <c:v>minder dan 12 uur</c:v>
                </c:pt>
              </c:strCache>
            </c:strRef>
          </c:tx>
          <c:spPr>
            <a:ln w="19050" cap="rnd">
              <a:solidFill>
                <a:srgbClr val="002060"/>
              </a:solidFill>
              <a:round/>
            </a:ln>
            <a:effectLst/>
          </c:spPr>
          <c:marker>
            <c:symbol val="none"/>
          </c:marker>
          <c:cat>
            <c:numRef>
              <c:f>Figuur_4e!$V$15:$AI$15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Figuur_4e!$V$16:$AI$16</c:f>
              <c:numCache>
                <c:formatCode>0%</c:formatCode>
                <c:ptCount val="14"/>
                <c:pt idx="0">
                  <c:v>0.25768689829569402</c:v>
                </c:pt>
                <c:pt idx="1">
                  <c:v>0.24587178844712737</c:v>
                </c:pt>
                <c:pt idx="2">
                  <c:v>0.24545736757311604</c:v>
                </c:pt>
                <c:pt idx="3">
                  <c:v>0.27412191618234094</c:v>
                </c:pt>
                <c:pt idx="4">
                  <c:v>0.29650305906389718</c:v>
                </c:pt>
                <c:pt idx="5">
                  <c:v>0.29838413978074502</c:v>
                </c:pt>
                <c:pt idx="6">
                  <c:v>0.3030755138002913</c:v>
                </c:pt>
                <c:pt idx="7">
                  <c:v>0.29753188283203674</c:v>
                </c:pt>
                <c:pt idx="8">
                  <c:v>0.27520993079805617</c:v>
                </c:pt>
                <c:pt idx="9">
                  <c:v>0.29710379708741519</c:v>
                </c:pt>
                <c:pt idx="10">
                  <c:v>0.31704042520056869</c:v>
                </c:pt>
                <c:pt idx="11">
                  <c:v>0.30347420664761621</c:v>
                </c:pt>
                <c:pt idx="12">
                  <c:v>0.29681162017450602</c:v>
                </c:pt>
                <c:pt idx="13">
                  <c:v>0.2934182286952724</c:v>
                </c:pt>
              </c:numCache>
            </c:numRef>
          </c:val>
          <c:smooth val="0"/>
          <c:extLst>
            <c:ext xmlns:c16="http://schemas.microsoft.com/office/drawing/2014/chart" uri="{C3380CC4-5D6E-409C-BE32-E72D297353CC}">
              <c16:uniqueId val="{00000000-32C9-4709-8FF6-26793E8D1AD6}"/>
            </c:ext>
          </c:extLst>
        </c:ser>
        <c:ser>
          <c:idx val="2"/>
          <c:order val="1"/>
          <c:tx>
            <c:strRef>
              <c:f>Figuur_4e!$U$17</c:f>
              <c:strCache>
                <c:ptCount val="1"/>
                <c:pt idx="0">
                  <c:v>12 tot 20 uur</c:v>
                </c:pt>
              </c:strCache>
            </c:strRef>
          </c:tx>
          <c:spPr>
            <a:ln w="19050" cap="rnd">
              <a:solidFill>
                <a:srgbClr val="00B0F0"/>
              </a:solidFill>
              <a:round/>
            </a:ln>
            <a:effectLst/>
          </c:spPr>
          <c:marker>
            <c:symbol val="none"/>
          </c:marker>
          <c:cat>
            <c:numRef>
              <c:f>Figuur_4e!$V$15:$AI$15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Figuur_4e!$V$17:$AI$17</c:f>
              <c:numCache>
                <c:formatCode>0%</c:formatCode>
                <c:ptCount val="14"/>
                <c:pt idx="0">
                  <c:v>0.17409571692709655</c:v>
                </c:pt>
                <c:pt idx="1">
                  <c:v>0.15995379740211266</c:v>
                </c:pt>
                <c:pt idx="2">
                  <c:v>0.16595484295087795</c:v>
                </c:pt>
                <c:pt idx="3">
                  <c:v>0.19003649029223182</c:v>
                </c:pt>
                <c:pt idx="4">
                  <c:v>0.20462502396254781</c:v>
                </c:pt>
                <c:pt idx="5">
                  <c:v>0.20768754132583681</c:v>
                </c:pt>
                <c:pt idx="6">
                  <c:v>0.21997641832949547</c:v>
                </c:pt>
                <c:pt idx="7">
                  <c:v>0.22174310050322182</c:v>
                </c:pt>
                <c:pt idx="8">
                  <c:v>0.1995766299745978</c:v>
                </c:pt>
                <c:pt idx="9">
                  <c:v>0.20886042577167538</c:v>
                </c:pt>
                <c:pt idx="10">
                  <c:v>0.23386653248926387</c:v>
                </c:pt>
                <c:pt idx="11">
                  <c:v>0.22382167636972644</c:v>
                </c:pt>
                <c:pt idx="12">
                  <c:v>0.22401090705625609</c:v>
                </c:pt>
                <c:pt idx="13">
                  <c:v>0.20642191219509184</c:v>
                </c:pt>
              </c:numCache>
            </c:numRef>
          </c:val>
          <c:smooth val="0"/>
          <c:extLst>
            <c:ext xmlns:c16="http://schemas.microsoft.com/office/drawing/2014/chart" uri="{C3380CC4-5D6E-409C-BE32-E72D297353CC}">
              <c16:uniqueId val="{00000001-32C9-4709-8FF6-26793E8D1AD6}"/>
            </c:ext>
          </c:extLst>
        </c:ser>
        <c:ser>
          <c:idx val="0"/>
          <c:order val="2"/>
          <c:tx>
            <c:strRef>
              <c:f>Figuur_4e!$U$18</c:f>
              <c:strCache>
                <c:ptCount val="1"/>
                <c:pt idx="0">
                  <c:v>20 tot 25 uur</c:v>
                </c:pt>
              </c:strCache>
            </c:strRef>
          </c:tx>
          <c:spPr>
            <a:ln w="19050" cap="rnd">
              <a:solidFill>
                <a:schemeClr val="accent3">
                  <a:lumMod val="60000"/>
                  <a:lumOff val="40000"/>
                </a:schemeClr>
              </a:solidFill>
              <a:round/>
            </a:ln>
            <a:effectLst/>
          </c:spPr>
          <c:marker>
            <c:symbol val="none"/>
          </c:marker>
          <c:cat>
            <c:numRef>
              <c:f>Figuur_4e!$V$15:$AI$15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Figuur_4e!$V$18:$AI$18</c:f>
              <c:numCache>
                <c:formatCode>0%</c:formatCode>
                <c:ptCount val="14"/>
                <c:pt idx="0">
                  <c:v>0.14050846268223929</c:v>
                </c:pt>
                <c:pt idx="1">
                  <c:v>0.11982210263536267</c:v>
                </c:pt>
                <c:pt idx="2">
                  <c:v>0.12453402593459148</c:v>
                </c:pt>
                <c:pt idx="3">
                  <c:v>0.14872863187471477</c:v>
                </c:pt>
                <c:pt idx="4">
                  <c:v>0.14864054635297749</c:v>
                </c:pt>
                <c:pt idx="5">
                  <c:v>0.15625531627536715</c:v>
                </c:pt>
                <c:pt idx="6">
                  <c:v>0.15790701954665803</c:v>
                </c:pt>
                <c:pt idx="7">
                  <c:v>0.16256536181717204</c:v>
                </c:pt>
                <c:pt idx="8">
                  <c:v>0.13946921680161989</c:v>
                </c:pt>
                <c:pt idx="9">
                  <c:v>0.14376614297970466</c:v>
                </c:pt>
                <c:pt idx="10">
                  <c:v>0.16453668289002157</c:v>
                </c:pt>
                <c:pt idx="11">
                  <c:v>0.15866547927709446</c:v>
                </c:pt>
                <c:pt idx="12">
                  <c:v>0.15833750027175686</c:v>
                </c:pt>
                <c:pt idx="13">
                  <c:v>0.13762254024656648</c:v>
                </c:pt>
              </c:numCache>
            </c:numRef>
          </c:val>
          <c:smooth val="0"/>
          <c:extLst>
            <c:ext xmlns:c16="http://schemas.microsoft.com/office/drawing/2014/chart" uri="{C3380CC4-5D6E-409C-BE32-E72D297353CC}">
              <c16:uniqueId val="{00000002-32C9-4709-8FF6-26793E8D1AD6}"/>
            </c:ext>
          </c:extLst>
        </c:ser>
        <c:ser>
          <c:idx val="3"/>
          <c:order val="3"/>
          <c:tx>
            <c:strRef>
              <c:f>Figuur_4e!$U$19</c:f>
              <c:strCache>
                <c:ptCount val="1"/>
                <c:pt idx="0">
                  <c:v>25 tot 30 uur</c:v>
                </c:pt>
              </c:strCache>
            </c:strRef>
          </c:tx>
          <c:spPr>
            <a:ln w="19050" cap="rnd">
              <a:solidFill>
                <a:srgbClr val="FF00FF"/>
              </a:solidFill>
              <a:round/>
            </a:ln>
            <a:effectLst/>
          </c:spPr>
          <c:marker>
            <c:symbol val="none"/>
          </c:marker>
          <c:cat>
            <c:numRef>
              <c:f>Figuur_4e!$V$15:$AI$15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Figuur_4e!$V$19:$AI$19</c:f>
              <c:numCache>
                <c:formatCode>0%</c:formatCode>
                <c:ptCount val="14"/>
                <c:pt idx="0">
                  <c:v>0.14727483814285267</c:v>
                </c:pt>
                <c:pt idx="1">
                  <c:v>0.12879832534529451</c:v>
                </c:pt>
                <c:pt idx="2">
                  <c:v>0.13095238095238096</c:v>
                </c:pt>
                <c:pt idx="3">
                  <c:v>0.14927460330586106</c:v>
                </c:pt>
                <c:pt idx="4">
                  <c:v>0.15503418514100353</c:v>
                </c:pt>
                <c:pt idx="5">
                  <c:v>0.16056977833825103</c:v>
                </c:pt>
                <c:pt idx="6">
                  <c:v>0.16386884646999725</c:v>
                </c:pt>
                <c:pt idx="7">
                  <c:v>0.16727496925007262</c:v>
                </c:pt>
                <c:pt idx="8">
                  <c:v>0.14471042540876863</c:v>
                </c:pt>
                <c:pt idx="9">
                  <c:v>0.14405393437141334</c:v>
                </c:pt>
                <c:pt idx="10">
                  <c:v>0.1657278706211836</c:v>
                </c:pt>
                <c:pt idx="11">
                  <c:v>0.15986062349866695</c:v>
                </c:pt>
                <c:pt idx="12">
                  <c:v>0.15703331885739649</c:v>
                </c:pt>
                <c:pt idx="13">
                  <c:v>0.1378248735986681</c:v>
                </c:pt>
              </c:numCache>
            </c:numRef>
          </c:val>
          <c:smooth val="0"/>
          <c:extLst>
            <c:ext xmlns:c16="http://schemas.microsoft.com/office/drawing/2014/chart" uri="{C3380CC4-5D6E-409C-BE32-E72D297353CC}">
              <c16:uniqueId val="{00000003-32C9-4709-8FF6-26793E8D1AD6}"/>
            </c:ext>
          </c:extLst>
        </c:ser>
        <c:ser>
          <c:idx val="4"/>
          <c:order val="4"/>
          <c:tx>
            <c:strRef>
              <c:f>Figuur_4e!$U$20</c:f>
              <c:strCache>
                <c:ptCount val="1"/>
                <c:pt idx="0">
                  <c:v>30 tot 35 uur</c:v>
                </c:pt>
              </c:strCache>
            </c:strRef>
          </c:tx>
          <c:spPr>
            <a:ln w="19050" cap="rnd">
              <a:solidFill>
                <a:srgbClr val="FF0000"/>
              </a:solidFill>
              <a:round/>
            </a:ln>
            <a:effectLst/>
          </c:spPr>
          <c:marker>
            <c:symbol val="none"/>
          </c:marker>
          <c:cat>
            <c:numRef>
              <c:f>Figuur_4e!$V$15:$AI$15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Figuur_4e!$V$20:$AI$20</c:f>
              <c:numCache>
                <c:formatCode>0%</c:formatCode>
                <c:ptCount val="14"/>
                <c:pt idx="0">
                  <c:v>0.14593193530031329</c:v>
                </c:pt>
                <c:pt idx="1">
                  <c:v>0.1208311264927735</c:v>
                </c:pt>
                <c:pt idx="2">
                  <c:v>0.13532320476825763</c:v>
                </c:pt>
                <c:pt idx="3">
                  <c:v>0.15158467935370445</c:v>
                </c:pt>
                <c:pt idx="4">
                  <c:v>0.15567528626293067</c:v>
                </c:pt>
                <c:pt idx="5">
                  <c:v>0.16370300856445594</c:v>
                </c:pt>
                <c:pt idx="6">
                  <c:v>0.16722289020728726</c:v>
                </c:pt>
                <c:pt idx="7">
                  <c:v>0.17343173032501949</c:v>
                </c:pt>
                <c:pt idx="8">
                  <c:v>0.14999147106105171</c:v>
                </c:pt>
                <c:pt idx="9">
                  <c:v>0.14966660363241716</c:v>
                </c:pt>
                <c:pt idx="10">
                  <c:v>0.17061969628220849</c:v>
                </c:pt>
                <c:pt idx="11">
                  <c:v>0.16756113149878119</c:v>
                </c:pt>
                <c:pt idx="12">
                  <c:v>0.15805493009955046</c:v>
                </c:pt>
                <c:pt idx="13">
                  <c:v>0.14283968887665199</c:v>
                </c:pt>
              </c:numCache>
            </c:numRef>
          </c:val>
          <c:smooth val="0"/>
          <c:extLst>
            <c:ext xmlns:c16="http://schemas.microsoft.com/office/drawing/2014/chart" uri="{C3380CC4-5D6E-409C-BE32-E72D297353CC}">
              <c16:uniqueId val="{00000004-32C9-4709-8FF6-26793E8D1AD6}"/>
            </c:ext>
          </c:extLst>
        </c:ser>
        <c:ser>
          <c:idx val="5"/>
          <c:order val="5"/>
          <c:tx>
            <c:strRef>
              <c:f>Figuur_4e!$U$21</c:f>
              <c:strCache>
                <c:ptCount val="1"/>
                <c:pt idx="0">
                  <c:v>35 uur of meer</c:v>
                </c:pt>
              </c:strCache>
            </c:strRef>
          </c:tx>
          <c:spPr>
            <a:ln w="19050" cap="rnd">
              <a:solidFill>
                <a:srgbClr val="FFCC66"/>
              </a:solidFill>
              <a:round/>
            </a:ln>
            <a:effectLst/>
          </c:spPr>
          <c:marker>
            <c:symbol val="none"/>
          </c:marker>
          <c:cat>
            <c:numRef>
              <c:f>Figuur_4e!$V$15:$AI$15</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Figuur_4e!$V$21:$AI$21</c:f>
              <c:numCache>
                <c:formatCode>0%</c:formatCode>
                <c:ptCount val="14"/>
                <c:pt idx="0">
                  <c:v>0.13874928652988824</c:v>
                </c:pt>
                <c:pt idx="1">
                  <c:v>0.12407775288856239</c:v>
                </c:pt>
                <c:pt idx="2">
                  <c:v>0.13333169128372702</c:v>
                </c:pt>
                <c:pt idx="3">
                  <c:v>0.13345876617959268</c:v>
                </c:pt>
                <c:pt idx="4">
                  <c:v>0.13726560060080131</c:v>
                </c:pt>
                <c:pt idx="5">
                  <c:v>0.15047047207195161</c:v>
                </c:pt>
                <c:pt idx="6">
                  <c:v>0.1531253595317604</c:v>
                </c:pt>
                <c:pt idx="7">
                  <c:v>0.16177237359741747</c:v>
                </c:pt>
                <c:pt idx="8">
                  <c:v>0.1352173717593548</c:v>
                </c:pt>
                <c:pt idx="9">
                  <c:v>0.13990974516684193</c:v>
                </c:pt>
                <c:pt idx="10">
                  <c:v>0.15690499079732287</c:v>
                </c:pt>
                <c:pt idx="11">
                  <c:v>0.14984710260521442</c:v>
                </c:pt>
                <c:pt idx="12">
                  <c:v>0.14016417895354247</c:v>
                </c:pt>
                <c:pt idx="13">
                  <c:v>0.13650627535468018</c:v>
                </c:pt>
              </c:numCache>
            </c:numRef>
          </c:val>
          <c:smooth val="0"/>
          <c:extLst>
            <c:ext xmlns:c16="http://schemas.microsoft.com/office/drawing/2014/chart" uri="{C3380CC4-5D6E-409C-BE32-E72D297353CC}">
              <c16:uniqueId val="{00000005-32C9-4709-8FF6-26793E8D1AD6}"/>
            </c:ext>
          </c:extLst>
        </c:ser>
        <c:dLbls>
          <c:showLegendKey val="0"/>
          <c:showVal val="0"/>
          <c:showCatName val="0"/>
          <c:showSerName val="0"/>
          <c:showPercent val="0"/>
          <c:showBubbleSize val="0"/>
        </c:dLbls>
        <c:smooth val="0"/>
        <c:axId val="1268011040"/>
        <c:axId val="1268029280"/>
      </c:lineChart>
      <c:catAx>
        <c:axId val="126801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autoZero"/>
        <c:crossBetween val="midCat"/>
      </c:valAx>
      <c:spPr>
        <a:noFill/>
        <a:ln>
          <a:noFill/>
        </a:ln>
        <a:effectLst/>
      </c:spPr>
    </c:plotArea>
    <c:legend>
      <c:legendPos val="b"/>
      <c:layout>
        <c:manualLayout>
          <c:xMode val="edge"/>
          <c:yMode val="edge"/>
          <c:x val="9.2604166666666668E-2"/>
          <c:y val="0.86936574074074058"/>
          <c:w val="0.88093749999999982"/>
          <c:h val="0.13063425925925926"/>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US" sz="900" b="1"/>
              <a:t>grootteklasse</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12424006479763802"/>
          <c:y val="0.10486991445581692"/>
          <c:w val="0.83023194444444426"/>
          <c:h val="0.64517841880341875"/>
        </c:manualLayout>
      </c:layout>
      <c:lineChart>
        <c:grouping val="standard"/>
        <c:varyColors val="0"/>
        <c:ser>
          <c:idx val="1"/>
          <c:order val="0"/>
          <c:tx>
            <c:strRef>
              <c:f>Figuur_4f!$U$14</c:f>
              <c:strCache>
                <c:ptCount val="1"/>
                <c:pt idx="0">
                  <c:v>Micro: &lt;10 werkenden</c:v>
                </c:pt>
              </c:strCache>
            </c:strRef>
          </c:tx>
          <c:spPr>
            <a:ln w="28575" cap="rnd">
              <a:solidFill>
                <a:srgbClr val="002060"/>
              </a:solidFill>
              <a:round/>
            </a:ln>
            <a:effectLst/>
          </c:spPr>
          <c:marker>
            <c:symbol val="none"/>
          </c:marker>
          <c:cat>
            <c:numRef>
              <c:f>Figuur_4f!$V$13:$AI$13</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Figuur_4f!$V$14:$AI$14</c:f>
              <c:numCache>
                <c:formatCode>0%</c:formatCode>
                <c:ptCount val="14"/>
                <c:pt idx="0">
                  <c:v>0.17871817828341174</c:v>
                </c:pt>
                <c:pt idx="1">
                  <c:v>0.17769767302855724</c:v>
                </c:pt>
                <c:pt idx="2">
                  <c:v>0.18881745940934852</c:v>
                </c:pt>
                <c:pt idx="3">
                  <c:v>0.18575126509705372</c:v>
                </c:pt>
                <c:pt idx="4">
                  <c:v>0.19394508026371141</c:v>
                </c:pt>
                <c:pt idx="5">
                  <c:v>0.20415049285020131</c:v>
                </c:pt>
                <c:pt idx="6">
                  <c:v>0.21483342578392664</c:v>
                </c:pt>
                <c:pt idx="7">
                  <c:v>0.22265660328603112</c:v>
                </c:pt>
                <c:pt idx="8">
                  <c:v>0.19072564349873644</c:v>
                </c:pt>
                <c:pt idx="9">
                  <c:v>0.19904206603653438</c:v>
                </c:pt>
                <c:pt idx="10">
                  <c:v>0.2200848186407571</c:v>
                </c:pt>
                <c:pt idx="11">
                  <c:v>0.20648148345795808</c:v>
                </c:pt>
                <c:pt idx="12">
                  <c:v>0.19688315828895805</c:v>
                </c:pt>
                <c:pt idx="13">
                  <c:v>0.19596439847170927</c:v>
                </c:pt>
              </c:numCache>
            </c:numRef>
          </c:val>
          <c:smooth val="0"/>
          <c:extLst>
            <c:ext xmlns:c16="http://schemas.microsoft.com/office/drawing/2014/chart" uri="{C3380CC4-5D6E-409C-BE32-E72D297353CC}">
              <c16:uniqueId val="{00000000-CFE7-49FC-B9FA-8FF9EABB7AD6}"/>
            </c:ext>
          </c:extLst>
        </c:ser>
        <c:ser>
          <c:idx val="2"/>
          <c:order val="1"/>
          <c:tx>
            <c:strRef>
              <c:f>Figuur_4f!$U$15</c:f>
              <c:strCache>
                <c:ptCount val="1"/>
                <c:pt idx="0">
                  <c:v>Klein: 10-49 werkenden</c:v>
                </c:pt>
              </c:strCache>
            </c:strRef>
          </c:tx>
          <c:spPr>
            <a:ln w="28575" cap="rnd">
              <a:solidFill>
                <a:srgbClr val="00B0F0"/>
              </a:solidFill>
              <a:round/>
            </a:ln>
            <a:effectLst/>
          </c:spPr>
          <c:marker>
            <c:symbol val="none"/>
          </c:marker>
          <c:cat>
            <c:numRef>
              <c:f>Figuur_4f!$V$13:$AI$13</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Figuur_4f!$V$15:$AI$15</c:f>
              <c:numCache>
                <c:formatCode>0%</c:formatCode>
                <c:ptCount val="14"/>
                <c:pt idx="0">
                  <c:v>0.16624364642893755</c:v>
                </c:pt>
                <c:pt idx="1">
                  <c:v>0.15788111128936014</c:v>
                </c:pt>
                <c:pt idx="2">
                  <c:v>0.16381869838285629</c:v>
                </c:pt>
                <c:pt idx="3">
                  <c:v>0.17140394095150063</c:v>
                </c:pt>
                <c:pt idx="4">
                  <c:v>0.17907584868521847</c:v>
                </c:pt>
                <c:pt idx="5">
                  <c:v>0.18727471507243362</c:v>
                </c:pt>
                <c:pt idx="6">
                  <c:v>0.19681692627036923</c:v>
                </c:pt>
                <c:pt idx="7">
                  <c:v>0.19850603123611099</c:v>
                </c:pt>
                <c:pt idx="8">
                  <c:v>0.17068932450281959</c:v>
                </c:pt>
                <c:pt idx="9">
                  <c:v>0.18655031193784208</c:v>
                </c:pt>
                <c:pt idx="10">
                  <c:v>0.20538692701988906</c:v>
                </c:pt>
                <c:pt idx="11">
                  <c:v>0.20143018912963109</c:v>
                </c:pt>
                <c:pt idx="12">
                  <c:v>0.18948447947285119</c:v>
                </c:pt>
                <c:pt idx="13">
                  <c:v>0.18778841505262822</c:v>
                </c:pt>
              </c:numCache>
            </c:numRef>
          </c:val>
          <c:smooth val="0"/>
          <c:extLst>
            <c:ext xmlns:c16="http://schemas.microsoft.com/office/drawing/2014/chart" uri="{C3380CC4-5D6E-409C-BE32-E72D297353CC}">
              <c16:uniqueId val="{00000001-CFE7-49FC-B9FA-8FF9EABB7AD6}"/>
            </c:ext>
          </c:extLst>
        </c:ser>
        <c:ser>
          <c:idx val="0"/>
          <c:order val="2"/>
          <c:tx>
            <c:strRef>
              <c:f>Figuur_4f!$U$16</c:f>
              <c:strCache>
                <c:ptCount val="1"/>
                <c:pt idx="0">
                  <c:v>Middel: 50-249 werkenden</c:v>
                </c:pt>
              </c:strCache>
            </c:strRef>
          </c:tx>
          <c:spPr>
            <a:ln w="28575" cap="rnd">
              <a:solidFill>
                <a:schemeClr val="accent3">
                  <a:lumMod val="60000"/>
                  <a:lumOff val="40000"/>
                </a:schemeClr>
              </a:solidFill>
              <a:round/>
            </a:ln>
            <a:effectLst/>
          </c:spPr>
          <c:marker>
            <c:symbol val="none"/>
          </c:marker>
          <c:cat>
            <c:numRef>
              <c:f>Figuur_4f!$V$13:$AI$13</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Figuur_4f!$V$16:$AI$16</c:f>
              <c:numCache>
                <c:formatCode>0%</c:formatCode>
                <c:ptCount val="14"/>
                <c:pt idx="0">
                  <c:v>0.15485772563062422</c:v>
                </c:pt>
                <c:pt idx="1">
                  <c:v>0.14090269478754039</c:v>
                </c:pt>
                <c:pt idx="2">
                  <c:v>0.14559643600194905</c:v>
                </c:pt>
                <c:pt idx="3">
                  <c:v>0.1503090454000095</c:v>
                </c:pt>
                <c:pt idx="4">
                  <c:v>0.16265197284146274</c:v>
                </c:pt>
                <c:pt idx="5">
                  <c:v>0.16905005832378706</c:v>
                </c:pt>
                <c:pt idx="6">
                  <c:v>0.17793196044633947</c:v>
                </c:pt>
                <c:pt idx="7">
                  <c:v>0.17753558425273069</c:v>
                </c:pt>
                <c:pt idx="8">
                  <c:v>0.15678050783099759</c:v>
                </c:pt>
                <c:pt idx="9">
                  <c:v>0.16397579390779213</c:v>
                </c:pt>
                <c:pt idx="10">
                  <c:v>0.19115786482820735</c:v>
                </c:pt>
                <c:pt idx="11">
                  <c:v>0.18177664608774594</c:v>
                </c:pt>
                <c:pt idx="12">
                  <c:v>0.16794187010514702</c:v>
                </c:pt>
                <c:pt idx="13">
                  <c:v>0.16518716556137661</c:v>
                </c:pt>
              </c:numCache>
            </c:numRef>
          </c:val>
          <c:smooth val="0"/>
          <c:extLst>
            <c:ext xmlns:c16="http://schemas.microsoft.com/office/drawing/2014/chart" uri="{C3380CC4-5D6E-409C-BE32-E72D297353CC}">
              <c16:uniqueId val="{00000002-CFE7-49FC-B9FA-8FF9EABB7AD6}"/>
            </c:ext>
          </c:extLst>
        </c:ser>
        <c:ser>
          <c:idx val="3"/>
          <c:order val="3"/>
          <c:tx>
            <c:strRef>
              <c:f>Figuur_4f!$U$17</c:f>
              <c:strCache>
                <c:ptCount val="1"/>
                <c:pt idx="0">
                  <c:v>Groot: &gt;=250 werkenden</c:v>
                </c:pt>
              </c:strCache>
            </c:strRef>
          </c:tx>
          <c:spPr>
            <a:ln w="28575" cap="rnd">
              <a:solidFill>
                <a:srgbClr val="FF00FF"/>
              </a:solidFill>
              <a:round/>
            </a:ln>
            <a:effectLst/>
          </c:spPr>
          <c:marker>
            <c:symbol val="none"/>
          </c:marker>
          <c:cat>
            <c:numRef>
              <c:f>Figuur_4f!$V$13:$AI$13</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Figuur_4f!$V$17:$AI$17</c:f>
              <c:numCache>
                <c:formatCode>0%</c:formatCode>
                <c:ptCount val="14"/>
                <c:pt idx="0">
                  <c:v>0.15198664499532646</c:v>
                </c:pt>
                <c:pt idx="1">
                  <c:v>0.13009085686226909</c:v>
                </c:pt>
                <c:pt idx="2">
                  <c:v>0.13836986263508472</c:v>
                </c:pt>
                <c:pt idx="3">
                  <c:v>0.1577610691726235</c:v>
                </c:pt>
                <c:pt idx="4">
                  <c:v>0.16211060855889345</c:v>
                </c:pt>
                <c:pt idx="5">
                  <c:v>0.16929891888695942</c:v>
                </c:pt>
                <c:pt idx="6">
                  <c:v>0.16665635857797639</c:v>
                </c:pt>
                <c:pt idx="7">
                  <c:v>0.17364644729012277</c:v>
                </c:pt>
                <c:pt idx="8">
                  <c:v>0.15046602432818298</c:v>
                </c:pt>
                <c:pt idx="9">
                  <c:v>0.15057555216575388</c:v>
                </c:pt>
                <c:pt idx="10">
                  <c:v>0.1646257148200089</c:v>
                </c:pt>
                <c:pt idx="11">
                  <c:v>0.15910636424531144</c:v>
                </c:pt>
                <c:pt idx="12">
                  <c:v>0.15665835851223528</c:v>
                </c:pt>
                <c:pt idx="13">
                  <c:v>0.14146006409222597</c:v>
                </c:pt>
              </c:numCache>
            </c:numRef>
          </c:val>
          <c:smooth val="0"/>
          <c:extLst>
            <c:ext xmlns:c16="http://schemas.microsoft.com/office/drawing/2014/chart" uri="{C3380CC4-5D6E-409C-BE32-E72D297353CC}">
              <c16:uniqueId val="{00000003-CFE7-49FC-B9FA-8FF9EABB7AD6}"/>
            </c:ext>
          </c:extLst>
        </c:ser>
        <c:dLbls>
          <c:showLegendKey val="0"/>
          <c:showVal val="0"/>
          <c:showCatName val="0"/>
          <c:showSerName val="0"/>
          <c:showPercent val="0"/>
          <c:showBubbleSize val="0"/>
        </c:dLbls>
        <c:smooth val="0"/>
        <c:axId val="1268011040"/>
        <c:axId val="1268029280"/>
      </c:lineChart>
      <c:catAx>
        <c:axId val="126801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540000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max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autoZero"/>
        <c:crossBetween val="midCat"/>
      </c:valAx>
      <c:spPr>
        <a:noFill/>
        <a:ln>
          <a:noFill/>
        </a:ln>
        <a:effectLst/>
      </c:spPr>
    </c:plotArea>
    <c:legend>
      <c:legendPos val="b"/>
      <c:layout>
        <c:manualLayout>
          <c:xMode val="edge"/>
          <c:yMode val="edge"/>
          <c:x val="1.5371875000000005E-2"/>
          <c:y val="0.86936574074074058"/>
          <c:w val="0.98445243055555554"/>
          <c:h val="0.1080202991452991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95408496732026"/>
          <c:y val="2.7718253968253968E-2"/>
          <c:w val="0.75865408496732023"/>
          <c:h val="0.81102857142857121"/>
        </c:manualLayout>
      </c:layout>
      <c:barChart>
        <c:barDir val="bar"/>
        <c:grouping val="stacked"/>
        <c:varyColors val="0"/>
        <c:ser>
          <c:idx val="0"/>
          <c:order val="0"/>
          <c:tx>
            <c:strRef>
              <c:f>Figuur_5!$AP$3</c:f>
              <c:strCache>
                <c:ptCount val="1"/>
                <c:pt idx="0">
                  <c:v>baanstarters | baan-baanwisselaars</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Figuur_5!$AO$4:$AO$23</c:f>
              <c:strCache>
                <c:ptCount val="20"/>
                <c:pt idx="0">
                  <c:v>A Agrarisch</c:v>
                </c:pt>
                <c:pt idx="1">
                  <c:v>C* Industrie</c:v>
                </c:pt>
                <c:pt idx="2">
                  <c:v>D** Energie</c:v>
                </c:pt>
                <c:pt idx="3">
                  <c:v>F Bouwnijverheid</c:v>
                </c:pt>
                <c:pt idx="4">
                  <c:v>G Handel</c:v>
                </c:pt>
                <c:pt idx="5">
                  <c:v>H Vervoer &amp; Logistiek</c:v>
                </c:pt>
                <c:pt idx="6">
                  <c:v>I Horeca</c:v>
                </c:pt>
                <c:pt idx="7">
                  <c:v>J Media &amp; ICT</c:v>
                </c:pt>
                <c:pt idx="8">
                  <c:v>K Financieel</c:v>
                </c:pt>
                <c:pt idx="9">
                  <c:v>L Onroerend goed</c:v>
                </c:pt>
                <c:pt idx="10">
                  <c:v>M Zakelijk</c:v>
                </c:pt>
                <c:pt idx="11">
                  <c:v>N Facilitair</c:v>
                </c:pt>
                <c:pt idx="12">
                  <c:v>O Overheid</c:v>
                </c:pt>
                <c:pt idx="13">
                  <c:v>P Onderwijs</c:v>
                </c:pt>
                <c:pt idx="14">
                  <c:v>Q Zorg &amp; Welzijn</c:v>
                </c:pt>
                <c:pt idx="15">
                  <c:v>R Cultuur &amp; Recreatie</c:v>
                </c:pt>
                <c:pt idx="16">
                  <c:v>S Overig</c:v>
                </c:pt>
                <c:pt idx="17">
                  <c:v>78 Uitzend</c:v>
                </c:pt>
                <c:pt idx="19">
                  <c:v>Totaal</c:v>
                </c:pt>
              </c:strCache>
            </c:strRef>
          </c:cat>
          <c:val>
            <c:numRef>
              <c:f>Figuur_5!$AP$4:$AP$23</c:f>
              <c:numCache>
                <c:formatCode>0%</c:formatCode>
                <c:ptCount val="20"/>
                <c:pt idx="0">
                  <c:v>0.14235159817351598</c:v>
                </c:pt>
                <c:pt idx="1">
                  <c:v>0.12016194108599842</c:v>
                </c:pt>
                <c:pt idx="2">
                  <c:v>0.14994692799486556</c:v>
                </c:pt>
                <c:pt idx="3">
                  <c:v>0.15363555070376736</c:v>
                </c:pt>
                <c:pt idx="4">
                  <c:v>0.15476986202926324</c:v>
                </c:pt>
                <c:pt idx="5">
                  <c:v>0.14585655130105821</c:v>
                </c:pt>
                <c:pt idx="6">
                  <c:v>0.26099988742119484</c:v>
                </c:pt>
                <c:pt idx="7">
                  <c:v>0.14620319411149002</c:v>
                </c:pt>
                <c:pt idx="8">
                  <c:v>0.19841487002877767</c:v>
                </c:pt>
                <c:pt idx="9">
                  <c:v>0.16904457045302115</c:v>
                </c:pt>
                <c:pt idx="10">
                  <c:v>0.18224169585385741</c:v>
                </c:pt>
                <c:pt idx="11">
                  <c:v>0.18285801376890251</c:v>
                </c:pt>
                <c:pt idx="12">
                  <c:v>9.430854436250824E-2</c:v>
                </c:pt>
                <c:pt idx="13">
                  <c:v>9.737492357395329E-2</c:v>
                </c:pt>
                <c:pt idx="14">
                  <c:v>0.14093507939548361</c:v>
                </c:pt>
                <c:pt idx="15">
                  <c:v>0.18070657285827155</c:v>
                </c:pt>
                <c:pt idx="16">
                  <c:v>0.15024024569456598</c:v>
                </c:pt>
                <c:pt idx="17">
                  <c:v>0.30143990034079426</c:v>
                </c:pt>
                <c:pt idx="19">
                  <c:v>0.16059626077473155</c:v>
                </c:pt>
              </c:numCache>
            </c:numRef>
          </c:val>
          <c:extLst>
            <c:ext xmlns:c16="http://schemas.microsoft.com/office/drawing/2014/chart" uri="{C3380CC4-5D6E-409C-BE32-E72D297353CC}">
              <c16:uniqueId val="{00000000-6CA2-4CC5-8F43-2D610DDA78FB}"/>
            </c:ext>
          </c:extLst>
        </c:ser>
        <c:ser>
          <c:idx val="1"/>
          <c:order val="1"/>
          <c:tx>
            <c:strRef>
              <c:f>Figuur_5!$AQ$3</c:f>
              <c:strCache>
                <c:ptCount val="1"/>
                <c:pt idx="0">
                  <c:v>baanstarters | instromers</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Figuur_5!$AO$4:$AO$23</c:f>
              <c:strCache>
                <c:ptCount val="20"/>
                <c:pt idx="0">
                  <c:v>A Agrarisch</c:v>
                </c:pt>
                <c:pt idx="1">
                  <c:v>C* Industrie</c:v>
                </c:pt>
                <c:pt idx="2">
                  <c:v>D** Energie</c:v>
                </c:pt>
                <c:pt idx="3">
                  <c:v>F Bouwnijverheid</c:v>
                </c:pt>
                <c:pt idx="4">
                  <c:v>G Handel</c:v>
                </c:pt>
                <c:pt idx="5">
                  <c:v>H Vervoer &amp; Logistiek</c:v>
                </c:pt>
                <c:pt idx="6">
                  <c:v>I Horeca</c:v>
                </c:pt>
                <c:pt idx="7">
                  <c:v>J Media &amp; ICT</c:v>
                </c:pt>
                <c:pt idx="8">
                  <c:v>K Financieel</c:v>
                </c:pt>
                <c:pt idx="9">
                  <c:v>L Onroerend goed</c:v>
                </c:pt>
                <c:pt idx="10">
                  <c:v>M Zakelijk</c:v>
                </c:pt>
                <c:pt idx="11">
                  <c:v>N Facilitair</c:v>
                </c:pt>
                <c:pt idx="12">
                  <c:v>O Overheid</c:v>
                </c:pt>
                <c:pt idx="13">
                  <c:v>P Onderwijs</c:v>
                </c:pt>
                <c:pt idx="14">
                  <c:v>Q Zorg &amp; Welzijn</c:v>
                </c:pt>
                <c:pt idx="15">
                  <c:v>R Cultuur &amp; Recreatie</c:v>
                </c:pt>
                <c:pt idx="16">
                  <c:v>S Overig</c:v>
                </c:pt>
                <c:pt idx="17">
                  <c:v>78 Uitzend</c:v>
                </c:pt>
                <c:pt idx="19">
                  <c:v>Totaal</c:v>
                </c:pt>
              </c:strCache>
            </c:strRef>
          </c:cat>
          <c:val>
            <c:numRef>
              <c:f>Figuur_5!$AQ$4:$AQ$23</c:f>
              <c:numCache>
                <c:formatCode>0%</c:formatCode>
                <c:ptCount val="20"/>
                <c:pt idx="0">
                  <c:v>0.11681195516811956</c:v>
                </c:pt>
                <c:pt idx="1">
                  <c:v>4.1161175521239247E-2</c:v>
                </c:pt>
                <c:pt idx="2">
                  <c:v>3.7755177606082296E-2</c:v>
                </c:pt>
                <c:pt idx="3">
                  <c:v>5.8647280159799316E-2</c:v>
                </c:pt>
                <c:pt idx="4">
                  <c:v>0.10373807582788237</c:v>
                </c:pt>
                <c:pt idx="5">
                  <c:v>6.0889013854097437E-2</c:v>
                </c:pt>
                <c:pt idx="6">
                  <c:v>0.18456356949864905</c:v>
                </c:pt>
                <c:pt idx="7">
                  <c:v>6.613769119087011E-2</c:v>
                </c:pt>
                <c:pt idx="8">
                  <c:v>3.5575789026749072E-2</c:v>
                </c:pt>
                <c:pt idx="9">
                  <c:v>5.6231327358087925E-2</c:v>
                </c:pt>
                <c:pt idx="10">
                  <c:v>7.4239455234457699E-2</c:v>
                </c:pt>
                <c:pt idx="11">
                  <c:v>0.10248985175382512</c:v>
                </c:pt>
                <c:pt idx="12">
                  <c:v>2.6696393857312706E-2</c:v>
                </c:pt>
                <c:pt idx="13">
                  <c:v>4.8465871474000673E-2</c:v>
                </c:pt>
                <c:pt idx="14">
                  <c:v>5.9476677447493416E-2</c:v>
                </c:pt>
                <c:pt idx="15">
                  <c:v>0.12010233643101696</c:v>
                </c:pt>
                <c:pt idx="16">
                  <c:v>9.1161270082393539E-2</c:v>
                </c:pt>
                <c:pt idx="17">
                  <c:v>0.24482360936965228</c:v>
                </c:pt>
                <c:pt idx="19">
                  <c:v>8.5923009922634186E-2</c:v>
                </c:pt>
              </c:numCache>
            </c:numRef>
          </c:val>
          <c:extLst>
            <c:ext xmlns:c16="http://schemas.microsoft.com/office/drawing/2014/chart" uri="{C3380CC4-5D6E-409C-BE32-E72D297353CC}">
              <c16:uniqueId val="{00000001-6CA2-4CC5-8F43-2D610DDA78FB}"/>
            </c:ext>
          </c:extLst>
        </c:ser>
        <c:dLbls>
          <c:showLegendKey val="0"/>
          <c:showVal val="0"/>
          <c:showCatName val="0"/>
          <c:showSerName val="0"/>
          <c:showPercent val="0"/>
          <c:showBubbleSize val="0"/>
        </c:dLbls>
        <c:gapWidth val="75"/>
        <c:overlap val="100"/>
        <c:axId val="1867974624"/>
        <c:axId val="1867975104"/>
      </c:barChart>
      <c:catAx>
        <c:axId val="1867974624"/>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crossAx val="1867975104"/>
        <c:crosses val="autoZero"/>
        <c:auto val="1"/>
        <c:lblAlgn val="ctr"/>
        <c:lblOffset val="100"/>
        <c:noMultiLvlLbl val="0"/>
      </c:catAx>
      <c:valAx>
        <c:axId val="1867975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crossAx val="1867974624"/>
        <c:crosses val="max"/>
        <c:crossBetween val="between"/>
        <c:majorUnit val="0.1"/>
      </c:valAx>
      <c:spPr>
        <a:noFill/>
        <a:ln>
          <a:noFill/>
        </a:ln>
        <a:effectLst/>
      </c:spPr>
    </c:plotArea>
    <c:legend>
      <c:legendPos val="b"/>
      <c:layout>
        <c:manualLayout>
          <c:xMode val="edge"/>
          <c:yMode val="edge"/>
          <c:x val="0"/>
          <c:y val="0.90960043678998581"/>
          <c:w val="0.61761493055555561"/>
          <c:h val="9.039960317460316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00">
          <a:solidFill>
            <a:sysClr val="windowText" lastClr="000000"/>
          </a:solidFill>
        </a:defRPr>
      </a:pPr>
      <a:endParaRPr lang="nl-N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95408496732026"/>
          <c:y val="2.7718253968253968E-2"/>
          <c:w val="0.75865408496732023"/>
          <c:h val="0.81102857142857121"/>
        </c:manualLayout>
      </c:layout>
      <c:barChart>
        <c:barDir val="bar"/>
        <c:grouping val="stacked"/>
        <c:varyColors val="0"/>
        <c:ser>
          <c:idx val="0"/>
          <c:order val="0"/>
          <c:tx>
            <c:strRef>
              <c:f>Figuur_5!$AP$30</c:f>
              <c:strCache>
                <c:ptCount val="1"/>
                <c:pt idx="0">
                  <c:v>baanbeëindigers | baan-baanwisselaars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ptos" panose="020B0004020202020204" pitchFamily="34" charset="0"/>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Figuur_5!$AO$31:$AO$50</c:f>
              <c:strCache>
                <c:ptCount val="20"/>
                <c:pt idx="0">
                  <c:v>A Agrarisch</c:v>
                </c:pt>
                <c:pt idx="1">
                  <c:v>C* Industrie</c:v>
                </c:pt>
                <c:pt idx="2">
                  <c:v>D** Energie</c:v>
                </c:pt>
                <c:pt idx="3">
                  <c:v>F Bouwnijverheid</c:v>
                </c:pt>
                <c:pt idx="4">
                  <c:v>G Handel</c:v>
                </c:pt>
                <c:pt idx="5">
                  <c:v>H Vervoer &amp; Logistiek</c:v>
                </c:pt>
                <c:pt idx="6">
                  <c:v>I Horeca</c:v>
                </c:pt>
                <c:pt idx="7">
                  <c:v>J Media &amp; ICT</c:v>
                </c:pt>
                <c:pt idx="8">
                  <c:v>K Financieel</c:v>
                </c:pt>
                <c:pt idx="9">
                  <c:v>L Onroerend goed</c:v>
                </c:pt>
                <c:pt idx="10">
                  <c:v>M Zakelijk</c:v>
                </c:pt>
                <c:pt idx="11">
                  <c:v>N Facilitair</c:v>
                </c:pt>
                <c:pt idx="12">
                  <c:v>O Overheid</c:v>
                </c:pt>
                <c:pt idx="13">
                  <c:v>P Onderwijs</c:v>
                </c:pt>
                <c:pt idx="14">
                  <c:v>Q Zorg &amp; Welzijn</c:v>
                </c:pt>
                <c:pt idx="15">
                  <c:v>R Cultuur &amp; Recreatie</c:v>
                </c:pt>
                <c:pt idx="16">
                  <c:v>S Overig</c:v>
                </c:pt>
                <c:pt idx="17">
                  <c:v>78 Uitzend</c:v>
                </c:pt>
                <c:pt idx="19">
                  <c:v>Totaal</c:v>
                </c:pt>
              </c:strCache>
            </c:strRef>
          </c:cat>
          <c:val>
            <c:numRef>
              <c:f>Figuur_5!$AP$31:$AP$50</c:f>
              <c:numCache>
                <c:formatCode>0%</c:formatCode>
                <c:ptCount val="20"/>
                <c:pt idx="0">
                  <c:v>0.14627075463410347</c:v>
                </c:pt>
                <c:pt idx="1">
                  <c:v>0.1005720198755234</c:v>
                </c:pt>
                <c:pt idx="2">
                  <c:v>9.7369408537453253E-2</c:v>
                </c:pt>
                <c:pt idx="3">
                  <c:v>0.12277562978794938</c:v>
                </c:pt>
                <c:pt idx="4">
                  <c:v>0.18901946415091009</c:v>
                </c:pt>
                <c:pt idx="5">
                  <c:v>0.12372887489595773</c:v>
                </c:pt>
                <c:pt idx="6">
                  <c:v>0.31230712423493079</c:v>
                </c:pt>
                <c:pt idx="7">
                  <c:v>0.15323974621571665</c:v>
                </c:pt>
                <c:pt idx="8">
                  <c:v>0.16919046222819148</c:v>
                </c:pt>
                <c:pt idx="9">
                  <c:v>0.12499801262381353</c:v>
                </c:pt>
                <c:pt idx="10">
                  <c:v>0.17182822598293826</c:v>
                </c:pt>
                <c:pt idx="11">
                  <c:v>0.17771910983831513</c:v>
                </c:pt>
                <c:pt idx="12">
                  <c:v>4.2062490349175231E-2</c:v>
                </c:pt>
                <c:pt idx="13">
                  <c:v>8.6168548838410658E-2</c:v>
                </c:pt>
                <c:pt idx="14">
                  <c:v>0.11680813761492595</c:v>
                </c:pt>
                <c:pt idx="15">
                  <c:v>0.18720923252393673</c:v>
                </c:pt>
                <c:pt idx="16">
                  <c:v>0.13285811212651719</c:v>
                </c:pt>
                <c:pt idx="17">
                  <c:v>0.34854214357097002</c:v>
                </c:pt>
                <c:pt idx="19">
                  <c:v>0.15934498948230474</c:v>
                </c:pt>
              </c:numCache>
            </c:numRef>
          </c:val>
          <c:extLst>
            <c:ext xmlns:c16="http://schemas.microsoft.com/office/drawing/2014/chart" uri="{C3380CC4-5D6E-409C-BE32-E72D297353CC}">
              <c16:uniqueId val="{00000000-B98D-4F3E-AF18-B8CB05746317}"/>
            </c:ext>
          </c:extLst>
        </c:ser>
        <c:ser>
          <c:idx val="1"/>
          <c:order val="1"/>
          <c:tx>
            <c:strRef>
              <c:f>Figuur_5!$AQ$30</c:f>
              <c:strCache>
                <c:ptCount val="1"/>
                <c:pt idx="0">
                  <c:v>baanbeëindigers | uitstromers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ptos" panose="020B0004020202020204" pitchFamily="34" charset="0"/>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Figuur_5!$AO$31:$AO$50</c:f>
              <c:strCache>
                <c:ptCount val="20"/>
                <c:pt idx="0">
                  <c:v>A Agrarisch</c:v>
                </c:pt>
                <c:pt idx="1">
                  <c:v>C* Industrie</c:v>
                </c:pt>
                <c:pt idx="2">
                  <c:v>D** Energie</c:v>
                </c:pt>
                <c:pt idx="3">
                  <c:v>F Bouwnijverheid</c:v>
                </c:pt>
                <c:pt idx="4">
                  <c:v>G Handel</c:v>
                </c:pt>
                <c:pt idx="5">
                  <c:v>H Vervoer &amp; Logistiek</c:v>
                </c:pt>
                <c:pt idx="6">
                  <c:v>I Horeca</c:v>
                </c:pt>
                <c:pt idx="7">
                  <c:v>J Media &amp; ICT</c:v>
                </c:pt>
                <c:pt idx="8">
                  <c:v>K Financieel</c:v>
                </c:pt>
                <c:pt idx="9">
                  <c:v>L Onroerend goed</c:v>
                </c:pt>
                <c:pt idx="10">
                  <c:v>M Zakelijk</c:v>
                </c:pt>
                <c:pt idx="11">
                  <c:v>N Facilitair</c:v>
                </c:pt>
                <c:pt idx="12">
                  <c:v>O Overheid</c:v>
                </c:pt>
                <c:pt idx="13">
                  <c:v>P Onderwijs</c:v>
                </c:pt>
                <c:pt idx="14">
                  <c:v>Q Zorg &amp; Welzijn</c:v>
                </c:pt>
                <c:pt idx="15">
                  <c:v>R Cultuur &amp; Recreatie</c:v>
                </c:pt>
                <c:pt idx="16">
                  <c:v>S Overig</c:v>
                </c:pt>
                <c:pt idx="17">
                  <c:v>78 Uitzend</c:v>
                </c:pt>
                <c:pt idx="19">
                  <c:v>Totaal</c:v>
                </c:pt>
              </c:strCache>
            </c:strRef>
          </c:cat>
          <c:val>
            <c:numRef>
              <c:f>Figuur_5!$AQ$31:$AQ$50</c:f>
              <c:numCache>
                <c:formatCode>0%</c:formatCode>
                <c:ptCount val="20"/>
                <c:pt idx="0">
                  <c:v>0.16053178716799907</c:v>
                </c:pt>
                <c:pt idx="1">
                  <c:v>6.4475735596644115E-2</c:v>
                </c:pt>
                <c:pt idx="2">
                  <c:v>5.5199720507744264E-2</c:v>
                </c:pt>
                <c:pt idx="3">
                  <c:v>6.1594942484570495E-2</c:v>
                </c:pt>
                <c:pt idx="4">
                  <c:v>0.10155660231592051</c:v>
                </c:pt>
                <c:pt idx="5">
                  <c:v>7.6970599335163439E-2</c:v>
                </c:pt>
                <c:pt idx="6">
                  <c:v>0.15969162256212863</c:v>
                </c:pt>
                <c:pt idx="7">
                  <c:v>7.6321793142495542E-2</c:v>
                </c:pt>
                <c:pt idx="8">
                  <c:v>5.4583975711029346E-2</c:v>
                </c:pt>
                <c:pt idx="9">
                  <c:v>6.5726505238723629E-2</c:v>
                </c:pt>
                <c:pt idx="10">
                  <c:v>7.7657291200285916E-2</c:v>
                </c:pt>
                <c:pt idx="11">
                  <c:v>0.1070714754489589</c:v>
                </c:pt>
                <c:pt idx="12">
                  <c:v>4.3453887520056932E-2</c:v>
                </c:pt>
                <c:pt idx="13">
                  <c:v>6.7345635609637106E-2</c:v>
                </c:pt>
                <c:pt idx="14">
                  <c:v>6.2254539991467808E-2</c:v>
                </c:pt>
                <c:pt idx="15">
                  <c:v>0.11512891316745205</c:v>
                </c:pt>
                <c:pt idx="16">
                  <c:v>9.8129549433336405E-2</c:v>
                </c:pt>
                <c:pt idx="17">
                  <c:v>0.23403745135389933</c:v>
                </c:pt>
                <c:pt idx="19">
                  <c:v>9.3044958411559922E-2</c:v>
                </c:pt>
              </c:numCache>
            </c:numRef>
          </c:val>
          <c:extLst>
            <c:ext xmlns:c16="http://schemas.microsoft.com/office/drawing/2014/chart" uri="{C3380CC4-5D6E-409C-BE32-E72D297353CC}">
              <c16:uniqueId val="{00000001-B98D-4F3E-AF18-B8CB05746317}"/>
            </c:ext>
          </c:extLst>
        </c:ser>
        <c:dLbls>
          <c:showLegendKey val="0"/>
          <c:showVal val="0"/>
          <c:showCatName val="0"/>
          <c:showSerName val="0"/>
          <c:showPercent val="0"/>
          <c:showBubbleSize val="0"/>
        </c:dLbls>
        <c:gapWidth val="75"/>
        <c:overlap val="100"/>
        <c:axId val="1867974624"/>
        <c:axId val="1867975104"/>
      </c:barChart>
      <c:catAx>
        <c:axId val="1867974624"/>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Aptos" panose="020B0004020202020204" pitchFamily="34" charset="0"/>
                <a:ea typeface="+mn-ea"/>
                <a:cs typeface="+mn-cs"/>
              </a:defRPr>
            </a:pPr>
            <a:endParaRPr lang="nl-NL"/>
          </a:p>
        </c:txPr>
        <c:crossAx val="1867975104"/>
        <c:crosses val="autoZero"/>
        <c:auto val="1"/>
        <c:lblAlgn val="ctr"/>
        <c:lblOffset val="100"/>
        <c:noMultiLvlLbl val="0"/>
      </c:catAx>
      <c:valAx>
        <c:axId val="1867975104"/>
        <c:scaling>
          <c:orientation val="minMax"/>
          <c:max val="0.60000000000000009"/>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Aptos" panose="020B0004020202020204" pitchFamily="34" charset="0"/>
                <a:ea typeface="+mn-ea"/>
                <a:cs typeface="+mn-cs"/>
              </a:defRPr>
            </a:pPr>
            <a:endParaRPr lang="nl-NL"/>
          </a:p>
        </c:txPr>
        <c:crossAx val="1867974624"/>
        <c:crosses val="max"/>
        <c:crossBetween val="between"/>
        <c:majorUnit val="0.1"/>
      </c:valAx>
      <c:spPr>
        <a:noFill/>
        <a:ln>
          <a:noFill/>
        </a:ln>
        <a:effectLst/>
      </c:spPr>
    </c:plotArea>
    <c:legend>
      <c:legendPos val="b"/>
      <c:layout>
        <c:manualLayout>
          <c:xMode val="edge"/>
          <c:yMode val="edge"/>
          <c:x val="0"/>
          <c:y val="0.90960032524515133"/>
          <c:w val="0.63611230459422585"/>
          <c:h val="9.039960317460316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ptos" panose="020B0004020202020204" pitchFamily="34" charset="0"/>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00">
          <a:solidFill>
            <a:sysClr val="windowText" lastClr="000000"/>
          </a:solidFill>
          <a:latin typeface="Aptos" panose="020B0004020202020204" pitchFamily="34" charset="0"/>
        </a:defRPr>
      </a:pPr>
      <a:endParaRPr lang="nl-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329097222222223"/>
          <c:y val="2.7718253968253968E-2"/>
          <c:w val="0.78731736111111106"/>
          <c:h val="0.81102857142857121"/>
        </c:manualLayout>
      </c:layout>
      <c:barChart>
        <c:barDir val="bar"/>
        <c:grouping val="clustered"/>
        <c:varyColors val="0"/>
        <c:ser>
          <c:idx val="1"/>
          <c:order val="0"/>
          <c:tx>
            <c:strRef>
              <c:f>Figuur_7!$E$59</c:f>
              <c:strCache>
                <c:ptCount val="1"/>
                <c:pt idx="0">
                  <c:v>Intersectorale baan-baan-wisselaars | uitstromend</c:v>
                </c:pt>
              </c:strCache>
            </c:strRef>
          </c:tx>
          <c:spPr>
            <a:solidFill>
              <a:srgbClr val="00B0F0"/>
            </a:solidFill>
            <a:ln>
              <a:noFill/>
            </a:ln>
            <a:effectLst/>
          </c:spPr>
          <c:invertIfNegative val="0"/>
          <c:cat>
            <c:strRef>
              <c:f>Figuur_7!$C$60:$C$79</c:f>
              <c:strCache>
                <c:ptCount val="20"/>
                <c:pt idx="0">
                  <c:v>A Agrarisch</c:v>
                </c:pt>
                <c:pt idx="1">
                  <c:v>C* Industrie</c:v>
                </c:pt>
                <c:pt idx="2">
                  <c:v>D** Energie</c:v>
                </c:pt>
                <c:pt idx="3">
                  <c:v>F Bouwnijverheid</c:v>
                </c:pt>
                <c:pt idx="4">
                  <c:v>G Handel</c:v>
                </c:pt>
                <c:pt idx="5">
                  <c:v>H Vervoer &amp; Logistiek</c:v>
                </c:pt>
                <c:pt idx="6">
                  <c:v>I Horeca</c:v>
                </c:pt>
                <c:pt idx="7">
                  <c:v>J Media &amp; ICT</c:v>
                </c:pt>
                <c:pt idx="8">
                  <c:v>K Financieel</c:v>
                </c:pt>
                <c:pt idx="9">
                  <c:v>L Onroerend goed</c:v>
                </c:pt>
                <c:pt idx="10">
                  <c:v>M Zakelijk</c:v>
                </c:pt>
                <c:pt idx="11">
                  <c:v>N Facilitair</c:v>
                </c:pt>
                <c:pt idx="12">
                  <c:v>O Overheid</c:v>
                </c:pt>
                <c:pt idx="13">
                  <c:v>P Onderwijs</c:v>
                </c:pt>
                <c:pt idx="14">
                  <c:v>Q Zorg &amp; Welzijn</c:v>
                </c:pt>
                <c:pt idx="15">
                  <c:v>R Cultuur &amp; Recreatie</c:v>
                </c:pt>
                <c:pt idx="16">
                  <c:v>S Overig</c:v>
                </c:pt>
                <c:pt idx="17">
                  <c:v>78 Uitzend</c:v>
                </c:pt>
                <c:pt idx="19">
                  <c:v>Totaal</c:v>
                </c:pt>
              </c:strCache>
            </c:strRef>
          </c:cat>
          <c:val>
            <c:numRef>
              <c:f>Figuur_7!$E$60:$E$79</c:f>
              <c:numCache>
                <c:formatCode>0%</c:formatCode>
                <c:ptCount val="20"/>
                <c:pt idx="0">
                  <c:v>0.6687354020687355</c:v>
                </c:pt>
                <c:pt idx="1">
                  <c:v>0.62869417688266205</c:v>
                </c:pt>
                <c:pt idx="2">
                  <c:v>0.82272425249169434</c:v>
                </c:pt>
                <c:pt idx="3">
                  <c:v>0.49325183374083131</c:v>
                </c:pt>
                <c:pt idx="4">
                  <c:v>0.61817679321445396</c:v>
                </c:pt>
                <c:pt idx="5">
                  <c:v>0.58647056365687544</c:v>
                </c:pt>
                <c:pt idx="6">
                  <c:v>0.60144314827022838</c:v>
                </c:pt>
                <c:pt idx="7">
                  <c:v>0.62289452522222943</c:v>
                </c:pt>
                <c:pt idx="8">
                  <c:v>0.29385621645796062</c:v>
                </c:pt>
                <c:pt idx="9">
                  <c:v>0.70897990333248539</c:v>
                </c:pt>
                <c:pt idx="10">
                  <c:v>0.62379210824579656</c:v>
                </c:pt>
                <c:pt idx="11">
                  <c:v>0.67786403692824182</c:v>
                </c:pt>
                <c:pt idx="12">
                  <c:v>0.46494553289972462</c:v>
                </c:pt>
                <c:pt idx="13">
                  <c:v>0.46482098251457116</c:v>
                </c:pt>
                <c:pt idx="14">
                  <c:v>0.28383010477398063</c:v>
                </c:pt>
                <c:pt idx="15">
                  <c:v>0.80516253156439133</c:v>
                </c:pt>
                <c:pt idx="16">
                  <c:v>0.74932223693335853</c:v>
                </c:pt>
                <c:pt idx="17">
                  <c:v>0.63230807359991792</c:v>
                </c:pt>
                <c:pt idx="19">
                  <c:v>0.56537723845876298</c:v>
                </c:pt>
              </c:numCache>
            </c:numRef>
          </c:val>
          <c:extLst>
            <c:ext xmlns:c16="http://schemas.microsoft.com/office/drawing/2014/chart" uri="{C3380CC4-5D6E-409C-BE32-E72D297353CC}">
              <c16:uniqueId val="{00000000-85B0-4001-BE10-9F320FC258E6}"/>
            </c:ext>
          </c:extLst>
        </c:ser>
        <c:ser>
          <c:idx val="0"/>
          <c:order val="1"/>
          <c:tx>
            <c:strRef>
              <c:f>Figuur_7!$D$59</c:f>
              <c:strCache>
                <c:ptCount val="1"/>
                <c:pt idx="0">
                  <c:v>Intersectorale baan-baan-wisselaars | instromend</c:v>
                </c:pt>
              </c:strCache>
            </c:strRef>
          </c:tx>
          <c:spPr>
            <a:solidFill>
              <a:srgbClr val="002060"/>
            </a:solidFill>
            <a:ln>
              <a:noFill/>
            </a:ln>
            <a:effectLst/>
          </c:spPr>
          <c:invertIfNegative val="0"/>
          <c:cat>
            <c:strRef>
              <c:f>Figuur_7!$C$60:$C$79</c:f>
              <c:strCache>
                <c:ptCount val="20"/>
                <c:pt idx="0">
                  <c:v>A Agrarisch</c:v>
                </c:pt>
                <c:pt idx="1">
                  <c:v>C* Industrie</c:v>
                </c:pt>
                <c:pt idx="2">
                  <c:v>D** Energie</c:v>
                </c:pt>
                <c:pt idx="3">
                  <c:v>F Bouwnijverheid</c:v>
                </c:pt>
                <c:pt idx="4">
                  <c:v>G Handel</c:v>
                </c:pt>
                <c:pt idx="5">
                  <c:v>H Vervoer &amp; Logistiek</c:v>
                </c:pt>
                <c:pt idx="6">
                  <c:v>I Horeca</c:v>
                </c:pt>
                <c:pt idx="7">
                  <c:v>J Media &amp; ICT</c:v>
                </c:pt>
                <c:pt idx="8">
                  <c:v>K Financieel</c:v>
                </c:pt>
                <c:pt idx="9">
                  <c:v>L Onroerend goed</c:v>
                </c:pt>
                <c:pt idx="10">
                  <c:v>M Zakelijk</c:v>
                </c:pt>
                <c:pt idx="11">
                  <c:v>N Facilitair</c:v>
                </c:pt>
                <c:pt idx="12">
                  <c:v>O Overheid</c:v>
                </c:pt>
                <c:pt idx="13">
                  <c:v>P Onderwijs</c:v>
                </c:pt>
                <c:pt idx="14">
                  <c:v>Q Zorg &amp; Welzijn</c:v>
                </c:pt>
                <c:pt idx="15">
                  <c:v>R Cultuur &amp; Recreatie</c:v>
                </c:pt>
                <c:pt idx="16">
                  <c:v>S Overig</c:v>
                </c:pt>
                <c:pt idx="17">
                  <c:v>78 Uitzend</c:v>
                </c:pt>
                <c:pt idx="19">
                  <c:v>Totaal</c:v>
                </c:pt>
              </c:strCache>
            </c:strRef>
          </c:cat>
          <c:val>
            <c:numRef>
              <c:f>Figuur_7!$D$60:$D$79</c:f>
              <c:numCache>
                <c:formatCode>0%</c:formatCode>
                <c:ptCount val="20"/>
                <c:pt idx="0">
                  <c:v>0.63811329007800532</c:v>
                </c:pt>
                <c:pt idx="1">
                  <c:v>0.68847001561208554</c:v>
                </c:pt>
                <c:pt idx="2">
                  <c:v>0.89019672401020666</c:v>
                </c:pt>
                <c:pt idx="3">
                  <c:v>0.60833002626755106</c:v>
                </c:pt>
                <c:pt idx="4">
                  <c:v>0.51026012282190825</c:v>
                </c:pt>
                <c:pt idx="5">
                  <c:v>0.65311415653149207</c:v>
                </c:pt>
                <c:pt idx="6">
                  <c:v>0.50017972358512608</c:v>
                </c:pt>
                <c:pt idx="7">
                  <c:v>0.59929331886099624</c:v>
                </c:pt>
                <c:pt idx="8">
                  <c:v>0.39932949736078754</c:v>
                </c:pt>
                <c:pt idx="9">
                  <c:v>0.79368800721370603</c:v>
                </c:pt>
                <c:pt idx="10">
                  <c:v>0.64781614727469605</c:v>
                </c:pt>
                <c:pt idx="11">
                  <c:v>0.68789006119005502</c:v>
                </c:pt>
                <c:pt idx="12">
                  <c:v>0.77062164288891166</c:v>
                </c:pt>
                <c:pt idx="13">
                  <c:v>0.52239415949917334</c:v>
                </c:pt>
                <c:pt idx="14">
                  <c:v>0.42288005084455749</c:v>
                </c:pt>
                <c:pt idx="15">
                  <c:v>0.79758484280657915</c:v>
                </c:pt>
                <c:pt idx="16">
                  <c:v>0.78151445213759752</c:v>
                </c:pt>
                <c:pt idx="17">
                  <c:v>0.53697306255986399</c:v>
                </c:pt>
                <c:pt idx="19">
                  <c:v>0.56537723845876298</c:v>
                </c:pt>
              </c:numCache>
            </c:numRef>
          </c:val>
          <c:extLst>
            <c:ext xmlns:c16="http://schemas.microsoft.com/office/drawing/2014/chart" uri="{C3380CC4-5D6E-409C-BE32-E72D297353CC}">
              <c16:uniqueId val="{00000001-85B0-4001-BE10-9F320FC258E6}"/>
            </c:ext>
          </c:extLst>
        </c:ser>
        <c:dLbls>
          <c:showLegendKey val="0"/>
          <c:showVal val="0"/>
          <c:showCatName val="0"/>
          <c:showSerName val="0"/>
          <c:showPercent val="0"/>
          <c:showBubbleSize val="0"/>
        </c:dLbls>
        <c:gapWidth val="75"/>
        <c:overlap val="50"/>
        <c:axId val="1867974624"/>
        <c:axId val="1867975104"/>
      </c:barChart>
      <c:catAx>
        <c:axId val="1867974624"/>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crossAx val="1867975104"/>
        <c:crosses val="autoZero"/>
        <c:auto val="1"/>
        <c:lblAlgn val="ctr"/>
        <c:lblOffset val="100"/>
        <c:noMultiLvlLbl val="0"/>
      </c:catAx>
      <c:valAx>
        <c:axId val="186797510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crossAx val="1867974624"/>
        <c:crosses val="max"/>
        <c:crossBetween val="between"/>
        <c:majorUnit val="0.1"/>
      </c:valAx>
      <c:spPr>
        <a:noFill/>
        <a:ln>
          <a:noFill/>
        </a:ln>
        <a:effectLst/>
      </c:spPr>
    </c:plotArea>
    <c:legend>
      <c:legendPos val="b"/>
      <c:layout>
        <c:manualLayout>
          <c:xMode val="edge"/>
          <c:yMode val="edge"/>
          <c:x val="0"/>
          <c:y val="0.91841990740740742"/>
          <c:w val="0.4940713858975036"/>
          <c:h val="7.9390580696126187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00">
          <a:solidFill>
            <a:sysClr val="windowText" lastClr="000000"/>
          </a:solidFill>
        </a:defRPr>
      </a:pPr>
      <a:endParaRPr lang="nl-N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931824528313999E-2"/>
          <c:y val="6.0814386034080001E-2"/>
          <c:w val="0.44549975703803957"/>
          <c:h val="0.84672939114584045"/>
        </c:manualLayout>
      </c:layout>
      <c:barChart>
        <c:barDir val="col"/>
        <c:grouping val="percentStacked"/>
        <c:varyColors val="0"/>
        <c:ser>
          <c:idx val="0"/>
          <c:order val="0"/>
          <c:tx>
            <c:strRef>
              <c:f>Figuur_Box!$B$39</c:f>
              <c:strCache>
                <c:ptCount val="1"/>
                <c:pt idx="0">
                  <c:v>Wilde zelf een nieuwe baan</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Figuur_Box!$C$38:$F$38</c:f>
              <c:numCache>
                <c:formatCode>General</c:formatCode>
                <c:ptCount val="4"/>
                <c:pt idx="0">
                  <c:v>2021</c:v>
                </c:pt>
                <c:pt idx="1">
                  <c:v>2022</c:v>
                </c:pt>
                <c:pt idx="2">
                  <c:v>2023</c:v>
                </c:pt>
                <c:pt idx="3">
                  <c:v>2024</c:v>
                </c:pt>
              </c:numCache>
            </c:numRef>
          </c:cat>
          <c:val>
            <c:numRef>
              <c:f>Figuur_Box!$C$39:$F$39</c:f>
              <c:numCache>
                <c:formatCode>0%</c:formatCode>
                <c:ptCount val="4"/>
                <c:pt idx="0">
                  <c:v>0.55008654192899031</c:v>
                </c:pt>
                <c:pt idx="1">
                  <c:v>0.56266195755674409</c:v>
                </c:pt>
                <c:pt idx="2">
                  <c:v>0.54699103198495147</c:v>
                </c:pt>
                <c:pt idx="3">
                  <c:v>0.53084426222887582</c:v>
                </c:pt>
              </c:numCache>
            </c:numRef>
          </c:val>
          <c:extLst>
            <c:ext xmlns:c16="http://schemas.microsoft.com/office/drawing/2014/chart" uri="{C3380CC4-5D6E-409C-BE32-E72D297353CC}">
              <c16:uniqueId val="{00000000-18BF-4F38-89CC-D30656B66A5D}"/>
            </c:ext>
          </c:extLst>
        </c:ser>
        <c:ser>
          <c:idx val="1"/>
          <c:order val="1"/>
          <c:tx>
            <c:strRef>
              <c:f>Figuur_Box!$B$40</c:f>
              <c:strCache>
                <c:ptCount val="1"/>
                <c:pt idx="0">
                  <c:v>Einde tijdelijk contract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Figuur_Box!$C$38:$F$38</c:f>
              <c:numCache>
                <c:formatCode>General</c:formatCode>
                <c:ptCount val="4"/>
                <c:pt idx="0">
                  <c:v>2021</c:v>
                </c:pt>
                <c:pt idx="1">
                  <c:v>2022</c:v>
                </c:pt>
                <c:pt idx="2">
                  <c:v>2023</c:v>
                </c:pt>
                <c:pt idx="3">
                  <c:v>2024</c:v>
                </c:pt>
              </c:numCache>
            </c:numRef>
          </c:cat>
          <c:val>
            <c:numRef>
              <c:f>Figuur_Box!$C$40:$F$40</c:f>
              <c:numCache>
                <c:formatCode>0%</c:formatCode>
                <c:ptCount val="4"/>
                <c:pt idx="0">
                  <c:v>0.12390038551505805</c:v>
                </c:pt>
                <c:pt idx="1">
                  <c:v>0.12061295503225031</c:v>
                </c:pt>
                <c:pt idx="2">
                  <c:v>0.11125770992890156</c:v>
                </c:pt>
                <c:pt idx="3">
                  <c:v>0.11261865546739931</c:v>
                </c:pt>
              </c:numCache>
            </c:numRef>
          </c:val>
          <c:extLst>
            <c:ext xmlns:c16="http://schemas.microsoft.com/office/drawing/2014/chart" uri="{C3380CC4-5D6E-409C-BE32-E72D297353CC}">
              <c16:uniqueId val="{00000001-18BF-4F38-89CC-D30656B66A5D}"/>
            </c:ext>
          </c:extLst>
        </c:ser>
        <c:ser>
          <c:idx val="2"/>
          <c:order val="2"/>
          <c:tx>
            <c:strRef>
              <c:f>Figuur_Box!$B$41</c:f>
              <c:strCache>
                <c:ptCount val="1"/>
                <c:pt idx="0">
                  <c:v>Faillissement of reorganisatie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Figuur_Box!$C$38:$F$38</c:f>
              <c:numCache>
                <c:formatCode>General</c:formatCode>
                <c:ptCount val="4"/>
                <c:pt idx="0">
                  <c:v>2021</c:v>
                </c:pt>
                <c:pt idx="1">
                  <c:v>2022</c:v>
                </c:pt>
                <c:pt idx="2">
                  <c:v>2023</c:v>
                </c:pt>
                <c:pt idx="3">
                  <c:v>2024</c:v>
                </c:pt>
              </c:numCache>
            </c:numRef>
          </c:cat>
          <c:val>
            <c:numRef>
              <c:f>Figuur_Box!$C$41:$F$41</c:f>
              <c:numCache>
                <c:formatCode>0%</c:formatCode>
                <c:ptCount val="4"/>
                <c:pt idx="0">
                  <c:v>4.2105626533412738E-2</c:v>
                </c:pt>
                <c:pt idx="1">
                  <c:v>3.7021168015402096E-2</c:v>
                </c:pt>
                <c:pt idx="2">
                  <c:v>5.5477167168003771E-2</c:v>
                </c:pt>
                <c:pt idx="3">
                  <c:v>5.8668671347643239E-2</c:v>
                </c:pt>
              </c:numCache>
            </c:numRef>
          </c:val>
          <c:extLst>
            <c:ext xmlns:c16="http://schemas.microsoft.com/office/drawing/2014/chart" uri="{C3380CC4-5D6E-409C-BE32-E72D297353CC}">
              <c16:uniqueId val="{00000002-18BF-4F38-89CC-D30656B66A5D}"/>
            </c:ext>
          </c:extLst>
        </c:ser>
        <c:ser>
          <c:idx val="3"/>
          <c:order val="3"/>
          <c:tx>
            <c:strRef>
              <c:f>Figuur_Box!$B$42</c:f>
              <c:strCache>
                <c:ptCount val="1"/>
                <c:pt idx="0">
                  <c:v>Opleiding</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Figuur_Box!$C$38:$F$38</c:f>
              <c:numCache>
                <c:formatCode>General</c:formatCode>
                <c:ptCount val="4"/>
                <c:pt idx="0">
                  <c:v>2021</c:v>
                </c:pt>
                <c:pt idx="1">
                  <c:v>2022</c:v>
                </c:pt>
                <c:pt idx="2">
                  <c:v>2023</c:v>
                </c:pt>
                <c:pt idx="3">
                  <c:v>2024</c:v>
                </c:pt>
              </c:numCache>
            </c:numRef>
          </c:cat>
          <c:val>
            <c:numRef>
              <c:f>Figuur_Box!$C$42:$F$42</c:f>
              <c:numCache>
                <c:formatCode>0%</c:formatCode>
                <c:ptCount val="4"/>
                <c:pt idx="0">
                  <c:v>9.5224048076954795E-2</c:v>
                </c:pt>
                <c:pt idx="1">
                  <c:v>7.6970588584156521E-2</c:v>
                </c:pt>
                <c:pt idx="2">
                  <c:v>7.8599984369643799E-2</c:v>
                </c:pt>
                <c:pt idx="3">
                  <c:v>8.9289660568506471E-2</c:v>
                </c:pt>
              </c:numCache>
            </c:numRef>
          </c:val>
          <c:extLst>
            <c:ext xmlns:c16="http://schemas.microsoft.com/office/drawing/2014/chart" uri="{C3380CC4-5D6E-409C-BE32-E72D297353CC}">
              <c16:uniqueId val="{00000003-18BF-4F38-89CC-D30656B66A5D}"/>
            </c:ext>
          </c:extLst>
        </c:ser>
        <c:ser>
          <c:idx val="4"/>
          <c:order val="4"/>
          <c:tx>
            <c:strRef>
              <c:f>Figuur_Box!$B$43</c:f>
              <c:strCache>
                <c:ptCount val="1"/>
                <c:pt idx="0">
                  <c:v>Hoge leeftijd of pensioen</c:v>
                </c:pt>
              </c:strCache>
            </c:strRef>
          </c:tx>
          <c:spPr>
            <a:solidFill>
              <a:schemeClr val="accent5"/>
            </a:solidFill>
            <a:ln>
              <a:noFill/>
            </a:ln>
            <a:effectLst/>
          </c:spPr>
          <c:invertIfNegative val="0"/>
          <c:cat>
            <c:numRef>
              <c:f>Figuur_Box!$C$38:$F$38</c:f>
              <c:numCache>
                <c:formatCode>General</c:formatCode>
                <c:ptCount val="4"/>
                <c:pt idx="0">
                  <c:v>2021</c:v>
                </c:pt>
                <c:pt idx="1">
                  <c:v>2022</c:v>
                </c:pt>
                <c:pt idx="2">
                  <c:v>2023</c:v>
                </c:pt>
                <c:pt idx="3">
                  <c:v>2024</c:v>
                </c:pt>
              </c:numCache>
            </c:numRef>
          </c:cat>
          <c:val>
            <c:numRef>
              <c:f>Figuur_Box!$C$43:$F$43</c:f>
              <c:numCache>
                <c:formatCode>0%</c:formatCode>
                <c:ptCount val="4"/>
                <c:pt idx="0">
                  <c:v>1.2409708729210036E-2</c:v>
                </c:pt>
                <c:pt idx="1">
                  <c:v>6.9513863970538303E-3</c:v>
                </c:pt>
                <c:pt idx="2">
                  <c:v>1.2038750489920896E-2</c:v>
                </c:pt>
                <c:pt idx="3">
                  <c:v>1.0199616318953251E-2</c:v>
                </c:pt>
              </c:numCache>
            </c:numRef>
          </c:val>
          <c:extLst>
            <c:ext xmlns:c16="http://schemas.microsoft.com/office/drawing/2014/chart" uri="{C3380CC4-5D6E-409C-BE32-E72D297353CC}">
              <c16:uniqueId val="{00000004-18BF-4F38-89CC-D30656B66A5D}"/>
            </c:ext>
          </c:extLst>
        </c:ser>
        <c:ser>
          <c:idx val="5"/>
          <c:order val="5"/>
          <c:tx>
            <c:strRef>
              <c:f>Figuur_Box!$B$44</c:f>
              <c:strCache>
                <c:ptCount val="1"/>
                <c:pt idx="0">
                  <c:v>Ziekte</c:v>
                </c:pt>
              </c:strCache>
            </c:strRef>
          </c:tx>
          <c:spPr>
            <a:solidFill>
              <a:srgbClr val="FF0000"/>
            </a:solidFill>
            <a:ln>
              <a:noFill/>
            </a:ln>
            <a:effectLst/>
          </c:spPr>
          <c:invertIfNegative val="0"/>
          <c:cat>
            <c:numRef>
              <c:f>Figuur_Box!$C$38:$F$38</c:f>
              <c:numCache>
                <c:formatCode>General</c:formatCode>
                <c:ptCount val="4"/>
                <c:pt idx="0">
                  <c:v>2021</c:v>
                </c:pt>
                <c:pt idx="1">
                  <c:v>2022</c:v>
                </c:pt>
                <c:pt idx="2">
                  <c:v>2023</c:v>
                </c:pt>
                <c:pt idx="3">
                  <c:v>2024</c:v>
                </c:pt>
              </c:numCache>
            </c:numRef>
          </c:cat>
          <c:val>
            <c:numRef>
              <c:f>Figuur_Box!$C$44:$F$44</c:f>
              <c:numCache>
                <c:formatCode>0%</c:formatCode>
                <c:ptCount val="4"/>
                <c:pt idx="0">
                  <c:v>1.0483438801445966E-2</c:v>
                </c:pt>
                <c:pt idx="1">
                  <c:v>7.2604836198480712E-3</c:v>
                </c:pt>
                <c:pt idx="2">
                  <c:v>9.5814027176702038E-3</c:v>
                </c:pt>
                <c:pt idx="3">
                  <c:v>1.2813182562789578E-2</c:v>
                </c:pt>
              </c:numCache>
            </c:numRef>
          </c:val>
          <c:extLst>
            <c:ext xmlns:c16="http://schemas.microsoft.com/office/drawing/2014/chart" uri="{C3380CC4-5D6E-409C-BE32-E72D297353CC}">
              <c16:uniqueId val="{00000005-18BF-4F38-89CC-D30656B66A5D}"/>
            </c:ext>
          </c:extLst>
        </c:ser>
        <c:ser>
          <c:idx val="6"/>
          <c:order val="6"/>
          <c:tx>
            <c:strRef>
              <c:f>Figuur_Box!$B$45</c:f>
              <c:strCache>
                <c:ptCount val="1"/>
                <c:pt idx="0">
                  <c:v>Zorgtaken</c:v>
                </c:pt>
              </c:strCache>
            </c:strRef>
          </c:tx>
          <c:spPr>
            <a:solidFill>
              <a:srgbClr val="FF00FF"/>
            </a:solidFill>
            <a:ln>
              <a:noFill/>
            </a:ln>
            <a:effectLst/>
          </c:spPr>
          <c:invertIfNegative val="0"/>
          <c:cat>
            <c:numRef>
              <c:f>Figuur_Box!$C$38:$F$38</c:f>
              <c:numCache>
                <c:formatCode>General</c:formatCode>
                <c:ptCount val="4"/>
                <c:pt idx="0">
                  <c:v>2021</c:v>
                </c:pt>
                <c:pt idx="1">
                  <c:v>2022</c:v>
                </c:pt>
                <c:pt idx="2">
                  <c:v>2023</c:v>
                </c:pt>
                <c:pt idx="3">
                  <c:v>2024</c:v>
                </c:pt>
              </c:numCache>
            </c:numRef>
          </c:cat>
          <c:val>
            <c:numRef>
              <c:f>Figuur_Box!$C$45:$F$45</c:f>
              <c:numCache>
                <c:formatCode>0%</c:formatCode>
                <c:ptCount val="4"/>
                <c:pt idx="0">
                  <c:v>2.0602165241155154E-3</c:v>
                </c:pt>
                <c:pt idx="1">
                  <c:v>6.0526046510254337E-3</c:v>
                </c:pt>
                <c:pt idx="2">
                  <c:v>6.1848094577862771E-3</c:v>
                </c:pt>
                <c:pt idx="3">
                  <c:v>2.5776778743198414E-3</c:v>
                </c:pt>
              </c:numCache>
            </c:numRef>
          </c:val>
          <c:extLst>
            <c:ext xmlns:c16="http://schemas.microsoft.com/office/drawing/2014/chart" uri="{C3380CC4-5D6E-409C-BE32-E72D297353CC}">
              <c16:uniqueId val="{00000006-18BF-4F38-89CC-D30656B66A5D}"/>
            </c:ext>
          </c:extLst>
        </c:ser>
        <c:ser>
          <c:idx val="7"/>
          <c:order val="7"/>
          <c:tx>
            <c:strRef>
              <c:f>Figuur_Box!$B$46</c:f>
              <c:strCache>
                <c:ptCount val="1"/>
                <c:pt idx="0">
                  <c:v>Andere reden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Figuur_Box!$C$38:$F$38</c:f>
              <c:numCache>
                <c:formatCode>General</c:formatCode>
                <c:ptCount val="4"/>
                <c:pt idx="0">
                  <c:v>2021</c:v>
                </c:pt>
                <c:pt idx="1">
                  <c:v>2022</c:v>
                </c:pt>
                <c:pt idx="2">
                  <c:v>2023</c:v>
                </c:pt>
                <c:pt idx="3">
                  <c:v>2024</c:v>
                </c:pt>
              </c:numCache>
            </c:numRef>
          </c:cat>
          <c:val>
            <c:numRef>
              <c:f>Figuur_Box!$C$46:$F$46</c:f>
              <c:numCache>
                <c:formatCode>0%</c:formatCode>
                <c:ptCount val="4"/>
                <c:pt idx="0">
                  <c:v>0.16373003389081264</c:v>
                </c:pt>
                <c:pt idx="1">
                  <c:v>0.18246885614351943</c:v>
                </c:pt>
                <c:pt idx="2">
                  <c:v>0.17986914388312206</c:v>
                </c:pt>
                <c:pt idx="3">
                  <c:v>0.18298827363151243</c:v>
                </c:pt>
              </c:numCache>
            </c:numRef>
          </c:val>
          <c:extLst>
            <c:ext xmlns:c16="http://schemas.microsoft.com/office/drawing/2014/chart" uri="{C3380CC4-5D6E-409C-BE32-E72D297353CC}">
              <c16:uniqueId val="{00000007-18BF-4F38-89CC-D30656B66A5D}"/>
            </c:ext>
          </c:extLst>
        </c:ser>
        <c:dLbls>
          <c:showLegendKey val="0"/>
          <c:showVal val="0"/>
          <c:showCatName val="0"/>
          <c:showSerName val="0"/>
          <c:showPercent val="0"/>
          <c:showBubbleSize val="0"/>
        </c:dLbls>
        <c:gapWidth val="75"/>
        <c:overlap val="100"/>
        <c:axId val="162186400"/>
        <c:axId val="162188320"/>
      </c:barChart>
      <c:catAx>
        <c:axId val="162186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nl-NL"/>
          </a:p>
        </c:txPr>
        <c:crossAx val="162188320"/>
        <c:crosses val="autoZero"/>
        <c:auto val="1"/>
        <c:lblAlgn val="ctr"/>
        <c:lblOffset val="100"/>
        <c:noMultiLvlLbl val="0"/>
      </c:catAx>
      <c:valAx>
        <c:axId val="162188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nl-NL"/>
          </a:p>
        </c:txPr>
        <c:crossAx val="162186400"/>
        <c:crosses val="autoZero"/>
        <c:crossBetween val="between"/>
      </c:valAx>
      <c:spPr>
        <a:noFill/>
        <a:ln>
          <a:noFill/>
        </a:ln>
        <a:effectLst/>
      </c:spPr>
    </c:plotArea>
    <c:legend>
      <c:legendPos val="b"/>
      <c:layout>
        <c:manualLayout>
          <c:xMode val="edge"/>
          <c:yMode val="edge"/>
          <c:x val="0.52724917530334869"/>
          <c:y val="5.6741737583529996E-2"/>
          <c:w val="0.37391442572036615"/>
          <c:h val="0.5986434082233500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ysClr val="windowText" lastClr="000000"/>
          </a:solidFill>
        </a:defRPr>
      </a:pPr>
      <a:endParaRPr lang="nl-N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1614583333333"/>
          <c:y val="3.8805555555555558E-2"/>
          <c:w val="0.7980190972222222"/>
          <c:h val="0.90161805555555552"/>
        </c:manualLayout>
      </c:layout>
      <c:barChart>
        <c:barDir val="bar"/>
        <c:grouping val="stacked"/>
        <c:varyColors val="0"/>
        <c:ser>
          <c:idx val="0"/>
          <c:order val="0"/>
          <c:tx>
            <c:strRef>
              <c:f>'F_B.2.1'!$L$5</c:f>
              <c:strCache>
                <c:ptCount val="1"/>
                <c:pt idx="0">
                  <c:v>tijdelijk</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'F_B.2.1'!$J$6:$J$25</c:f>
              <c:strCache>
                <c:ptCount val="20"/>
                <c:pt idx="0">
                  <c:v>A Agrarisch</c:v>
                </c:pt>
                <c:pt idx="1">
                  <c:v>C* Industrie</c:v>
                </c:pt>
                <c:pt idx="2">
                  <c:v>D** Energie^</c:v>
                </c:pt>
                <c:pt idx="3">
                  <c:v>F Bouwnijverheid</c:v>
                </c:pt>
                <c:pt idx="4">
                  <c:v>G Handel</c:v>
                </c:pt>
                <c:pt idx="5">
                  <c:v>H Vervoer &amp; Logistiek</c:v>
                </c:pt>
                <c:pt idx="6">
                  <c:v>I Horeca</c:v>
                </c:pt>
                <c:pt idx="7">
                  <c:v>J Media &amp; ICT</c:v>
                </c:pt>
                <c:pt idx="8">
                  <c:v>K Financieel^</c:v>
                </c:pt>
                <c:pt idx="9">
                  <c:v>L Onroerend goed^</c:v>
                </c:pt>
                <c:pt idx="10">
                  <c:v>M Zakelijk</c:v>
                </c:pt>
                <c:pt idx="11">
                  <c:v>N Facilitair (excl. 78)</c:v>
                </c:pt>
                <c:pt idx="12">
                  <c:v>O Overheid^</c:v>
                </c:pt>
                <c:pt idx="13">
                  <c:v>P Onderwijs</c:v>
                </c:pt>
                <c:pt idx="14">
                  <c:v>Q Zorg &amp; Welzijn</c:v>
                </c:pt>
                <c:pt idx="15">
                  <c:v>R Cultuur &amp; Recreatie</c:v>
                </c:pt>
                <c:pt idx="16">
                  <c:v>S Overig</c:v>
                </c:pt>
                <c:pt idx="17">
                  <c:v>78 Uitzend</c:v>
                </c:pt>
                <c:pt idx="19">
                  <c:v>Totaal (A-S)</c:v>
                </c:pt>
              </c:strCache>
            </c:strRef>
          </c:cat>
          <c:val>
            <c:numRef>
              <c:f>'F_B.2.1'!$L$6:$L$25</c:f>
              <c:numCache>
                <c:formatCode>0%</c:formatCode>
                <c:ptCount val="20"/>
                <c:pt idx="0">
                  <c:v>0.13999570505437012</c:v>
                </c:pt>
                <c:pt idx="1">
                  <c:v>0.13895921973128725</c:v>
                </c:pt>
                <c:pt idx="2">
                  <c:v>0.15928470685661789</c:v>
                </c:pt>
                <c:pt idx="3">
                  <c:v>0.15089604658841893</c:v>
                </c:pt>
                <c:pt idx="4">
                  <c:v>0.25069493598054032</c:v>
                </c:pt>
                <c:pt idx="5">
                  <c:v>0.16793455081229886</c:v>
                </c:pt>
                <c:pt idx="6">
                  <c:v>0.21497962389811279</c:v>
                </c:pt>
                <c:pt idx="7">
                  <c:v>0.17310459214260021</c:v>
                </c:pt>
                <c:pt idx="8">
                  <c:v>0.1124788960194464</c:v>
                </c:pt>
                <c:pt idx="9">
                  <c:v>0.19309040033069413</c:v>
                </c:pt>
                <c:pt idx="10">
                  <c:v>0.18925625808109606</c:v>
                </c:pt>
                <c:pt idx="11">
                  <c:v>0.21263433442466459</c:v>
                </c:pt>
                <c:pt idx="12">
                  <c:v>0.13272149901645508</c:v>
                </c:pt>
                <c:pt idx="13">
                  <c:v>0.2165402421109463</c:v>
                </c:pt>
                <c:pt idx="14">
                  <c:v>0.19940713885323957</c:v>
                </c:pt>
                <c:pt idx="15">
                  <c:v>0.25957469159888347</c:v>
                </c:pt>
                <c:pt idx="16">
                  <c:v>0.26948334785230854</c:v>
                </c:pt>
                <c:pt idx="17">
                  <c:v>9.29524938601103E-2</c:v>
                </c:pt>
                <c:pt idx="19">
                  <c:v>0.18509494374522123</c:v>
                </c:pt>
              </c:numCache>
            </c:numRef>
          </c:val>
          <c:extLst>
            <c:ext xmlns:c16="http://schemas.microsoft.com/office/drawing/2014/chart" uri="{C3380CC4-5D6E-409C-BE32-E72D297353CC}">
              <c16:uniqueId val="{00000000-0181-4FDF-A14E-C505E30ED347}"/>
            </c:ext>
          </c:extLst>
        </c:ser>
        <c:ser>
          <c:idx val="2"/>
          <c:order val="1"/>
          <c:tx>
            <c:strRef>
              <c:f>'F_B.2.1'!$N$5</c:f>
              <c:strCache>
                <c:ptCount val="1"/>
                <c:pt idx="0">
                  <c:v>oproep</c:v>
                </c:pt>
              </c:strCache>
            </c:strRef>
          </c:tx>
          <c:spPr>
            <a:solidFill>
              <a:srgbClr val="00B0F0"/>
            </a:soli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4-0181-4FDF-A14E-C505E30ED347}"/>
                </c:ext>
              </c:extLst>
            </c:dLbl>
            <c:dLbl>
              <c:idx val="8"/>
              <c:delete val="1"/>
              <c:extLst>
                <c:ext xmlns:c15="http://schemas.microsoft.com/office/drawing/2012/chart" uri="{CE6537A1-D6FC-4f65-9D91-7224C49458BB}"/>
                <c:ext xmlns:c16="http://schemas.microsoft.com/office/drawing/2014/chart" uri="{C3380CC4-5D6E-409C-BE32-E72D297353CC}">
                  <c16:uniqueId val="{00000005-0181-4FDF-A14E-C505E30ED347}"/>
                </c:ext>
              </c:extLst>
            </c:dLbl>
            <c:dLbl>
              <c:idx val="12"/>
              <c:delete val="1"/>
              <c:extLst>
                <c:ext xmlns:c15="http://schemas.microsoft.com/office/drawing/2012/chart" uri="{CE6537A1-D6FC-4f65-9D91-7224C49458BB}"/>
                <c:ext xmlns:c16="http://schemas.microsoft.com/office/drawing/2014/chart" uri="{C3380CC4-5D6E-409C-BE32-E72D297353CC}">
                  <c16:uniqueId val="{00000006-0181-4FDF-A14E-C505E30ED347}"/>
                </c:ext>
              </c:extLst>
            </c:dLbl>
            <c:dLbl>
              <c:idx val="13"/>
              <c:delete val="1"/>
              <c:extLst>
                <c:ext xmlns:c15="http://schemas.microsoft.com/office/drawing/2012/chart" uri="{CE6537A1-D6FC-4f65-9D91-7224C49458BB}"/>
                <c:ext xmlns:c16="http://schemas.microsoft.com/office/drawing/2014/chart" uri="{C3380CC4-5D6E-409C-BE32-E72D297353CC}">
                  <c16:uniqueId val="{00000007-0181-4FDF-A14E-C505E30ED347}"/>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'F_B.2.1'!$J$6:$J$25</c:f>
              <c:strCache>
                <c:ptCount val="20"/>
                <c:pt idx="0">
                  <c:v>A Agrarisch</c:v>
                </c:pt>
                <c:pt idx="1">
                  <c:v>C* Industrie</c:v>
                </c:pt>
                <c:pt idx="2">
                  <c:v>D** Energie^</c:v>
                </c:pt>
                <c:pt idx="3">
                  <c:v>F Bouwnijverheid</c:v>
                </c:pt>
                <c:pt idx="4">
                  <c:v>G Handel</c:v>
                </c:pt>
                <c:pt idx="5">
                  <c:v>H Vervoer &amp; Logistiek</c:v>
                </c:pt>
                <c:pt idx="6">
                  <c:v>I Horeca</c:v>
                </c:pt>
                <c:pt idx="7">
                  <c:v>J Media &amp; ICT</c:v>
                </c:pt>
                <c:pt idx="8">
                  <c:v>K Financieel^</c:v>
                </c:pt>
                <c:pt idx="9">
                  <c:v>L Onroerend goed^</c:v>
                </c:pt>
                <c:pt idx="10">
                  <c:v>M Zakelijk</c:v>
                </c:pt>
                <c:pt idx="11">
                  <c:v>N Facilitair (excl. 78)</c:v>
                </c:pt>
                <c:pt idx="12">
                  <c:v>O Overheid^</c:v>
                </c:pt>
                <c:pt idx="13">
                  <c:v>P Onderwijs</c:v>
                </c:pt>
                <c:pt idx="14">
                  <c:v>Q Zorg &amp; Welzijn</c:v>
                </c:pt>
                <c:pt idx="15">
                  <c:v>R Cultuur &amp; Recreatie</c:v>
                </c:pt>
                <c:pt idx="16">
                  <c:v>S Overig</c:v>
                </c:pt>
                <c:pt idx="17">
                  <c:v>78 Uitzend</c:v>
                </c:pt>
                <c:pt idx="19">
                  <c:v>Totaal (A-S)</c:v>
                </c:pt>
              </c:strCache>
            </c:strRef>
          </c:cat>
          <c:val>
            <c:numRef>
              <c:f>'F_B.2.1'!$N$6:$N$25</c:f>
              <c:numCache>
                <c:formatCode>0%</c:formatCode>
                <c:ptCount val="20"/>
                <c:pt idx="0">
                  <c:v>0.32404388653534544</c:v>
                </c:pt>
                <c:pt idx="1">
                  <c:v>3.7740600282913456E-2</c:v>
                </c:pt>
                <c:pt idx="2">
                  <c:v>1.1761965762198678E-2</c:v>
                </c:pt>
                <c:pt idx="3">
                  <c:v>2.8295260108666287E-2</c:v>
                </c:pt>
                <c:pt idx="4">
                  <c:v>0.20109365044094774</c:v>
                </c:pt>
                <c:pt idx="5">
                  <c:v>8.6337611311439397E-2</c:v>
                </c:pt>
                <c:pt idx="6">
                  <c:v>0.54027217369703728</c:v>
                </c:pt>
                <c:pt idx="7">
                  <c:v>2.9751675259448728E-2</c:v>
                </c:pt>
                <c:pt idx="8">
                  <c:v>1.2390460291412317E-2</c:v>
                </c:pt>
                <c:pt idx="9">
                  <c:v>3.7298483258609183E-2</c:v>
                </c:pt>
                <c:pt idx="10">
                  <c:v>4.4238228704053195E-2</c:v>
                </c:pt>
                <c:pt idx="11">
                  <c:v>0.11731189451624692</c:v>
                </c:pt>
                <c:pt idx="12">
                  <c:v>2.381655712281161E-3</c:v>
                </c:pt>
                <c:pt idx="13">
                  <c:v>2.4890899405036294E-2</c:v>
                </c:pt>
                <c:pt idx="14">
                  <c:v>5.785037874090352E-2</c:v>
                </c:pt>
                <c:pt idx="15">
                  <c:v>0.2614806255064982</c:v>
                </c:pt>
                <c:pt idx="16">
                  <c:v>9.6947664678683917E-2</c:v>
                </c:pt>
                <c:pt idx="17">
                  <c:v>0.1185858817536925</c:v>
                </c:pt>
                <c:pt idx="19">
                  <c:v>0.11007630673606085</c:v>
                </c:pt>
              </c:numCache>
            </c:numRef>
          </c:val>
          <c:extLst>
            <c:ext xmlns:c16="http://schemas.microsoft.com/office/drawing/2014/chart" uri="{C3380CC4-5D6E-409C-BE32-E72D297353CC}">
              <c16:uniqueId val="{00000002-0181-4FDF-A14E-C505E30ED347}"/>
            </c:ext>
          </c:extLst>
        </c:ser>
        <c:ser>
          <c:idx val="1"/>
          <c:order val="2"/>
          <c:tx>
            <c:strRef>
              <c:f>'F_B.2.1'!$M$5</c:f>
              <c:strCache>
                <c:ptCount val="1"/>
                <c:pt idx="0">
                  <c:v>uitzend</c:v>
                </c:pt>
              </c:strCache>
            </c:strRef>
          </c:tx>
          <c:spPr>
            <a:solidFill>
              <a:schemeClr val="accent3">
                <a:lumMod val="60000"/>
                <a:lumOff val="40000"/>
              </a:schemeClr>
            </a:solidFill>
            <a:ln>
              <a:noFill/>
            </a:ln>
            <a:effectLst/>
          </c:spPr>
          <c:invertIfNegative val="0"/>
          <c:dLbls>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181-4FDF-A14E-C505E30ED347}"/>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81-4FDF-A14E-C505E30ED347}"/>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nl-N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'F_B.2.1'!$J$6:$J$25</c:f>
              <c:strCache>
                <c:ptCount val="20"/>
                <c:pt idx="0">
                  <c:v>A Agrarisch</c:v>
                </c:pt>
                <c:pt idx="1">
                  <c:v>C* Industrie</c:v>
                </c:pt>
                <c:pt idx="2">
                  <c:v>D** Energie^</c:v>
                </c:pt>
                <c:pt idx="3">
                  <c:v>F Bouwnijverheid</c:v>
                </c:pt>
                <c:pt idx="4">
                  <c:v>G Handel</c:v>
                </c:pt>
                <c:pt idx="5">
                  <c:v>H Vervoer &amp; Logistiek</c:v>
                </c:pt>
                <c:pt idx="6">
                  <c:v>I Horeca</c:v>
                </c:pt>
                <c:pt idx="7">
                  <c:v>J Media &amp; ICT</c:v>
                </c:pt>
                <c:pt idx="8">
                  <c:v>K Financieel^</c:v>
                </c:pt>
                <c:pt idx="9">
                  <c:v>L Onroerend goed^</c:v>
                </c:pt>
                <c:pt idx="10">
                  <c:v>M Zakelijk</c:v>
                </c:pt>
                <c:pt idx="11">
                  <c:v>N Facilitair (excl. 78)</c:v>
                </c:pt>
                <c:pt idx="12">
                  <c:v>O Overheid^</c:v>
                </c:pt>
                <c:pt idx="13">
                  <c:v>P Onderwijs</c:v>
                </c:pt>
                <c:pt idx="14">
                  <c:v>Q Zorg &amp; Welzijn</c:v>
                </c:pt>
                <c:pt idx="15">
                  <c:v>R Cultuur &amp; Recreatie</c:v>
                </c:pt>
                <c:pt idx="16">
                  <c:v>S Overig</c:v>
                </c:pt>
                <c:pt idx="17">
                  <c:v>78 Uitzend</c:v>
                </c:pt>
                <c:pt idx="19">
                  <c:v>Totaal (A-S)</c:v>
                </c:pt>
              </c:strCache>
            </c:strRef>
          </c:cat>
          <c:val>
            <c:numRef>
              <c:f>'F_B.2.1'!$M$6:$M$25</c:f>
              <c:numCache>
                <c:formatCode>0%</c:formatCode>
                <c:ptCount val="20"/>
                <c:pt idx="0">
                  <c:v>1.1898951642816704E-2</c:v>
                </c:pt>
                <c:pt idx="1">
                  <c:v>6.288494669227933E-4</c:v>
                </c:pt>
                <c:pt idx="3">
                  <c:v>3.1909464773511842E-3</c:v>
                </c:pt>
                <c:pt idx="4">
                  <c:v>3.5832061675292361E-4</c:v>
                </c:pt>
                <c:pt idx="5">
                  <c:v>5.4024013544776606E-4</c:v>
                </c:pt>
                <c:pt idx="6">
                  <c:v>1.991733188317254E-4</c:v>
                </c:pt>
                <c:pt idx="7">
                  <c:v>1.5820044495956729E-3</c:v>
                </c:pt>
                <c:pt idx="10">
                  <c:v>4.3788498140845972E-3</c:v>
                </c:pt>
                <c:pt idx="11">
                  <c:v>6.7456203807975419E-3</c:v>
                </c:pt>
                <c:pt idx="13">
                  <c:v>8.2868022808436752E-4</c:v>
                </c:pt>
                <c:pt idx="14">
                  <c:v>2.1401394492188137E-4</c:v>
                </c:pt>
                <c:pt idx="15">
                  <c:v>4.2770957769306962E-4</c:v>
                </c:pt>
                <c:pt idx="16">
                  <c:v>1.7087716946994572E-3</c:v>
                </c:pt>
                <c:pt idx="17">
                  <c:v>0.63696533810723099</c:v>
                </c:pt>
                <c:pt idx="19">
                  <c:v>5.2860113677585731E-2</c:v>
                </c:pt>
              </c:numCache>
            </c:numRef>
          </c:val>
          <c:extLst>
            <c:ext xmlns:c16="http://schemas.microsoft.com/office/drawing/2014/chart" uri="{C3380CC4-5D6E-409C-BE32-E72D297353CC}">
              <c16:uniqueId val="{00000001-0181-4FDF-A14E-C505E30ED347}"/>
            </c:ext>
          </c:extLst>
        </c:ser>
        <c:dLbls>
          <c:showLegendKey val="0"/>
          <c:showVal val="0"/>
          <c:showCatName val="0"/>
          <c:showSerName val="0"/>
          <c:showPercent val="0"/>
          <c:showBubbleSize val="0"/>
        </c:dLbls>
        <c:gapWidth val="75"/>
        <c:overlap val="100"/>
        <c:axId val="1601564239"/>
        <c:axId val="1601569999"/>
      </c:barChart>
      <c:catAx>
        <c:axId val="1601564239"/>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crossAx val="1601569999"/>
        <c:crosses val="autoZero"/>
        <c:auto val="1"/>
        <c:lblAlgn val="ctr"/>
        <c:lblOffset val="100"/>
        <c:noMultiLvlLbl val="0"/>
      </c:catAx>
      <c:valAx>
        <c:axId val="1601569999"/>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crossAx val="1601564239"/>
        <c:crosses val="max"/>
        <c:crossBetween val="between"/>
      </c:valAx>
      <c:spPr>
        <a:noFill/>
        <a:ln>
          <a:noFill/>
        </a:ln>
        <a:effectLst/>
      </c:spPr>
    </c:plotArea>
    <c:legend>
      <c:legendPos val="b"/>
      <c:layout>
        <c:manualLayout>
          <c:xMode val="edge"/>
          <c:yMode val="edge"/>
          <c:x val="0.83252586805555551"/>
          <c:y val="5.2934722222222237E-2"/>
          <c:w val="0.12208350694444442"/>
          <c:h val="0.12156527777777777"/>
        </c:manualLayout>
      </c:layout>
      <c:overlay val="0"/>
      <c:spPr>
        <a:solidFill>
          <a:schemeClr val="bg1"/>
        </a:solidFill>
        <a:ln>
          <a:solidFill>
            <a:schemeClr val="bg1"/>
          </a:solid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00">
          <a:solidFill>
            <a:sysClr val="windowText" lastClr="000000"/>
          </a:solidFill>
        </a:defRPr>
      </a:pPr>
      <a:endParaRPr lang="nl-N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'F_B.2.2'!$M$5</c:f>
              <c:strCache>
                <c:ptCount val="1"/>
                <c:pt idx="0">
                  <c:v>vast</c:v>
                </c:pt>
              </c:strCache>
            </c:strRef>
          </c:tx>
          <c:spPr>
            <a:solidFill>
              <a:srgbClr val="002060"/>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'F_B.2.2'!$L$6:$L$25</c:f>
              <c:strCache>
                <c:ptCount val="20"/>
                <c:pt idx="0">
                  <c:v>A Agrarisch</c:v>
                </c:pt>
                <c:pt idx="1">
                  <c:v>C* Industrie</c:v>
                </c:pt>
                <c:pt idx="2">
                  <c:v>D** Energie</c:v>
                </c:pt>
                <c:pt idx="3">
                  <c:v>F Bouwnijverheid</c:v>
                </c:pt>
                <c:pt idx="4">
                  <c:v>G Handel</c:v>
                </c:pt>
                <c:pt idx="5">
                  <c:v>H Vervoer &amp; Logistiek</c:v>
                </c:pt>
                <c:pt idx="6">
                  <c:v>I Horeca</c:v>
                </c:pt>
                <c:pt idx="7">
                  <c:v>J Media &amp; ICT</c:v>
                </c:pt>
                <c:pt idx="8">
                  <c:v>K Financieel</c:v>
                </c:pt>
                <c:pt idx="9">
                  <c:v>L Onroerend goed</c:v>
                </c:pt>
                <c:pt idx="10">
                  <c:v>M Zakelijk</c:v>
                </c:pt>
                <c:pt idx="11">
                  <c:v>N Facilitair (excl. 78)</c:v>
                </c:pt>
                <c:pt idx="12">
                  <c:v>O Overheid^</c:v>
                </c:pt>
                <c:pt idx="13">
                  <c:v>P Onderwijs</c:v>
                </c:pt>
                <c:pt idx="14">
                  <c:v>Q Zorg &amp; Welzijn</c:v>
                </c:pt>
                <c:pt idx="15">
                  <c:v>R Cultuur &amp; Recreatie</c:v>
                </c:pt>
                <c:pt idx="16">
                  <c:v>S Overig</c:v>
                </c:pt>
                <c:pt idx="17">
                  <c:v>78 Uitzend</c:v>
                </c:pt>
                <c:pt idx="19">
                  <c:v>Totaal (A-S)</c:v>
                </c:pt>
              </c:strCache>
            </c:strRef>
          </c:cat>
          <c:val>
            <c:numRef>
              <c:f>'F_B.2.2'!$M$6:$M$25</c:f>
              <c:numCache>
                <c:formatCode>0%</c:formatCode>
                <c:ptCount val="20"/>
                <c:pt idx="0">
                  <c:v>9.7340187751452839E-2</c:v>
                </c:pt>
                <c:pt idx="1">
                  <c:v>7.6284383337096792E-2</c:v>
                </c:pt>
                <c:pt idx="2">
                  <c:v>7.6251873126873121E-2</c:v>
                </c:pt>
                <c:pt idx="3">
                  <c:v>0.10045782805197284</c:v>
                </c:pt>
                <c:pt idx="4">
                  <c:v>0.10617689837589998</c:v>
                </c:pt>
                <c:pt idx="5">
                  <c:v>8.2206273609285188E-2</c:v>
                </c:pt>
                <c:pt idx="6">
                  <c:v>0.198543138475054</c:v>
                </c:pt>
                <c:pt idx="7">
                  <c:v>0.1294056574942751</c:v>
                </c:pt>
                <c:pt idx="8">
                  <c:v>0.16076822895557394</c:v>
                </c:pt>
                <c:pt idx="9">
                  <c:v>9.1680955233747183E-2</c:v>
                </c:pt>
                <c:pt idx="10">
                  <c:v>0.14363127211226642</c:v>
                </c:pt>
                <c:pt idx="11">
                  <c:v>0.12210903857613474</c:v>
                </c:pt>
                <c:pt idx="12">
                  <c:v>3.3139339697152582E-2</c:v>
                </c:pt>
                <c:pt idx="13">
                  <c:v>5.6792519824831342E-2</c:v>
                </c:pt>
                <c:pt idx="14">
                  <c:v>8.2048179087783057E-2</c:v>
                </c:pt>
                <c:pt idx="15">
                  <c:v>9.1107243104232336E-2</c:v>
                </c:pt>
                <c:pt idx="16">
                  <c:v>7.9221571174801816E-2</c:v>
                </c:pt>
                <c:pt idx="17">
                  <c:v>0.22331127911206364</c:v>
                </c:pt>
                <c:pt idx="19">
                  <c:v>9.4759679238144184E-2</c:v>
                </c:pt>
              </c:numCache>
            </c:numRef>
          </c:val>
          <c:extLst>
            <c:ext xmlns:c16="http://schemas.microsoft.com/office/drawing/2014/chart" uri="{C3380CC4-5D6E-409C-BE32-E72D297353CC}">
              <c16:uniqueId val="{00000000-5E85-4FB5-B869-CFD5C4CAB417}"/>
            </c:ext>
          </c:extLst>
        </c:ser>
        <c:dLbls>
          <c:showLegendKey val="0"/>
          <c:showVal val="0"/>
          <c:showCatName val="0"/>
          <c:showSerName val="0"/>
          <c:showPercent val="0"/>
          <c:showBubbleSize val="0"/>
        </c:dLbls>
        <c:gapWidth val="75"/>
        <c:axId val="1994337631"/>
        <c:axId val="1994323231"/>
      </c:barChart>
      <c:catAx>
        <c:axId val="1994337631"/>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994323231"/>
        <c:crosses val="autoZero"/>
        <c:auto val="1"/>
        <c:lblAlgn val="ctr"/>
        <c:lblOffset val="100"/>
        <c:noMultiLvlLbl val="0"/>
      </c:catAx>
      <c:valAx>
        <c:axId val="1994323231"/>
        <c:scaling>
          <c:orientation val="minMax"/>
          <c:max val="0.35000000000000003"/>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99433763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95408496732026"/>
          <c:y val="2.7718253968253968E-2"/>
          <c:w val="0.75865408496732023"/>
          <c:h val="0.79280476190476201"/>
        </c:manualLayout>
      </c:layout>
      <c:barChart>
        <c:barDir val="bar"/>
        <c:grouping val="stacked"/>
        <c:varyColors val="0"/>
        <c:ser>
          <c:idx val="0"/>
          <c:order val="0"/>
          <c:tx>
            <c:strRef>
              <c:f>'F_C.1.1'!$AP$3</c:f>
              <c:strCache>
                <c:ptCount val="1"/>
                <c:pt idx="0">
                  <c:v>baanstarters | baan-baanwisselaars</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'F_C.1.1'!$AO$4:$AO$23</c15:sqref>
                  </c15:fullRef>
                </c:ext>
              </c:extLst>
              <c:f>('F_C.1.1'!$AO$4:$AO$12,'F_C.1.1'!$AO$22:$AO$23)</c:f>
              <c:strCache>
                <c:ptCount val="11"/>
                <c:pt idx="0">
                  <c:v>Chemie &amp; Farma</c:v>
                </c:pt>
                <c:pt idx="1">
                  <c:v>Electronica &amp; Machines</c:v>
                </c:pt>
                <c:pt idx="2">
                  <c:v>ICT</c:v>
                </c:pt>
                <c:pt idx="3">
                  <c:v>Primair onderwijs</c:v>
                </c:pt>
                <c:pt idx="4">
                  <c:v>Voortgezet onderwijs</c:v>
                </c:pt>
                <c:pt idx="5">
                  <c:v>Gezondheidszorg</c:v>
                </c:pt>
                <c:pt idx="6">
                  <c:v>Verzorg- &amp; verpleeghuizen</c:v>
                </c:pt>
                <c:pt idx="7">
                  <c:v>Thuiszorg</c:v>
                </c:pt>
                <c:pt idx="8">
                  <c:v>Kinderopvang</c:v>
                </c:pt>
                <c:pt idx="10">
                  <c:v>Totaal (A-S)</c:v>
                </c:pt>
              </c:strCache>
            </c:strRef>
          </c:cat>
          <c:val>
            <c:numRef>
              <c:extLst>
                <c:ext xmlns:c15="http://schemas.microsoft.com/office/drawing/2012/chart" uri="{02D57815-91ED-43cb-92C2-25804820EDAC}">
                  <c15:fullRef>
                    <c15:sqref>'F_C.1.1'!$AP$4:$AP$23</c15:sqref>
                  </c15:fullRef>
                </c:ext>
              </c:extLst>
              <c:f>('F_C.1.1'!$AP$4:$AP$12,'F_C.1.1'!$AP$22:$AP$23)</c:f>
              <c:numCache>
                <c:formatCode>0%</c:formatCode>
                <c:ptCount val="11"/>
                <c:pt idx="0">
                  <c:v>0.1101571896644685</c:v>
                </c:pt>
                <c:pt idx="1">
                  <c:v>0.10270566634365277</c:v>
                </c:pt>
                <c:pt idx="2">
                  <c:v>0.14715073853766797</c:v>
                </c:pt>
                <c:pt idx="3">
                  <c:v>8.6567524453213543E-2</c:v>
                </c:pt>
                <c:pt idx="4">
                  <c:v>0.11448210220051809</c:v>
                </c:pt>
                <c:pt idx="5">
                  <c:v>0.13351431521243534</c:v>
                </c:pt>
                <c:pt idx="6">
                  <c:v>0.1333342153358823</c:v>
                </c:pt>
                <c:pt idx="7">
                  <c:v>0.17469971204013177</c:v>
                </c:pt>
                <c:pt idx="8">
                  <c:v>0.15770981909021314</c:v>
                </c:pt>
                <c:pt idx="10">
                  <c:v>0.16059626077473155</c:v>
                </c:pt>
              </c:numCache>
            </c:numRef>
          </c:val>
          <c:extLst>
            <c:ext xmlns:c16="http://schemas.microsoft.com/office/drawing/2014/chart" uri="{C3380CC4-5D6E-409C-BE32-E72D297353CC}">
              <c16:uniqueId val="{00000000-5BE1-48A8-8D32-FC7438932B03}"/>
            </c:ext>
          </c:extLst>
        </c:ser>
        <c:ser>
          <c:idx val="1"/>
          <c:order val="1"/>
          <c:tx>
            <c:strRef>
              <c:f>'F_C.1.1'!$AQ$3</c:f>
              <c:strCache>
                <c:ptCount val="1"/>
                <c:pt idx="0">
                  <c:v>baanstarters | instromers</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'F_C.1.1'!$AO$4:$AO$23</c15:sqref>
                  </c15:fullRef>
                </c:ext>
              </c:extLst>
              <c:f>('F_C.1.1'!$AO$4:$AO$12,'F_C.1.1'!$AO$22:$AO$23)</c:f>
              <c:strCache>
                <c:ptCount val="11"/>
                <c:pt idx="0">
                  <c:v>Chemie &amp; Farma</c:v>
                </c:pt>
                <c:pt idx="1">
                  <c:v>Electronica &amp; Machines</c:v>
                </c:pt>
                <c:pt idx="2">
                  <c:v>ICT</c:v>
                </c:pt>
                <c:pt idx="3">
                  <c:v>Primair onderwijs</c:v>
                </c:pt>
                <c:pt idx="4">
                  <c:v>Voortgezet onderwijs</c:v>
                </c:pt>
                <c:pt idx="5">
                  <c:v>Gezondheidszorg</c:v>
                </c:pt>
                <c:pt idx="6">
                  <c:v>Verzorg- &amp; verpleeghuizen</c:v>
                </c:pt>
                <c:pt idx="7">
                  <c:v>Thuiszorg</c:v>
                </c:pt>
                <c:pt idx="8">
                  <c:v>Kinderopvang</c:v>
                </c:pt>
                <c:pt idx="10">
                  <c:v>Totaal (A-S)</c:v>
                </c:pt>
              </c:strCache>
            </c:strRef>
          </c:cat>
          <c:val>
            <c:numRef>
              <c:extLst>
                <c:ext xmlns:c15="http://schemas.microsoft.com/office/drawing/2012/chart" uri="{02D57815-91ED-43cb-92C2-25804820EDAC}">
                  <c15:fullRef>
                    <c15:sqref>'F_C.1.1'!$AQ$4:$AQ$23</c15:sqref>
                  </c15:fullRef>
                </c:ext>
              </c:extLst>
              <c:f>('F_C.1.1'!$AQ$4:$AQ$12,'F_C.1.1'!$AQ$22:$AQ$23)</c:f>
              <c:numCache>
                <c:formatCode>0%</c:formatCode>
                <c:ptCount val="11"/>
                <c:pt idx="0">
                  <c:v>2.6198277411416643E-2</c:v>
                </c:pt>
                <c:pt idx="1">
                  <c:v>3.0569439485897895E-2</c:v>
                </c:pt>
                <c:pt idx="2">
                  <c:v>6.3584426991228515E-2</c:v>
                </c:pt>
                <c:pt idx="3">
                  <c:v>2.6630913899500439E-2</c:v>
                </c:pt>
                <c:pt idx="4">
                  <c:v>3.5249390247200002E-2</c:v>
                </c:pt>
                <c:pt idx="5">
                  <c:v>5.0750044109965704E-2</c:v>
                </c:pt>
                <c:pt idx="6">
                  <c:v>5.9404761679761248E-2</c:v>
                </c:pt>
                <c:pt idx="7">
                  <c:v>8.3794495278797509E-2</c:v>
                </c:pt>
                <c:pt idx="8">
                  <c:v>5.9696200491558889E-2</c:v>
                </c:pt>
                <c:pt idx="10">
                  <c:v>8.5923009922634186E-2</c:v>
                </c:pt>
              </c:numCache>
            </c:numRef>
          </c:val>
          <c:extLst>
            <c:ext xmlns:c16="http://schemas.microsoft.com/office/drawing/2014/chart" uri="{C3380CC4-5D6E-409C-BE32-E72D297353CC}">
              <c16:uniqueId val="{00000001-5BE1-48A8-8D32-FC7438932B03}"/>
            </c:ext>
          </c:extLst>
        </c:ser>
        <c:dLbls>
          <c:showLegendKey val="0"/>
          <c:showVal val="0"/>
          <c:showCatName val="0"/>
          <c:showSerName val="0"/>
          <c:showPercent val="0"/>
          <c:showBubbleSize val="0"/>
        </c:dLbls>
        <c:gapWidth val="75"/>
        <c:overlap val="100"/>
        <c:axId val="1867974624"/>
        <c:axId val="1867975104"/>
      </c:barChart>
      <c:catAx>
        <c:axId val="1867974624"/>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crossAx val="1867975104"/>
        <c:crosses val="autoZero"/>
        <c:auto val="1"/>
        <c:lblAlgn val="ctr"/>
        <c:lblOffset val="100"/>
        <c:noMultiLvlLbl val="0"/>
      </c:catAx>
      <c:valAx>
        <c:axId val="1867975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crossAx val="1867974624"/>
        <c:crosses val="max"/>
        <c:crossBetween val="between"/>
        <c:majorUnit val="5.000000000000001E-2"/>
      </c:valAx>
      <c:spPr>
        <a:noFill/>
        <a:ln>
          <a:noFill/>
        </a:ln>
        <a:effectLst/>
      </c:spPr>
    </c:plotArea>
    <c:legend>
      <c:legendPos val="b"/>
      <c:layout>
        <c:manualLayout>
          <c:xMode val="edge"/>
          <c:yMode val="edge"/>
          <c:x val="0"/>
          <c:y val="0.90960043678998581"/>
          <c:w val="0.61761493055555561"/>
          <c:h val="9.039960317460316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00">
          <a:solidFill>
            <a:sysClr val="windowText" lastClr="000000"/>
          </a:solidFill>
        </a:defRPr>
      </a:pPr>
      <a:endParaRPr lang="nl-N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95408496732026"/>
          <c:y val="2.7718253968253968E-2"/>
          <c:w val="0.75865408496732023"/>
          <c:h val="0.81102857142857121"/>
        </c:manualLayout>
      </c:layout>
      <c:barChart>
        <c:barDir val="bar"/>
        <c:grouping val="stacked"/>
        <c:varyColors val="0"/>
        <c:ser>
          <c:idx val="0"/>
          <c:order val="0"/>
          <c:tx>
            <c:strRef>
              <c:f>'F_C.1.1'!$AP$30</c:f>
              <c:strCache>
                <c:ptCount val="1"/>
                <c:pt idx="0">
                  <c:v>baanbeëindigers | baan-baanwisselaars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ptos" panose="020B0004020202020204" pitchFamily="34" charset="0"/>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'F_C.1.1'!$AO$31:$AO$50</c15:sqref>
                  </c15:fullRef>
                </c:ext>
              </c:extLst>
              <c:f>('F_C.1.1'!$AO$31:$AO$39,'F_C.1.1'!$AO$49:$AO$50)</c:f>
              <c:strCache>
                <c:ptCount val="11"/>
                <c:pt idx="0">
                  <c:v>Chemie &amp; Farma</c:v>
                </c:pt>
                <c:pt idx="1">
                  <c:v>Electronica &amp; Machines</c:v>
                </c:pt>
                <c:pt idx="2">
                  <c:v>ICT</c:v>
                </c:pt>
                <c:pt idx="3">
                  <c:v>Primair onderwijs</c:v>
                </c:pt>
                <c:pt idx="4">
                  <c:v>Voortgezet onderwijs</c:v>
                </c:pt>
                <c:pt idx="5">
                  <c:v>Gezondheidszorg</c:v>
                </c:pt>
                <c:pt idx="6">
                  <c:v>Verzorg- &amp; verpleeghuizen</c:v>
                </c:pt>
                <c:pt idx="7">
                  <c:v>Thuiszorg</c:v>
                </c:pt>
                <c:pt idx="8">
                  <c:v>Kinderopvang</c:v>
                </c:pt>
                <c:pt idx="10">
                  <c:v>Totaal (A-S)</c:v>
                </c:pt>
              </c:strCache>
            </c:strRef>
          </c:cat>
          <c:val>
            <c:numRef>
              <c:extLst>
                <c:ext xmlns:c15="http://schemas.microsoft.com/office/drawing/2012/chart" uri="{02D57815-91ED-43cb-92C2-25804820EDAC}">
                  <c15:fullRef>
                    <c15:sqref>'F_C.1.1'!$AP$31:$AP$50</c15:sqref>
                  </c15:fullRef>
                </c:ext>
              </c:extLst>
              <c:f>('F_C.1.1'!$AP$31:$AP$39,'F_C.1.1'!$AP$49:$AP$50)</c:f>
              <c:numCache>
                <c:formatCode>0%</c:formatCode>
                <c:ptCount val="11"/>
                <c:pt idx="0">
                  <c:v>9.0023398694599133E-2</c:v>
                </c:pt>
                <c:pt idx="1">
                  <c:v>7.8059461145304918E-2</c:v>
                </c:pt>
                <c:pt idx="2">
                  <c:v>0.15569795568792508</c:v>
                </c:pt>
                <c:pt idx="3">
                  <c:v>6.9291230369951426E-2</c:v>
                </c:pt>
                <c:pt idx="4">
                  <c:v>9.0768737326788113E-2</c:v>
                </c:pt>
                <c:pt idx="5">
                  <c:v>0.10669984981455596</c:v>
                </c:pt>
                <c:pt idx="6">
                  <c:v>0.11494798426935818</c:v>
                </c:pt>
                <c:pt idx="7">
                  <c:v>0.1462403862906638</c:v>
                </c:pt>
                <c:pt idx="8">
                  <c:v>0.13295093377611175</c:v>
                </c:pt>
                <c:pt idx="10">
                  <c:v>0.15934498948230474</c:v>
                </c:pt>
              </c:numCache>
            </c:numRef>
          </c:val>
          <c:extLst>
            <c:ext xmlns:c16="http://schemas.microsoft.com/office/drawing/2014/chart" uri="{C3380CC4-5D6E-409C-BE32-E72D297353CC}">
              <c16:uniqueId val="{00000000-9489-4076-813C-7547800A60A6}"/>
            </c:ext>
          </c:extLst>
        </c:ser>
        <c:ser>
          <c:idx val="1"/>
          <c:order val="1"/>
          <c:tx>
            <c:strRef>
              <c:f>'F_C.1.1'!$AQ$30</c:f>
              <c:strCache>
                <c:ptCount val="1"/>
                <c:pt idx="0">
                  <c:v>baanbeëindigers | uitstromers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ptos" panose="020B0004020202020204" pitchFamily="34" charset="0"/>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'F_C.1.1'!$AO$31:$AO$50</c15:sqref>
                  </c15:fullRef>
                </c:ext>
              </c:extLst>
              <c:f>('F_C.1.1'!$AO$31:$AO$39,'F_C.1.1'!$AO$49:$AO$50)</c:f>
              <c:strCache>
                <c:ptCount val="11"/>
                <c:pt idx="0">
                  <c:v>Chemie &amp; Farma</c:v>
                </c:pt>
                <c:pt idx="1">
                  <c:v>Electronica &amp; Machines</c:v>
                </c:pt>
                <c:pt idx="2">
                  <c:v>ICT</c:v>
                </c:pt>
                <c:pt idx="3">
                  <c:v>Primair onderwijs</c:v>
                </c:pt>
                <c:pt idx="4">
                  <c:v>Voortgezet onderwijs</c:v>
                </c:pt>
                <c:pt idx="5">
                  <c:v>Gezondheidszorg</c:v>
                </c:pt>
                <c:pt idx="6">
                  <c:v>Verzorg- &amp; verpleeghuizen</c:v>
                </c:pt>
                <c:pt idx="7">
                  <c:v>Thuiszorg</c:v>
                </c:pt>
                <c:pt idx="8">
                  <c:v>Kinderopvang</c:v>
                </c:pt>
                <c:pt idx="10">
                  <c:v>Totaal (A-S)</c:v>
                </c:pt>
              </c:strCache>
            </c:strRef>
          </c:cat>
          <c:val>
            <c:numRef>
              <c:extLst>
                <c:ext xmlns:c15="http://schemas.microsoft.com/office/drawing/2012/chart" uri="{02D57815-91ED-43cb-92C2-25804820EDAC}">
                  <c15:fullRef>
                    <c15:sqref>'F_C.1.1'!$AQ$31:$AQ$50</c15:sqref>
                  </c15:fullRef>
                </c:ext>
              </c:extLst>
              <c:f>('F_C.1.1'!$AQ$31:$AQ$39,'F_C.1.1'!$AQ$49:$AQ$50)</c:f>
              <c:numCache>
                <c:formatCode>0%</c:formatCode>
                <c:ptCount val="11"/>
                <c:pt idx="0">
                  <c:v>5.7853614482560441E-2</c:v>
                </c:pt>
                <c:pt idx="1">
                  <c:v>5.3669062000751069E-2</c:v>
                </c:pt>
                <c:pt idx="2">
                  <c:v>7.5383766642104569E-2</c:v>
                </c:pt>
                <c:pt idx="3">
                  <c:v>4.7534978619038305E-2</c:v>
                </c:pt>
                <c:pt idx="4">
                  <c:v>5.6661828421699256E-2</c:v>
                </c:pt>
                <c:pt idx="5">
                  <c:v>5.6557290274191603E-2</c:v>
                </c:pt>
                <c:pt idx="6">
                  <c:v>6.1163525058602446E-2</c:v>
                </c:pt>
                <c:pt idx="7">
                  <c:v>8.6865619633123434E-2</c:v>
                </c:pt>
                <c:pt idx="8">
                  <c:v>5.5665970632384883E-2</c:v>
                </c:pt>
                <c:pt idx="10">
                  <c:v>9.3044958411559922E-2</c:v>
                </c:pt>
              </c:numCache>
            </c:numRef>
          </c:val>
          <c:extLst>
            <c:ext xmlns:c16="http://schemas.microsoft.com/office/drawing/2014/chart" uri="{C3380CC4-5D6E-409C-BE32-E72D297353CC}">
              <c16:uniqueId val="{00000001-9489-4076-813C-7547800A60A6}"/>
            </c:ext>
          </c:extLst>
        </c:ser>
        <c:dLbls>
          <c:showLegendKey val="0"/>
          <c:showVal val="0"/>
          <c:showCatName val="0"/>
          <c:showSerName val="0"/>
          <c:showPercent val="0"/>
          <c:showBubbleSize val="0"/>
        </c:dLbls>
        <c:gapWidth val="75"/>
        <c:overlap val="100"/>
        <c:axId val="1867974624"/>
        <c:axId val="1867975104"/>
      </c:barChart>
      <c:catAx>
        <c:axId val="1867974624"/>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Aptos" panose="020B0004020202020204" pitchFamily="34" charset="0"/>
                <a:ea typeface="+mn-ea"/>
                <a:cs typeface="+mn-cs"/>
              </a:defRPr>
            </a:pPr>
            <a:endParaRPr lang="nl-NL"/>
          </a:p>
        </c:txPr>
        <c:crossAx val="1867975104"/>
        <c:crosses val="autoZero"/>
        <c:auto val="1"/>
        <c:lblAlgn val="ctr"/>
        <c:lblOffset val="100"/>
        <c:noMultiLvlLbl val="0"/>
      </c:catAx>
      <c:valAx>
        <c:axId val="1867975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Aptos" panose="020B0004020202020204" pitchFamily="34" charset="0"/>
                <a:ea typeface="+mn-ea"/>
                <a:cs typeface="+mn-cs"/>
              </a:defRPr>
            </a:pPr>
            <a:endParaRPr lang="nl-NL"/>
          </a:p>
        </c:txPr>
        <c:crossAx val="1867974624"/>
        <c:crosses val="max"/>
        <c:crossBetween val="between"/>
        <c:majorUnit val="5.000000000000001E-2"/>
      </c:valAx>
      <c:spPr>
        <a:noFill/>
        <a:ln>
          <a:noFill/>
        </a:ln>
        <a:effectLst/>
      </c:spPr>
    </c:plotArea>
    <c:legend>
      <c:legendPos val="b"/>
      <c:layout>
        <c:manualLayout>
          <c:xMode val="edge"/>
          <c:yMode val="edge"/>
          <c:x val="0"/>
          <c:y val="0.90960032524515133"/>
          <c:w val="0.63611230459422585"/>
          <c:h val="9.039960317460316E-2"/>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Aptos" panose="020B0004020202020204" pitchFamily="34" charset="0"/>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00">
          <a:solidFill>
            <a:sysClr val="windowText" lastClr="000000"/>
          </a:solidFill>
          <a:latin typeface="Aptos" panose="020B0004020202020204" pitchFamily="34" charset="0"/>
        </a:defRPr>
      </a:pPr>
      <a:endParaRPr lang="nl-N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0822274100469"/>
          <c:y val="2.7718253968253968E-2"/>
          <c:w val="0.74952603287724084"/>
          <c:h val="0.76881604938271608"/>
        </c:manualLayout>
      </c:layout>
      <c:barChart>
        <c:barDir val="bar"/>
        <c:grouping val="clustered"/>
        <c:varyColors val="0"/>
        <c:ser>
          <c:idx val="1"/>
          <c:order val="0"/>
          <c:tx>
            <c:strRef>
              <c:f>'F_C.1.2'!$E$59</c:f>
              <c:strCache>
                <c:ptCount val="1"/>
                <c:pt idx="0">
                  <c:v>Intersectorale baan-baan-wisselaars | uitstromend</c:v>
                </c:pt>
              </c:strCache>
            </c:strRef>
          </c:tx>
          <c:spPr>
            <a:solidFill>
              <a:srgbClr val="00B0F0"/>
            </a:solidFill>
            <a:ln>
              <a:noFill/>
            </a:ln>
            <a:effectLst/>
          </c:spPr>
          <c:invertIfNegative val="0"/>
          <c:cat>
            <c:strRef>
              <c:extLst>
                <c:ext xmlns:c15="http://schemas.microsoft.com/office/drawing/2012/chart" uri="{02D57815-91ED-43cb-92C2-25804820EDAC}">
                  <c15:fullRef>
                    <c15:sqref>'F_C.1.2'!$C$60:$C$79</c15:sqref>
                  </c15:fullRef>
                </c:ext>
              </c:extLst>
              <c:f>('F_C.1.2'!$C$60:$C$68,'F_C.1.2'!$C$78:$C$79)</c:f>
              <c:strCache>
                <c:ptCount val="11"/>
                <c:pt idx="0">
                  <c:v>Chemie &amp; Farma</c:v>
                </c:pt>
                <c:pt idx="1">
                  <c:v>Electronica &amp; Machines</c:v>
                </c:pt>
                <c:pt idx="2">
                  <c:v>ICT</c:v>
                </c:pt>
                <c:pt idx="3">
                  <c:v>Primair onderwijs</c:v>
                </c:pt>
                <c:pt idx="4">
                  <c:v>Voortgezet onderwijs</c:v>
                </c:pt>
                <c:pt idx="5">
                  <c:v>Gezondheidszorg</c:v>
                </c:pt>
                <c:pt idx="6">
                  <c:v>Verzorg- &amp; verpleeghuizen</c:v>
                </c:pt>
                <c:pt idx="7">
                  <c:v>Thuiszorg</c:v>
                </c:pt>
                <c:pt idx="8">
                  <c:v>Kinderopvang</c:v>
                </c:pt>
                <c:pt idx="10">
                  <c:v>Totaal (A-S)</c:v>
                </c:pt>
              </c:strCache>
            </c:strRef>
          </c:cat>
          <c:val>
            <c:numRef>
              <c:extLst>
                <c:ext xmlns:c15="http://schemas.microsoft.com/office/drawing/2012/chart" uri="{02D57815-91ED-43cb-92C2-25804820EDAC}">
                  <c15:fullRef>
                    <c15:sqref>'F_C.1.2'!$E$60:$E$79</c15:sqref>
                  </c15:fullRef>
                </c:ext>
              </c:extLst>
              <c:f>('F_C.1.2'!$E$60:$E$68,'F_C.1.2'!$E$78:$E$79)</c:f>
              <c:numCache>
                <c:formatCode>0%</c:formatCode>
                <c:ptCount val="11"/>
                <c:pt idx="0">
                  <c:v>0.63155494756041963</c:v>
                </c:pt>
                <c:pt idx="1">
                  <c:v>0.78302348336594918</c:v>
                </c:pt>
                <c:pt idx="2">
                  <c:v>0.63868378016750094</c:v>
                </c:pt>
                <c:pt idx="3">
                  <c:v>0.42917079868792435</c:v>
                </c:pt>
                <c:pt idx="4">
                  <c:v>0.41175061388273343</c:v>
                </c:pt>
                <c:pt idx="5">
                  <c:v>0.40746657697805433</c:v>
                </c:pt>
                <c:pt idx="6">
                  <c:v>0.5796915816971433</c:v>
                </c:pt>
                <c:pt idx="7">
                  <c:v>0.69896179048591611</c:v>
                </c:pt>
                <c:pt idx="8">
                  <c:v>0.47823893023842567</c:v>
                </c:pt>
                <c:pt idx="10">
                  <c:v>0.56537723845876298</c:v>
                </c:pt>
              </c:numCache>
            </c:numRef>
          </c:val>
          <c:extLst>
            <c:ext xmlns:c16="http://schemas.microsoft.com/office/drawing/2014/chart" uri="{C3380CC4-5D6E-409C-BE32-E72D297353CC}">
              <c16:uniqueId val="{00000000-8A18-49DA-9274-3F5D6F55517D}"/>
            </c:ext>
          </c:extLst>
        </c:ser>
        <c:ser>
          <c:idx val="0"/>
          <c:order val="1"/>
          <c:tx>
            <c:strRef>
              <c:f>'F_C.1.2'!$D$59</c:f>
              <c:strCache>
                <c:ptCount val="1"/>
                <c:pt idx="0">
                  <c:v>Intersectorale baan-baan-wisselaars | instromend</c:v>
                </c:pt>
              </c:strCache>
            </c:strRef>
          </c:tx>
          <c:spPr>
            <a:solidFill>
              <a:srgbClr val="002060"/>
            </a:solidFill>
            <a:ln>
              <a:noFill/>
            </a:ln>
            <a:effectLst/>
          </c:spPr>
          <c:invertIfNegative val="0"/>
          <c:cat>
            <c:strRef>
              <c:extLst>
                <c:ext xmlns:c15="http://schemas.microsoft.com/office/drawing/2012/chart" uri="{02D57815-91ED-43cb-92C2-25804820EDAC}">
                  <c15:fullRef>
                    <c15:sqref>'F_C.1.2'!$C$60:$C$79</c15:sqref>
                  </c15:fullRef>
                </c:ext>
              </c:extLst>
              <c:f>('F_C.1.2'!$C$60:$C$68,'F_C.1.2'!$C$78:$C$79)</c:f>
              <c:strCache>
                <c:ptCount val="11"/>
                <c:pt idx="0">
                  <c:v>Chemie &amp; Farma</c:v>
                </c:pt>
                <c:pt idx="1">
                  <c:v>Electronica &amp; Machines</c:v>
                </c:pt>
                <c:pt idx="2">
                  <c:v>ICT</c:v>
                </c:pt>
                <c:pt idx="3">
                  <c:v>Primair onderwijs</c:v>
                </c:pt>
                <c:pt idx="4">
                  <c:v>Voortgezet onderwijs</c:v>
                </c:pt>
                <c:pt idx="5">
                  <c:v>Gezondheidszorg</c:v>
                </c:pt>
                <c:pt idx="6">
                  <c:v>Verzorg- &amp; verpleeghuizen</c:v>
                </c:pt>
                <c:pt idx="7">
                  <c:v>Thuiszorg</c:v>
                </c:pt>
                <c:pt idx="8">
                  <c:v>Kinderopvang</c:v>
                </c:pt>
                <c:pt idx="10">
                  <c:v>Totaal (A-S)</c:v>
                </c:pt>
              </c:strCache>
            </c:strRef>
          </c:cat>
          <c:val>
            <c:numRef>
              <c:extLst>
                <c:ext xmlns:c15="http://schemas.microsoft.com/office/drawing/2012/chart" uri="{02D57815-91ED-43cb-92C2-25804820EDAC}">
                  <c15:fullRef>
                    <c15:sqref>'F_C.1.2'!$D$60:$D$79</c15:sqref>
                  </c15:fullRef>
                </c:ext>
              </c:extLst>
              <c:f>('F_C.1.2'!$D$60:$D$68,'F_C.1.2'!$D$78:$D$79)</c:f>
              <c:numCache>
                <c:formatCode>0%</c:formatCode>
                <c:ptCount val="11"/>
                <c:pt idx="0">
                  <c:v>0.69578313253012047</c:v>
                </c:pt>
                <c:pt idx="1">
                  <c:v>0.83482309124767229</c:v>
                </c:pt>
                <c:pt idx="2">
                  <c:v>0.61143679386058414</c:v>
                </c:pt>
                <c:pt idx="3">
                  <c:v>0.54640237618961018</c:v>
                </c:pt>
                <c:pt idx="4">
                  <c:v>0.53601965137701357</c:v>
                </c:pt>
                <c:pt idx="5">
                  <c:v>0.53897786151672156</c:v>
                </c:pt>
                <c:pt idx="6">
                  <c:v>0.64649099182105541</c:v>
                </c:pt>
                <c:pt idx="7">
                  <c:v>0.75344995818232496</c:v>
                </c:pt>
                <c:pt idx="8">
                  <c:v>0.57733381022942099</c:v>
                </c:pt>
                <c:pt idx="10">
                  <c:v>0.56537723845876298</c:v>
                </c:pt>
              </c:numCache>
            </c:numRef>
          </c:val>
          <c:extLst>
            <c:ext xmlns:c16="http://schemas.microsoft.com/office/drawing/2014/chart" uri="{C3380CC4-5D6E-409C-BE32-E72D297353CC}">
              <c16:uniqueId val="{00000001-8A18-49DA-9274-3F5D6F55517D}"/>
            </c:ext>
          </c:extLst>
        </c:ser>
        <c:dLbls>
          <c:showLegendKey val="0"/>
          <c:showVal val="0"/>
          <c:showCatName val="0"/>
          <c:showSerName val="0"/>
          <c:showPercent val="0"/>
          <c:showBubbleSize val="0"/>
        </c:dLbls>
        <c:gapWidth val="75"/>
        <c:overlap val="50"/>
        <c:axId val="1867974624"/>
        <c:axId val="1867975104"/>
      </c:barChart>
      <c:catAx>
        <c:axId val="1867974624"/>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crossAx val="1867975104"/>
        <c:crosses val="autoZero"/>
        <c:auto val="1"/>
        <c:lblAlgn val="ctr"/>
        <c:lblOffset val="100"/>
        <c:noMultiLvlLbl val="0"/>
      </c:catAx>
      <c:valAx>
        <c:axId val="186797510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crossAx val="1867974624"/>
        <c:crosses val="max"/>
        <c:crossBetween val="between"/>
        <c:majorUnit val="0.1"/>
      </c:valAx>
      <c:spPr>
        <a:noFill/>
        <a:ln>
          <a:noFill/>
        </a:ln>
        <a:effectLst/>
      </c:spPr>
    </c:plotArea>
    <c:legend>
      <c:legendPos val="b"/>
      <c:layout>
        <c:manualLayout>
          <c:xMode val="edge"/>
          <c:yMode val="edge"/>
          <c:x val="0"/>
          <c:y val="0.88856975308641972"/>
          <c:w val="0.40367204861111117"/>
          <c:h val="0.10924104938271603"/>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00">
          <a:solidFill>
            <a:sysClr val="windowText" lastClr="000000"/>
          </a:solidFill>
        </a:defRPr>
      </a:pPr>
      <a:endParaRPr lang="nl-N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98709150326797"/>
          <c:y val="7.3598015873015871E-2"/>
          <c:w val="0.63257254901960791"/>
          <c:h val="0.79709563492063484"/>
        </c:manualLayout>
      </c:layout>
      <c:barChart>
        <c:barDir val="bar"/>
        <c:grouping val="clustered"/>
        <c:varyColors val="0"/>
        <c:ser>
          <c:idx val="1"/>
          <c:order val="0"/>
          <c:tx>
            <c:strRef>
              <c:f>'T_C.2.allen'!$S$4</c:f>
              <c:strCache>
                <c:ptCount val="1"/>
                <c:pt idx="0">
                  <c:v>2011</c:v>
                </c:pt>
              </c:strCache>
            </c:strRef>
          </c:tx>
          <c:spPr>
            <a:solidFill>
              <a:srgbClr val="00B0F0"/>
            </a:solidFill>
            <a:ln>
              <a:noFill/>
            </a:ln>
            <a:effectLst/>
          </c:spPr>
          <c:invertIfNegative val="0"/>
          <c:cat>
            <c:strRef>
              <c:f>'T_C.2.allen'!$R$5:$R$13</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'T_C.2.allen'!$S$5:$S$13</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AF21-4532-88A7-597B80B849F5}"/>
            </c:ext>
          </c:extLst>
        </c:ser>
        <c:ser>
          <c:idx val="2"/>
          <c:order val="1"/>
          <c:tx>
            <c:strRef>
              <c:f>'T_C.2.allen'!$T$4</c:f>
              <c:strCache>
                <c:ptCount val="1"/>
                <c:pt idx="0">
                  <c:v>2024</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'T_C.2.allen'!$R$5:$R$13</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'T_C.2.allen'!$T$5:$T$13</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AF21-4532-88A7-597B80B849F5}"/>
            </c:ext>
          </c:extLst>
        </c:ser>
        <c:dLbls>
          <c:showLegendKey val="0"/>
          <c:showVal val="0"/>
          <c:showCatName val="0"/>
          <c:showSerName val="0"/>
          <c:showPercent val="0"/>
          <c:showBubbleSize val="0"/>
        </c:dLbls>
        <c:gapWidth val="75"/>
        <c:overlap val="50"/>
        <c:axId val="1268011040"/>
        <c:axId val="1268029280"/>
      </c:barChart>
      <c:catAx>
        <c:axId val="1268011040"/>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max"/>
        <c:crossBetween val="between"/>
        <c:majorUnit val="200"/>
      </c:valAx>
      <c:spPr>
        <a:noFill/>
        <a:ln>
          <a:noFill/>
        </a:ln>
        <a:effectLst/>
      </c:spPr>
    </c:plotArea>
    <c:legend>
      <c:legendPos val="b"/>
      <c:layout>
        <c:manualLayout>
          <c:xMode val="edge"/>
          <c:yMode val="edge"/>
          <c:x val="0.88507205882352946"/>
          <c:y val="5.8959548022598861E-2"/>
          <c:w val="8.5124836601307194E-2"/>
          <c:h val="8.420293785310734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NL" sz="900" b="1"/>
              <a:t>geslacht</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20283676470588233"/>
          <c:y val="0.12460256410256411"/>
          <c:w val="0.54749084967320261"/>
          <c:h val="0.78708547008547014"/>
        </c:manualLayout>
      </c:layout>
      <c:barChart>
        <c:barDir val="bar"/>
        <c:grouping val="percentStacked"/>
        <c:varyColors val="0"/>
        <c:ser>
          <c:idx val="1"/>
          <c:order val="0"/>
          <c:tx>
            <c:strRef>
              <c:f>'T_C.2.allen'!$S$33</c:f>
              <c:strCache>
                <c:ptCount val="1"/>
                <c:pt idx="0">
                  <c:v>Man</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'T_C.2.allen'!$R$34:$R$42</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'T_C.2.allen'!$S$34:$S$42</c:f>
              <c:numCache>
                <c:formatCode>0%</c:formatCode>
                <c:ptCount val="9"/>
                <c:pt idx="0">
                  <c:v>0.73232440716465297</c:v>
                </c:pt>
                <c:pt idx="1">
                  <c:v>0.81368586540725985</c:v>
                </c:pt>
                <c:pt idx="2">
                  <c:v>0.73354886249213946</c:v>
                </c:pt>
                <c:pt idx="3">
                  <c:v>0.15538594089445892</c:v>
                </c:pt>
                <c:pt idx="4">
                  <c:v>0.3971166234486358</c:v>
                </c:pt>
                <c:pt idx="5">
                  <c:v>0.19876693623488501</c:v>
                </c:pt>
                <c:pt idx="6">
                  <c:v>0.14454367577829869</c:v>
                </c:pt>
                <c:pt idx="7">
                  <c:v>7.9454663115712976E-2</c:v>
                </c:pt>
                <c:pt idx="8">
                  <c:v>5.6370390869371977E-2</c:v>
                </c:pt>
              </c:numCache>
            </c:numRef>
          </c:val>
          <c:extLst>
            <c:ext xmlns:c16="http://schemas.microsoft.com/office/drawing/2014/chart" uri="{C3380CC4-5D6E-409C-BE32-E72D297353CC}">
              <c16:uniqueId val="{00000000-2A1C-487B-8758-F5D28C843846}"/>
            </c:ext>
          </c:extLst>
        </c:ser>
        <c:ser>
          <c:idx val="2"/>
          <c:order val="1"/>
          <c:tx>
            <c:strRef>
              <c:f>'T_C.2.allen'!$T$33</c:f>
              <c:strCache>
                <c:ptCount val="1"/>
                <c:pt idx="0">
                  <c:v>Vrouw</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'T_C.2.allen'!$R$34:$R$42</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'T_C.2.allen'!$T$34:$T$42</c:f>
              <c:numCache>
                <c:formatCode>0%</c:formatCode>
                <c:ptCount val="9"/>
                <c:pt idx="0">
                  <c:v>0.26767559283534709</c:v>
                </c:pt>
                <c:pt idx="1">
                  <c:v>0.18631413459274015</c:v>
                </c:pt>
                <c:pt idx="2">
                  <c:v>0.26645113750786054</c:v>
                </c:pt>
                <c:pt idx="3">
                  <c:v>0.8446140591055411</c:v>
                </c:pt>
                <c:pt idx="4">
                  <c:v>0.60288337655136426</c:v>
                </c:pt>
                <c:pt idx="5">
                  <c:v>0.80123306376511494</c:v>
                </c:pt>
                <c:pt idx="6">
                  <c:v>0.85545632422170126</c:v>
                </c:pt>
                <c:pt idx="7">
                  <c:v>0.92054533688428708</c:v>
                </c:pt>
                <c:pt idx="8">
                  <c:v>0.94362960913062799</c:v>
                </c:pt>
              </c:numCache>
            </c:numRef>
          </c:val>
          <c:extLst>
            <c:ext xmlns:c16="http://schemas.microsoft.com/office/drawing/2014/chart" uri="{C3380CC4-5D6E-409C-BE32-E72D297353CC}">
              <c16:uniqueId val="{00000001-2A1C-487B-8758-F5D28C843846}"/>
            </c:ext>
          </c:extLst>
        </c:ser>
        <c:dLbls>
          <c:showLegendKey val="0"/>
          <c:showVal val="0"/>
          <c:showCatName val="0"/>
          <c:showSerName val="0"/>
          <c:showPercent val="0"/>
          <c:showBubbleSize val="0"/>
        </c:dLbls>
        <c:gapWidth val="75"/>
        <c:overlap val="100"/>
        <c:axId val="1268011040"/>
        <c:axId val="1268029280"/>
      </c:barChart>
      <c:catAx>
        <c:axId val="1268011040"/>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max"/>
        <c:crossBetween val="between"/>
      </c:valAx>
      <c:spPr>
        <a:noFill/>
        <a:ln>
          <a:noFill/>
        </a:ln>
        <a:effectLst/>
      </c:spPr>
    </c:plotArea>
    <c:legend>
      <c:legendPos val="b"/>
      <c:layout>
        <c:manualLayout>
          <c:xMode val="edge"/>
          <c:yMode val="edge"/>
          <c:x val="0.79822728758169936"/>
          <c:y val="9.325476190476191E-2"/>
          <c:w val="6.4298856209150337E-2"/>
          <c:h val="0.13713293650793651"/>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US" sz="900" b="1"/>
              <a:t>leeftijd</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21113741830065355"/>
          <c:y val="0.12399484126984127"/>
          <c:w val="0.54541568627450976"/>
          <c:h val="0.76705595238095237"/>
        </c:manualLayout>
      </c:layout>
      <c:barChart>
        <c:barDir val="bar"/>
        <c:grouping val="percentStacked"/>
        <c:varyColors val="0"/>
        <c:ser>
          <c:idx val="1"/>
          <c:order val="0"/>
          <c:tx>
            <c:strRef>
              <c:f>'T_C.2.allen'!$S$61</c:f>
              <c:strCache>
                <c:ptCount val="1"/>
                <c:pt idx="0">
                  <c:v>15 tot 25</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'T_C.2.allen'!$R$62:$R$70</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'T_C.2.allen'!$S$62:$S$70</c:f>
              <c:numCache>
                <c:formatCode>0%</c:formatCode>
                <c:ptCount val="9"/>
                <c:pt idx="0">
                  <c:v>3.3716013738180922E-2</c:v>
                </c:pt>
                <c:pt idx="1">
                  <c:v>5.4146431503841234E-2</c:v>
                </c:pt>
                <c:pt idx="2">
                  <c:v>6.7378581596947609E-2</c:v>
                </c:pt>
                <c:pt idx="3">
                  <c:v>6.2758011914137865E-2</c:v>
                </c:pt>
                <c:pt idx="4">
                  <c:v>4.8491174280107199E-2</c:v>
                </c:pt>
                <c:pt idx="5">
                  <c:v>8.1428502218689386E-2</c:v>
                </c:pt>
                <c:pt idx="6">
                  <c:v>0.13255390457002267</c:v>
                </c:pt>
                <c:pt idx="7">
                  <c:v>0.12905393633173209</c:v>
                </c:pt>
                <c:pt idx="8">
                  <c:v>0.17290162435952267</c:v>
                </c:pt>
              </c:numCache>
            </c:numRef>
          </c:val>
          <c:extLst>
            <c:ext xmlns:c16="http://schemas.microsoft.com/office/drawing/2014/chart" uri="{C3380CC4-5D6E-409C-BE32-E72D297353CC}">
              <c16:uniqueId val="{00000000-58D5-4545-A06E-F1472169D9ED}"/>
            </c:ext>
          </c:extLst>
        </c:ser>
        <c:ser>
          <c:idx val="2"/>
          <c:order val="1"/>
          <c:tx>
            <c:strRef>
              <c:f>'T_C.2.allen'!$T$61</c:f>
              <c:strCache>
                <c:ptCount val="1"/>
                <c:pt idx="0">
                  <c:v>25 tot 35</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'T_C.2.allen'!$R$62:$R$70</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'T_C.2.allen'!$T$62:$T$70</c:f>
              <c:numCache>
                <c:formatCode>0%</c:formatCode>
                <c:ptCount val="9"/>
                <c:pt idx="0">
                  <c:v>0.21223026504837098</c:v>
                </c:pt>
                <c:pt idx="1">
                  <c:v>0.23742449605692789</c:v>
                </c:pt>
                <c:pt idx="2">
                  <c:v>0.34664958893857034</c:v>
                </c:pt>
                <c:pt idx="3">
                  <c:v>0.21453905395191</c:v>
                </c:pt>
                <c:pt idx="4">
                  <c:v>0.1939646971204288</c:v>
                </c:pt>
                <c:pt idx="5">
                  <c:v>0.25881419889433366</c:v>
                </c:pt>
                <c:pt idx="6">
                  <c:v>0.19263643232143204</c:v>
                </c:pt>
                <c:pt idx="7">
                  <c:v>0.15507006496254075</c:v>
                </c:pt>
                <c:pt idx="8">
                  <c:v>0.29471600962707656</c:v>
                </c:pt>
              </c:numCache>
            </c:numRef>
          </c:val>
          <c:extLst>
            <c:ext xmlns:c16="http://schemas.microsoft.com/office/drawing/2014/chart" uri="{C3380CC4-5D6E-409C-BE32-E72D297353CC}">
              <c16:uniqueId val="{00000001-58D5-4545-A06E-F1472169D9ED}"/>
            </c:ext>
          </c:extLst>
        </c:ser>
        <c:ser>
          <c:idx val="0"/>
          <c:order val="2"/>
          <c:tx>
            <c:strRef>
              <c:f>'T_C.2.allen'!$U$61</c:f>
              <c:strCache>
                <c:ptCount val="1"/>
                <c:pt idx="0">
                  <c:v>35 tot 45</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'T_C.2.allen'!$R$62:$R$70</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'T_C.2.allen'!$U$62:$U$70</c:f>
              <c:numCache>
                <c:formatCode>0%</c:formatCode>
                <c:ptCount val="9"/>
                <c:pt idx="0">
                  <c:v>0.22150764220522434</c:v>
                </c:pt>
                <c:pt idx="1">
                  <c:v>0.2319061046012055</c:v>
                </c:pt>
                <c:pt idx="2">
                  <c:v>0.27965679939199173</c:v>
                </c:pt>
                <c:pt idx="3">
                  <c:v>0.27631391163240604</c:v>
                </c:pt>
                <c:pt idx="4">
                  <c:v>0.24486412142364</c:v>
                </c:pt>
                <c:pt idx="5">
                  <c:v>0.21564978979420826</c:v>
                </c:pt>
                <c:pt idx="6">
                  <c:v>0.18158623762568046</c:v>
                </c:pt>
                <c:pt idx="7">
                  <c:v>0.17477661348532741</c:v>
                </c:pt>
                <c:pt idx="8">
                  <c:v>0.25032914874168744</c:v>
                </c:pt>
              </c:numCache>
            </c:numRef>
          </c:val>
          <c:extLst>
            <c:ext xmlns:c16="http://schemas.microsoft.com/office/drawing/2014/chart" uri="{C3380CC4-5D6E-409C-BE32-E72D297353CC}">
              <c16:uniqueId val="{00000002-58D5-4545-A06E-F1472169D9ED}"/>
            </c:ext>
          </c:extLst>
        </c:ser>
        <c:ser>
          <c:idx val="3"/>
          <c:order val="3"/>
          <c:tx>
            <c:strRef>
              <c:f>'T_C.2.allen'!$V$61</c:f>
              <c:strCache>
                <c:ptCount val="1"/>
                <c:pt idx="0">
                  <c:v>45 tot 55</c:v>
                </c:pt>
              </c:strCache>
            </c:strRef>
          </c:tx>
          <c:spPr>
            <a:solidFill>
              <a:srgbClr val="FF00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'T_C.2.allen'!$R$62:$R$70</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'T_C.2.allen'!$V$62:$V$70</c:f>
              <c:numCache>
                <c:formatCode>0%</c:formatCode>
                <c:ptCount val="9"/>
                <c:pt idx="0">
                  <c:v>0.24226543150750537</c:v>
                </c:pt>
                <c:pt idx="1">
                  <c:v>0.22578941003494346</c:v>
                </c:pt>
                <c:pt idx="2">
                  <c:v>0.17618737148302321</c:v>
                </c:pt>
                <c:pt idx="3">
                  <c:v>0.22301215199775884</c:v>
                </c:pt>
                <c:pt idx="4">
                  <c:v>0.2365738702154378</c:v>
                </c:pt>
                <c:pt idx="5">
                  <c:v>0.19813353764774067</c:v>
                </c:pt>
                <c:pt idx="6">
                  <c:v>0.20115073906894748</c:v>
                </c:pt>
                <c:pt idx="7">
                  <c:v>0.20573960225999952</c:v>
                </c:pt>
                <c:pt idx="8">
                  <c:v>0.15656578362558388</c:v>
                </c:pt>
              </c:numCache>
            </c:numRef>
          </c:val>
          <c:extLst>
            <c:ext xmlns:c16="http://schemas.microsoft.com/office/drawing/2014/chart" uri="{C3380CC4-5D6E-409C-BE32-E72D297353CC}">
              <c16:uniqueId val="{00000003-58D5-4545-A06E-F1472169D9ED}"/>
            </c:ext>
          </c:extLst>
        </c:ser>
        <c:ser>
          <c:idx val="4"/>
          <c:order val="4"/>
          <c:tx>
            <c:strRef>
              <c:f>'T_C.2.allen'!$W$61</c:f>
              <c:strCache>
                <c:ptCount val="1"/>
                <c:pt idx="0">
                  <c:v>55 tot 65</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'T_C.2.allen'!$R$62:$R$70</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'T_C.2.allen'!$W$62:$W$70</c:f>
              <c:numCache>
                <c:formatCode>0%</c:formatCode>
                <c:ptCount val="9"/>
                <c:pt idx="0">
                  <c:v>0.26335162354100244</c:v>
                </c:pt>
                <c:pt idx="1">
                  <c:v>0.21920171089229906</c:v>
                </c:pt>
                <c:pt idx="2">
                  <c:v>0.11637802991431559</c:v>
                </c:pt>
                <c:pt idx="3">
                  <c:v>0.18750759830220892</c:v>
                </c:pt>
                <c:pt idx="4">
                  <c:v>0.23498649096770335</c:v>
                </c:pt>
                <c:pt idx="5">
                  <c:v>0.21285601755572742</c:v>
                </c:pt>
                <c:pt idx="6">
                  <c:v>0.25148104380170094</c:v>
                </c:pt>
                <c:pt idx="7">
                  <c:v>0.28249371530975431</c:v>
                </c:pt>
                <c:pt idx="8">
                  <c:v>0.1091012771809773</c:v>
                </c:pt>
              </c:numCache>
            </c:numRef>
          </c:val>
          <c:extLst>
            <c:ext xmlns:c16="http://schemas.microsoft.com/office/drawing/2014/chart" uri="{C3380CC4-5D6E-409C-BE32-E72D297353CC}">
              <c16:uniqueId val="{00000004-58D5-4545-A06E-F1472169D9ED}"/>
            </c:ext>
          </c:extLst>
        </c:ser>
        <c:ser>
          <c:idx val="5"/>
          <c:order val="5"/>
          <c:tx>
            <c:strRef>
              <c:f>'T_C.2.allen'!$X$61</c:f>
              <c:strCache>
                <c:ptCount val="1"/>
                <c:pt idx="0">
                  <c:v>65 tot 75</c:v>
                </c:pt>
              </c:strCache>
            </c:strRef>
          </c:tx>
          <c:spPr>
            <a:solidFill>
              <a:srgbClr val="FF0000"/>
            </a:soli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5-58D5-4545-A06E-F1472169D9ED}"/>
                </c:ext>
              </c:extLst>
            </c:dLbl>
            <c:dLbl>
              <c:idx val="8"/>
              <c:delete val="1"/>
              <c:extLst>
                <c:ext xmlns:c15="http://schemas.microsoft.com/office/drawing/2012/chart" uri="{CE6537A1-D6FC-4f65-9D91-7224C49458BB}"/>
                <c:ext xmlns:c16="http://schemas.microsoft.com/office/drawing/2014/chart" uri="{C3380CC4-5D6E-409C-BE32-E72D297353CC}">
                  <c16:uniqueId val="{00000006-58D5-4545-A06E-F1472169D9E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'T_C.2.allen'!$R$62:$R$70</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'T_C.2.allen'!$X$62:$X$70</c:f>
              <c:numCache>
                <c:formatCode>0%</c:formatCode>
                <c:ptCount val="9"/>
                <c:pt idx="0">
                  <c:v>2.6929023959715932E-2</c:v>
                </c:pt>
                <c:pt idx="1">
                  <c:v>3.1531846910782819E-2</c:v>
                </c:pt>
                <c:pt idx="2">
                  <c:v>1.374962867515152E-2</c:v>
                </c:pt>
                <c:pt idx="3">
                  <c:v>3.5869272201578331E-2</c:v>
                </c:pt>
                <c:pt idx="4">
                  <c:v>4.1119645992682835E-2</c:v>
                </c:pt>
                <c:pt idx="5">
                  <c:v>3.311795388930059E-2</c:v>
                </c:pt>
                <c:pt idx="6">
                  <c:v>4.0591642612216434E-2</c:v>
                </c:pt>
                <c:pt idx="7">
                  <c:v>5.2866067650645894E-2</c:v>
                </c:pt>
                <c:pt idx="8">
                  <c:v>1.6386156465152162E-2</c:v>
                </c:pt>
              </c:numCache>
            </c:numRef>
          </c:val>
          <c:extLst>
            <c:ext xmlns:c16="http://schemas.microsoft.com/office/drawing/2014/chart" uri="{C3380CC4-5D6E-409C-BE32-E72D297353CC}">
              <c16:uniqueId val="{00000007-58D5-4545-A06E-F1472169D9ED}"/>
            </c:ext>
          </c:extLst>
        </c:ser>
        <c:dLbls>
          <c:showLegendKey val="0"/>
          <c:showVal val="0"/>
          <c:showCatName val="0"/>
          <c:showSerName val="0"/>
          <c:showPercent val="0"/>
          <c:showBubbleSize val="0"/>
        </c:dLbls>
        <c:gapWidth val="75"/>
        <c:overlap val="100"/>
        <c:axId val="1268011040"/>
        <c:axId val="1268029280"/>
      </c:barChart>
      <c:catAx>
        <c:axId val="1268011040"/>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max"/>
        <c:crossBetween val="between"/>
      </c:valAx>
      <c:spPr>
        <a:noFill/>
        <a:ln>
          <a:noFill/>
        </a:ln>
        <a:effectLst/>
      </c:spPr>
    </c:plotArea>
    <c:legend>
      <c:legendPos val="b"/>
      <c:layout>
        <c:manualLayout>
          <c:xMode val="edge"/>
          <c:yMode val="edge"/>
          <c:x val="0.78162598039215692"/>
          <c:y val="0.1184531746031746"/>
          <c:w val="0.11351633986928104"/>
          <c:h val="0.39645833333333336"/>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US" sz="900" b="1"/>
              <a:t>hoogst behaalde</a:t>
            </a:r>
            <a:r>
              <a:rPr lang="en-US" sz="900" b="1" baseline="0"/>
              <a:t> opleiding</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21113741830065355"/>
          <c:y val="0.14585897435897435"/>
          <c:w val="0.54541568627450976"/>
          <c:h val="0.76582905982905991"/>
        </c:manualLayout>
      </c:layout>
      <c:barChart>
        <c:barDir val="bar"/>
        <c:grouping val="percentStacked"/>
        <c:varyColors val="0"/>
        <c:ser>
          <c:idx val="1"/>
          <c:order val="0"/>
          <c:tx>
            <c:strRef>
              <c:f>'T_C.2.allen'!$S$89</c:f>
              <c:strCache>
                <c:ptCount val="1"/>
                <c:pt idx="0">
                  <c:v>mbo1 of lager</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'T_C.2.allen'!$R$90:$R$98</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'T_C.2.allen'!$S$90:$S$98</c:f>
              <c:numCache>
                <c:formatCode>0%</c:formatCode>
                <c:ptCount val="9"/>
                <c:pt idx="0">
                  <c:v>9.1098284053873643E-2</c:v>
                </c:pt>
                <c:pt idx="1">
                  <c:v>0.10580415516489902</c:v>
                </c:pt>
                <c:pt idx="2">
                  <c:v>3.8677947097497577E-2</c:v>
                </c:pt>
                <c:pt idx="3">
                  <c:v>1.7314464780203306E-2</c:v>
                </c:pt>
                <c:pt idx="4">
                  <c:v>3.4880175620464665E-2</c:v>
                </c:pt>
                <c:pt idx="5">
                  <c:v>4.7670565366440397E-2</c:v>
                </c:pt>
                <c:pt idx="6">
                  <c:v>0.13577325145813932</c:v>
                </c:pt>
                <c:pt idx="7">
                  <c:v>0.22641101642583672</c:v>
                </c:pt>
                <c:pt idx="8">
                  <c:v>5.6049408483307563E-2</c:v>
                </c:pt>
              </c:numCache>
            </c:numRef>
          </c:val>
          <c:extLst>
            <c:ext xmlns:c16="http://schemas.microsoft.com/office/drawing/2014/chart" uri="{C3380CC4-5D6E-409C-BE32-E72D297353CC}">
              <c16:uniqueId val="{00000000-18CE-435A-9177-EAC72CACEA5E}"/>
            </c:ext>
          </c:extLst>
        </c:ser>
        <c:ser>
          <c:idx val="2"/>
          <c:order val="1"/>
          <c:tx>
            <c:strRef>
              <c:f>'T_C.2.allen'!$T$89</c:f>
              <c:strCache>
                <c:ptCount val="1"/>
                <c:pt idx="0">
                  <c:v>mbo2-4</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'T_C.2.allen'!$R$90:$R$98</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'T_C.2.allen'!$T$90:$T$98</c:f>
              <c:numCache>
                <c:formatCode>0%</c:formatCode>
                <c:ptCount val="9"/>
                <c:pt idx="0">
                  <c:v>0.43607413515529903</c:v>
                </c:pt>
                <c:pt idx="1">
                  <c:v>0.37429173325584775</c:v>
                </c:pt>
                <c:pt idx="2">
                  <c:v>0.28472554915651599</c:v>
                </c:pt>
                <c:pt idx="3">
                  <c:v>0.16467261257341745</c:v>
                </c:pt>
                <c:pt idx="4">
                  <c:v>0.18269406671138483</c:v>
                </c:pt>
                <c:pt idx="5">
                  <c:v>0.34451048558932379</c:v>
                </c:pt>
                <c:pt idx="6">
                  <c:v>0.5725732103805049</c:v>
                </c:pt>
                <c:pt idx="7">
                  <c:v>0.55467302704705446</c:v>
                </c:pt>
                <c:pt idx="8">
                  <c:v>0.70060811900537912</c:v>
                </c:pt>
              </c:numCache>
            </c:numRef>
          </c:val>
          <c:extLst>
            <c:ext xmlns:c16="http://schemas.microsoft.com/office/drawing/2014/chart" uri="{C3380CC4-5D6E-409C-BE32-E72D297353CC}">
              <c16:uniqueId val="{00000001-18CE-435A-9177-EAC72CACEA5E}"/>
            </c:ext>
          </c:extLst>
        </c:ser>
        <c:ser>
          <c:idx val="0"/>
          <c:order val="2"/>
          <c:tx>
            <c:strRef>
              <c:f>'T_C.2.allen'!$U$89</c:f>
              <c:strCache>
                <c:ptCount val="1"/>
                <c:pt idx="0">
                  <c:v>bachelor</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'T_C.2.allen'!$R$90:$R$98</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'T_C.2.allen'!$U$90:$U$98</c:f>
              <c:numCache>
                <c:formatCode>0%</c:formatCode>
                <c:ptCount val="9"/>
                <c:pt idx="0">
                  <c:v>0.26336042721953901</c:v>
                </c:pt>
                <c:pt idx="1">
                  <c:v>0.29778984454453</c:v>
                </c:pt>
                <c:pt idx="2">
                  <c:v>0.40082564599153969</c:v>
                </c:pt>
                <c:pt idx="3">
                  <c:v>0.53894137774929596</c:v>
                </c:pt>
                <c:pt idx="4">
                  <c:v>0.47404719799987804</c:v>
                </c:pt>
                <c:pt idx="5">
                  <c:v>0.3395343109768299</c:v>
                </c:pt>
                <c:pt idx="6">
                  <c:v>0.21140044391852625</c:v>
                </c:pt>
                <c:pt idx="7">
                  <c:v>0.17156045448931703</c:v>
                </c:pt>
                <c:pt idx="8">
                  <c:v>0.20172284573130816</c:v>
                </c:pt>
              </c:numCache>
            </c:numRef>
          </c:val>
          <c:extLst>
            <c:ext xmlns:c16="http://schemas.microsoft.com/office/drawing/2014/chart" uri="{C3380CC4-5D6E-409C-BE32-E72D297353CC}">
              <c16:uniqueId val="{00000002-18CE-435A-9177-EAC72CACEA5E}"/>
            </c:ext>
          </c:extLst>
        </c:ser>
        <c:ser>
          <c:idx val="3"/>
          <c:order val="3"/>
          <c:tx>
            <c:strRef>
              <c:f>'T_C.2.allen'!$V$89</c:f>
              <c:strCache>
                <c:ptCount val="1"/>
                <c:pt idx="0">
                  <c:v>master of hoger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'T_C.2.allen'!$R$90:$R$98</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'T_C.2.allen'!$V$90:$V$98</c:f>
              <c:numCache>
                <c:formatCode>0%</c:formatCode>
                <c:ptCount val="9"/>
                <c:pt idx="0">
                  <c:v>0.20946715357128834</c:v>
                </c:pt>
                <c:pt idx="1">
                  <c:v>0.22211426703472323</c:v>
                </c:pt>
                <c:pt idx="2">
                  <c:v>0.27577085775444676</c:v>
                </c:pt>
                <c:pt idx="3">
                  <c:v>0.2790715448970833</c:v>
                </c:pt>
                <c:pt idx="4">
                  <c:v>0.30837855966827243</c:v>
                </c:pt>
                <c:pt idx="5">
                  <c:v>0.26828463806740593</c:v>
                </c:pt>
                <c:pt idx="6">
                  <c:v>8.0253094242829504E-2</c:v>
                </c:pt>
                <c:pt idx="7">
                  <c:v>4.7355502037791777E-2</c:v>
                </c:pt>
                <c:pt idx="8">
                  <c:v>4.1619626780005123E-2</c:v>
                </c:pt>
              </c:numCache>
            </c:numRef>
          </c:val>
          <c:extLst>
            <c:ext xmlns:c16="http://schemas.microsoft.com/office/drawing/2014/chart" uri="{C3380CC4-5D6E-409C-BE32-E72D297353CC}">
              <c16:uniqueId val="{00000003-18CE-435A-9177-EAC72CACEA5E}"/>
            </c:ext>
          </c:extLst>
        </c:ser>
        <c:dLbls>
          <c:showLegendKey val="0"/>
          <c:showVal val="0"/>
          <c:showCatName val="0"/>
          <c:showSerName val="0"/>
          <c:showPercent val="0"/>
          <c:showBubbleSize val="0"/>
        </c:dLbls>
        <c:gapWidth val="75"/>
        <c:overlap val="100"/>
        <c:axId val="1268011040"/>
        <c:axId val="1268029280"/>
      </c:barChart>
      <c:catAx>
        <c:axId val="1268011040"/>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max"/>
        <c:crossBetween val="between"/>
      </c:valAx>
      <c:spPr>
        <a:noFill/>
        <a:ln>
          <a:noFill/>
        </a:ln>
        <a:effectLst/>
      </c:spPr>
    </c:plotArea>
    <c:legend>
      <c:legendPos val="b"/>
      <c:layout>
        <c:manualLayout>
          <c:xMode val="edge"/>
          <c:yMode val="edge"/>
          <c:x val="0.78162598039215692"/>
          <c:y val="0.1184531746031746"/>
          <c:w val="0.20274836601307189"/>
          <c:h val="0.29566468253968253"/>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US" sz="900" b="1"/>
              <a:t>type contract</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21113741830065355"/>
          <c:y val="0.15113162393162394"/>
          <c:w val="0.54334052287581702"/>
          <c:h val="0.73991923076923072"/>
        </c:manualLayout>
      </c:layout>
      <c:barChart>
        <c:barDir val="bar"/>
        <c:grouping val="percentStacked"/>
        <c:varyColors val="0"/>
        <c:ser>
          <c:idx val="1"/>
          <c:order val="0"/>
          <c:tx>
            <c:strRef>
              <c:f>'T_C.2.allen'!$S$117</c:f>
              <c:strCache>
                <c:ptCount val="1"/>
                <c:pt idx="0">
                  <c:v>Vast</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'T_C.2.allen'!$R$118:$R$126</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'T_C.2.allen'!$S$118:$S$126</c:f>
              <c:numCache>
                <c:formatCode>0%</c:formatCode>
                <c:ptCount val="9"/>
                <c:pt idx="0">
                  <c:v>0.8984551388185712</c:v>
                </c:pt>
                <c:pt idx="1">
                  <c:v>0.85964063623807374</c:v>
                </c:pt>
                <c:pt idx="2">
                  <c:v>0.80965406026843412</c:v>
                </c:pt>
                <c:pt idx="3">
                  <c:v>0.84367319107549676</c:v>
                </c:pt>
                <c:pt idx="4">
                  <c:v>0.78572011024675048</c:v>
                </c:pt>
                <c:pt idx="5">
                  <c:v>0.76019852470164773</c:v>
                </c:pt>
                <c:pt idx="6">
                  <c:v>0.7654042116275015</c:v>
                </c:pt>
                <c:pt idx="7">
                  <c:v>0.70463822585061109</c:v>
                </c:pt>
                <c:pt idx="8">
                  <c:v>0.64953416018851629</c:v>
                </c:pt>
              </c:numCache>
            </c:numRef>
          </c:val>
          <c:extLst>
            <c:ext xmlns:c16="http://schemas.microsoft.com/office/drawing/2014/chart" uri="{C3380CC4-5D6E-409C-BE32-E72D297353CC}">
              <c16:uniqueId val="{00000000-0A48-46A7-81C3-D1184EDFAE8D}"/>
            </c:ext>
          </c:extLst>
        </c:ser>
        <c:ser>
          <c:idx val="2"/>
          <c:order val="1"/>
          <c:tx>
            <c:strRef>
              <c:f>'T_C.2.allen'!$T$117</c:f>
              <c:strCache>
                <c:ptCount val="1"/>
                <c:pt idx="0">
                  <c:v>Tijdelijk</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'T_C.2.allen'!$R$118:$R$126</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'T_C.2.allen'!$T$118:$T$126</c:f>
              <c:numCache>
                <c:formatCode>0%</c:formatCode>
                <c:ptCount val="9"/>
                <c:pt idx="0">
                  <c:v>9.4237900411871758E-2</c:v>
                </c:pt>
                <c:pt idx="1">
                  <c:v>0.12327590047800599</c:v>
                </c:pt>
                <c:pt idx="2">
                  <c:v>0.16536976239067619</c:v>
                </c:pt>
                <c:pt idx="3">
                  <c:v>0.14481967577053392</c:v>
                </c:pt>
                <c:pt idx="4">
                  <c:v>0.2109257356578654</c:v>
                </c:pt>
                <c:pt idx="5">
                  <c:v>0.19865209909727244</c:v>
                </c:pt>
                <c:pt idx="6">
                  <c:v>0.17153761211956839</c:v>
                </c:pt>
                <c:pt idx="7">
                  <c:v>0.19151504592179605</c:v>
                </c:pt>
                <c:pt idx="8">
                  <c:v>0.2868332117369829</c:v>
                </c:pt>
              </c:numCache>
            </c:numRef>
          </c:val>
          <c:extLst>
            <c:ext xmlns:c16="http://schemas.microsoft.com/office/drawing/2014/chart" uri="{C3380CC4-5D6E-409C-BE32-E72D297353CC}">
              <c16:uniqueId val="{00000001-0A48-46A7-81C3-D1184EDFAE8D}"/>
            </c:ext>
          </c:extLst>
        </c:ser>
        <c:ser>
          <c:idx val="0"/>
          <c:order val="2"/>
          <c:tx>
            <c:strRef>
              <c:f>'T_C.2.allen'!$U$117</c:f>
              <c:strCache>
                <c:ptCount val="1"/>
                <c:pt idx="0">
                  <c:v>Uitzend &amp; oproep</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'T_C.2.allen'!$R$118:$R$126</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'T_C.2.allen'!$U$118:$U$126</c:f>
              <c:numCache>
                <c:formatCode>0%</c:formatCode>
                <c:ptCount val="9"/>
                <c:pt idx="0">
                  <c:v>7.3069607695570669E-3</c:v>
                </c:pt>
                <c:pt idx="1">
                  <c:v>1.7083463283920287E-2</c:v>
                </c:pt>
                <c:pt idx="2">
                  <c:v>2.4976177340889714E-2</c:v>
                </c:pt>
                <c:pt idx="3">
                  <c:v>1.1507133153969354E-2</c:v>
                </c:pt>
                <c:pt idx="4">
                  <c:v>3.3541540953840967E-3</c:v>
                </c:pt>
                <c:pt idx="5">
                  <c:v>4.1149376201079828E-2</c:v>
                </c:pt>
                <c:pt idx="6">
                  <c:v>6.3058176252930129E-2</c:v>
                </c:pt>
                <c:pt idx="7">
                  <c:v>0.1038467282275929</c:v>
                </c:pt>
                <c:pt idx="8">
                  <c:v>6.3632628074500833E-2</c:v>
                </c:pt>
              </c:numCache>
            </c:numRef>
          </c:val>
          <c:extLst>
            <c:ext xmlns:c16="http://schemas.microsoft.com/office/drawing/2014/chart" uri="{C3380CC4-5D6E-409C-BE32-E72D297353CC}">
              <c16:uniqueId val="{00000002-0A48-46A7-81C3-D1184EDFAE8D}"/>
            </c:ext>
          </c:extLst>
        </c:ser>
        <c:ser>
          <c:idx val="3"/>
          <c:order val="3"/>
          <c:tx>
            <c:strRef>
              <c:f>'T_C.2.allen'!$V$117</c:f>
              <c:strCache>
                <c:ptCount val="1"/>
              </c:strCache>
            </c:strRef>
          </c:tx>
          <c:spPr>
            <a:solidFill>
              <a:srgbClr val="FFC000"/>
            </a:solidFill>
            <a:ln>
              <a:noFill/>
            </a:ln>
            <a:effectLst/>
          </c:spPr>
          <c:invertIfNegative val="0"/>
          <c:cat>
            <c:strRef>
              <c:f>'T_C.2.allen'!$R$118:$R$126</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'T_C.2.allen'!$V$118:$V$126</c:f>
              <c:numCache>
                <c:formatCode>0%</c:formatCode>
                <c:ptCount val="9"/>
              </c:numCache>
            </c:numRef>
          </c:val>
          <c:extLst>
            <c:ext xmlns:c16="http://schemas.microsoft.com/office/drawing/2014/chart" uri="{C3380CC4-5D6E-409C-BE32-E72D297353CC}">
              <c16:uniqueId val="{00000003-0A48-46A7-81C3-D1184EDFAE8D}"/>
            </c:ext>
          </c:extLst>
        </c:ser>
        <c:dLbls>
          <c:showLegendKey val="0"/>
          <c:showVal val="0"/>
          <c:showCatName val="0"/>
          <c:showSerName val="0"/>
          <c:showPercent val="0"/>
          <c:showBubbleSize val="0"/>
        </c:dLbls>
        <c:gapWidth val="75"/>
        <c:overlap val="100"/>
        <c:axId val="1268011040"/>
        <c:axId val="1268029280"/>
      </c:barChart>
      <c:catAx>
        <c:axId val="1268011040"/>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max"/>
        <c:crossBetween val="between"/>
      </c:valAx>
      <c:spPr>
        <a:noFill/>
        <a:ln>
          <a:noFill/>
        </a:ln>
        <a:effectLst/>
      </c:spPr>
    </c:plotArea>
    <c:legend>
      <c:legendPos val="b"/>
      <c:legendEntry>
        <c:idx val="3"/>
        <c:delete val="1"/>
      </c:legendEntry>
      <c:layout>
        <c:manualLayout>
          <c:xMode val="edge"/>
          <c:yMode val="edge"/>
          <c:x val="0.79239097222222221"/>
          <c:y val="0.12182388810372169"/>
          <c:w val="0.1515796875"/>
          <c:h val="0.22913675213675208"/>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US" sz="900" b="1"/>
              <a:t>baanomvang</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21113741830065355"/>
          <c:y val="0.13486239316239315"/>
          <c:w val="0.54541568627450976"/>
          <c:h val="0.77682564102564111"/>
        </c:manualLayout>
      </c:layout>
      <c:barChart>
        <c:barDir val="bar"/>
        <c:grouping val="percentStacked"/>
        <c:varyColors val="0"/>
        <c:ser>
          <c:idx val="1"/>
          <c:order val="0"/>
          <c:tx>
            <c:strRef>
              <c:f>'T_C.2.allen'!$S$145</c:f>
              <c:strCache>
                <c:ptCount val="1"/>
                <c:pt idx="0">
                  <c:v>minder dan 12 uur</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'T_C.2.allen'!$R$146:$R$154</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'T_C.2.allen'!$S$146:$S$154</c:f>
              <c:numCache>
                <c:formatCode>0%</c:formatCode>
                <c:ptCount val="9"/>
                <c:pt idx="0">
                  <c:v>7.7858814192471367E-3</c:v>
                </c:pt>
                <c:pt idx="1">
                  <c:v>1.4461113480278275E-2</c:v>
                </c:pt>
                <c:pt idx="2">
                  <c:v>2.2306496352336162E-2</c:v>
                </c:pt>
                <c:pt idx="3">
                  <c:v>3.432582577026963E-2</c:v>
                </c:pt>
                <c:pt idx="4">
                  <c:v>2.1092573565786542E-2</c:v>
                </c:pt>
                <c:pt idx="5">
                  <c:v>4.8820138127544585E-2</c:v>
                </c:pt>
                <c:pt idx="6">
                  <c:v>9.4612448904473165E-2</c:v>
                </c:pt>
                <c:pt idx="7">
                  <c:v>0.20349329218209422</c:v>
                </c:pt>
                <c:pt idx="8">
                  <c:v>6.1100069603428175E-2</c:v>
                </c:pt>
              </c:numCache>
            </c:numRef>
          </c:val>
          <c:extLst>
            <c:ext xmlns:c16="http://schemas.microsoft.com/office/drawing/2014/chart" uri="{C3380CC4-5D6E-409C-BE32-E72D297353CC}">
              <c16:uniqueId val="{00000000-AC00-4896-917E-E5AB66783A41}"/>
            </c:ext>
          </c:extLst>
        </c:ser>
        <c:ser>
          <c:idx val="2"/>
          <c:order val="1"/>
          <c:tx>
            <c:strRef>
              <c:f>'T_C.2.allen'!$T$145</c:f>
              <c:strCache>
                <c:ptCount val="1"/>
                <c:pt idx="0">
                  <c:v>12 tot 20 uur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'T_C.2.allen'!$R$146:$R$154</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'T_C.2.allen'!$T$146:$T$154</c:f>
              <c:numCache>
                <c:formatCode>0%</c:formatCode>
                <c:ptCount val="9"/>
                <c:pt idx="0">
                  <c:v>8.1006007033291826E-3</c:v>
                </c:pt>
                <c:pt idx="1">
                  <c:v>1.4130137291469089E-2</c:v>
                </c:pt>
                <c:pt idx="2">
                  <c:v>1.8606750589297356E-2</c:v>
                </c:pt>
                <c:pt idx="3">
                  <c:v>0.13246681854461459</c:v>
                </c:pt>
                <c:pt idx="4">
                  <c:v>7.7390174557354946E-2</c:v>
                </c:pt>
                <c:pt idx="5">
                  <c:v>8.8035226291962657E-2</c:v>
                </c:pt>
                <c:pt idx="6">
                  <c:v>0.12998895755438888</c:v>
                </c:pt>
                <c:pt idx="7">
                  <c:v>0.21684670333773054</c:v>
                </c:pt>
                <c:pt idx="8">
                  <c:v>0.1496641424941508</c:v>
                </c:pt>
              </c:numCache>
            </c:numRef>
          </c:val>
          <c:extLst>
            <c:ext xmlns:c16="http://schemas.microsoft.com/office/drawing/2014/chart" uri="{C3380CC4-5D6E-409C-BE32-E72D297353CC}">
              <c16:uniqueId val="{00000001-AC00-4896-917E-E5AB66783A41}"/>
            </c:ext>
          </c:extLst>
        </c:ser>
        <c:ser>
          <c:idx val="0"/>
          <c:order val="2"/>
          <c:tx>
            <c:strRef>
              <c:f>'T_C.2.allen'!$U$145</c:f>
              <c:strCache>
                <c:ptCount val="1"/>
                <c:pt idx="0">
                  <c:v>20 tot 30 uur</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'T_C.2.allen'!$R$146:$R$154</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'T_C.2.allen'!$U$146:$U$154</c:f>
              <c:numCache>
                <c:formatCode>0%</c:formatCode>
                <c:ptCount val="9"/>
                <c:pt idx="0">
                  <c:v>5.5978982225202173E-2</c:v>
                </c:pt>
                <c:pt idx="1">
                  <c:v>5.1364958532502496E-2</c:v>
                </c:pt>
                <c:pt idx="2">
                  <c:v>5.7737638258226053E-2</c:v>
                </c:pt>
                <c:pt idx="3">
                  <c:v>0.44876762145390542</c:v>
                </c:pt>
                <c:pt idx="4">
                  <c:v>0.44524900652891258</c:v>
                </c:pt>
                <c:pt idx="5">
                  <c:v>0.37961927900220882</c:v>
                </c:pt>
                <c:pt idx="6">
                  <c:v>0.48016040605203508</c:v>
                </c:pt>
                <c:pt idx="7">
                  <c:v>0.41950618513079624</c:v>
                </c:pt>
                <c:pt idx="8">
                  <c:v>0.50818888525497496</c:v>
                </c:pt>
              </c:numCache>
            </c:numRef>
          </c:val>
          <c:extLst>
            <c:ext xmlns:c16="http://schemas.microsoft.com/office/drawing/2014/chart" uri="{C3380CC4-5D6E-409C-BE32-E72D297353CC}">
              <c16:uniqueId val="{00000002-AC00-4896-917E-E5AB66783A41}"/>
            </c:ext>
          </c:extLst>
        </c:ser>
        <c:ser>
          <c:idx val="3"/>
          <c:order val="3"/>
          <c:tx>
            <c:strRef>
              <c:f>'T_C.2.allen'!$V$145</c:f>
              <c:strCache>
                <c:ptCount val="1"/>
                <c:pt idx="0">
                  <c:v>30 tot 35 uur</c:v>
                </c:pt>
              </c:strCache>
            </c:strRef>
          </c:tx>
          <c:spPr>
            <a:solidFill>
              <a:srgbClr val="FF00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'T_C.2.allen'!$R$146:$R$154</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'T_C.2.allen'!$V$146:$V$154</c:f>
              <c:numCache>
                <c:formatCode>0%</c:formatCode>
                <c:ptCount val="9"/>
                <c:pt idx="0">
                  <c:v>0.15637443384737484</c:v>
                </c:pt>
                <c:pt idx="1">
                  <c:v>0.11475326361616946</c:v>
                </c:pt>
                <c:pt idx="2">
                  <c:v>0.12612699502714048</c:v>
                </c:pt>
                <c:pt idx="3">
                  <c:v>0.14668555450427356</c:v>
                </c:pt>
                <c:pt idx="4">
                  <c:v>0.14273909899918999</c:v>
                </c:pt>
                <c:pt idx="5">
                  <c:v>0.2304189222893501</c:v>
                </c:pt>
                <c:pt idx="6">
                  <c:v>0.17627617737654738</c:v>
                </c:pt>
                <c:pt idx="7">
                  <c:v>9.3679219453916426E-2</c:v>
                </c:pt>
                <c:pt idx="8">
                  <c:v>0.14346692159970481</c:v>
                </c:pt>
              </c:numCache>
            </c:numRef>
          </c:val>
          <c:extLst>
            <c:ext xmlns:c16="http://schemas.microsoft.com/office/drawing/2014/chart" uri="{C3380CC4-5D6E-409C-BE32-E72D297353CC}">
              <c16:uniqueId val="{00000003-AC00-4896-917E-E5AB66783A41}"/>
            </c:ext>
          </c:extLst>
        </c:ser>
        <c:ser>
          <c:idx val="4"/>
          <c:order val="4"/>
          <c:tx>
            <c:strRef>
              <c:f>'T_C.2.allen'!$W$145</c:f>
              <c:strCache>
                <c:ptCount val="1"/>
                <c:pt idx="0">
                  <c:v>35 uur of meer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'T_C.2.allen'!$R$146:$R$154</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'T_C.2.allen'!$W$146:$W$154</c:f>
              <c:numCache>
                <c:formatCode>0%</c:formatCode>
                <c:ptCount val="9"/>
                <c:pt idx="0">
                  <c:v>0.77176010180484667</c:v>
                </c:pt>
                <c:pt idx="1">
                  <c:v>0.80529052707958071</c:v>
                </c:pt>
                <c:pt idx="2">
                  <c:v>0.77522211977299993</c:v>
                </c:pt>
                <c:pt idx="3">
                  <c:v>0.23775417972693685</c:v>
                </c:pt>
                <c:pt idx="4">
                  <c:v>0.31352914634875589</c:v>
                </c:pt>
                <c:pt idx="5">
                  <c:v>0.25310643428893381</c:v>
                </c:pt>
                <c:pt idx="6">
                  <c:v>0.11896201011255546</c:v>
                </c:pt>
                <c:pt idx="7">
                  <c:v>6.6474599895462574E-2</c:v>
                </c:pt>
                <c:pt idx="8">
                  <c:v>0.13757998104774125</c:v>
                </c:pt>
              </c:numCache>
            </c:numRef>
          </c:val>
          <c:extLst>
            <c:ext xmlns:c16="http://schemas.microsoft.com/office/drawing/2014/chart" uri="{C3380CC4-5D6E-409C-BE32-E72D297353CC}">
              <c16:uniqueId val="{00000004-AC00-4896-917E-E5AB66783A41}"/>
            </c:ext>
          </c:extLst>
        </c:ser>
        <c:dLbls>
          <c:showLegendKey val="0"/>
          <c:showVal val="0"/>
          <c:showCatName val="0"/>
          <c:showSerName val="0"/>
          <c:showPercent val="0"/>
          <c:showBubbleSize val="0"/>
        </c:dLbls>
        <c:gapWidth val="75"/>
        <c:overlap val="100"/>
        <c:axId val="1268011040"/>
        <c:axId val="1268029280"/>
      </c:barChart>
      <c:catAx>
        <c:axId val="1268011040"/>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max"/>
        <c:crossBetween val="between"/>
      </c:valAx>
      <c:spPr>
        <a:noFill/>
        <a:ln>
          <a:noFill/>
        </a:ln>
        <a:effectLst/>
      </c:spPr>
    </c:plotArea>
    <c:legend>
      <c:legendPos val="r"/>
      <c:layout>
        <c:manualLayout>
          <c:xMode val="edge"/>
          <c:yMode val="edge"/>
          <c:x val="0.79520408496732031"/>
          <c:y val="0.12617738095238099"/>
          <c:w val="0.15084166666666668"/>
          <c:h val="0.3947916666666666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r>
              <a:rPr lang="en-US" sz="900" b="1"/>
              <a:t>grootteklasse</a:t>
            </a:r>
            <a:endParaRPr lang="nl-NL" sz="900" b="1"/>
          </a:p>
        </c:rich>
      </c:tx>
      <c:layout>
        <c:manualLayout>
          <c:xMode val="edge"/>
          <c:yMode val="edge"/>
          <c:x val="1.2845260801783692E-2"/>
          <c:y val="1.3481834024822852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ysClr val="windowText" lastClr="000000"/>
              </a:solidFill>
              <a:latin typeface="+mn-lt"/>
              <a:ea typeface="+mn-ea"/>
              <a:cs typeface="+mn-cs"/>
            </a:defRPr>
          </a:pPr>
          <a:endParaRPr lang="nl-NL"/>
        </a:p>
      </c:txPr>
    </c:title>
    <c:autoTitleDeleted val="0"/>
    <c:plotArea>
      <c:layout>
        <c:manualLayout>
          <c:layoutTarget val="inner"/>
          <c:xMode val="edge"/>
          <c:yMode val="edge"/>
          <c:x val="0.21113741830065355"/>
          <c:y val="0.11217735042735043"/>
          <c:w val="0.54541568627450976"/>
          <c:h val="0.79951068376068379"/>
        </c:manualLayout>
      </c:layout>
      <c:barChart>
        <c:barDir val="bar"/>
        <c:grouping val="percentStacked"/>
        <c:varyColors val="0"/>
        <c:ser>
          <c:idx val="1"/>
          <c:order val="0"/>
          <c:tx>
            <c:strRef>
              <c:f>'T_C.2.allen'!$S$173</c:f>
              <c:strCache>
                <c:ptCount val="1"/>
                <c:pt idx="0">
                  <c:v>Micro: &lt;10 werkenden</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'T_C.2.allen'!$R$174:$R$182</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'T_C.2.allen'!$S$174:$S$182</c:f>
              <c:numCache>
                <c:formatCode>0%</c:formatCode>
                <c:ptCount val="9"/>
                <c:pt idx="0">
                  <c:v>1.896525772772677E-2</c:v>
                </c:pt>
                <c:pt idx="1">
                  <c:v>3.9729872510518044E-2</c:v>
                </c:pt>
                <c:pt idx="2">
                  <c:v>0.1223346591720131</c:v>
                </c:pt>
                <c:pt idx="3">
                  <c:v>4.3131927669448743E-3</c:v>
                </c:pt>
                <c:pt idx="4">
                  <c:v>3.1856309560698228E-3</c:v>
                </c:pt>
                <c:pt idx="5">
                  <c:v>0.10516569742926302</c:v>
                </c:pt>
                <c:pt idx="6">
                  <c:v>1.225324008601484E-2</c:v>
                </c:pt>
                <c:pt idx="7">
                  <c:v>3.7328571073001963E-2</c:v>
                </c:pt>
                <c:pt idx="8">
                  <c:v>5.9011966758073575E-2</c:v>
                </c:pt>
              </c:numCache>
            </c:numRef>
          </c:val>
          <c:extLst>
            <c:ext xmlns:c16="http://schemas.microsoft.com/office/drawing/2014/chart" uri="{C3380CC4-5D6E-409C-BE32-E72D297353CC}">
              <c16:uniqueId val="{00000000-3CD7-447A-9B7D-8E56A1311B3F}"/>
            </c:ext>
          </c:extLst>
        </c:ser>
        <c:ser>
          <c:idx val="2"/>
          <c:order val="1"/>
          <c:tx>
            <c:strRef>
              <c:f>'T_C.2.allen'!$T$173</c:f>
              <c:strCache>
                <c:ptCount val="1"/>
                <c:pt idx="0">
                  <c:v>Klein: 10-49 werkenden</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'T_C.2.allen'!$R$174:$R$182</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'T_C.2.allen'!$T$174:$T$182</c:f>
              <c:numCache>
                <c:formatCode>0%</c:formatCode>
                <c:ptCount val="9"/>
                <c:pt idx="0">
                  <c:v>7.1331809909552416E-2</c:v>
                </c:pt>
                <c:pt idx="1">
                  <c:v>0.15238271031309075</c:v>
                </c:pt>
                <c:pt idx="2">
                  <c:v>0.23579224326503528</c:v>
                </c:pt>
                <c:pt idx="3">
                  <c:v>5.8206959251957055E-2</c:v>
                </c:pt>
                <c:pt idx="4">
                  <c:v>1.1693331376290425E-2</c:v>
                </c:pt>
                <c:pt idx="5">
                  <c:v>9.0131004053392097E-2</c:v>
                </c:pt>
                <c:pt idx="6">
                  <c:v>2.8747166740928729E-2</c:v>
                </c:pt>
                <c:pt idx="7">
                  <c:v>7.1807252905891433E-2</c:v>
                </c:pt>
                <c:pt idx="8">
                  <c:v>0.20978305533891839</c:v>
                </c:pt>
              </c:numCache>
            </c:numRef>
          </c:val>
          <c:extLst>
            <c:ext xmlns:c16="http://schemas.microsoft.com/office/drawing/2014/chart" uri="{C3380CC4-5D6E-409C-BE32-E72D297353CC}">
              <c16:uniqueId val="{00000001-3CD7-447A-9B7D-8E56A1311B3F}"/>
            </c:ext>
          </c:extLst>
        </c:ser>
        <c:ser>
          <c:idx val="0"/>
          <c:order val="2"/>
          <c:tx>
            <c:strRef>
              <c:f>'T_C.2.allen'!$U$173</c:f>
              <c:strCache>
                <c:ptCount val="1"/>
                <c:pt idx="0">
                  <c:v>Middel: 50-249 werkenden</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'T_C.2.allen'!$R$174:$R$182</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'T_C.2.allen'!$U$174:$U$182</c:f>
              <c:numCache>
                <c:formatCode>0%</c:formatCode>
                <c:ptCount val="9"/>
                <c:pt idx="0">
                  <c:v>0.27314897168894786</c:v>
                </c:pt>
                <c:pt idx="1">
                  <c:v>0.32752003360681303</c:v>
                </c:pt>
                <c:pt idx="2">
                  <c:v>0.2501591392207772</c:v>
                </c:pt>
                <c:pt idx="3">
                  <c:v>0.29590828122439705</c:v>
                </c:pt>
                <c:pt idx="4">
                  <c:v>0.14034715766698741</c:v>
                </c:pt>
                <c:pt idx="5">
                  <c:v>7.1016003631724473E-2</c:v>
                </c:pt>
                <c:pt idx="6">
                  <c:v>7.1491117611732116E-2</c:v>
                </c:pt>
                <c:pt idx="7">
                  <c:v>0.10805311496627423</c:v>
                </c:pt>
                <c:pt idx="8">
                  <c:v>0.21876441336050384</c:v>
                </c:pt>
              </c:numCache>
            </c:numRef>
          </c:val>
          <c:extLst>
            <c:ext xmlns:c16="http://schemas.microsoft.com/office/drawing/2014/chart" uri="{C3380CC4-5D6E-409C-BE32-E72D297353CC}">
              <c16:uniqueId val="{00000002-3CD7-447A-9B7D-8E56A1311B3F}"/>
            </c:ext>
          </c:extLst>
        </c:ser>
        <c:ser>
          <c:idx val="3"/>
          <c:order val="3"/>
          <c:tx>
            <c:strRef>
              <c:f>'T_C.2.allen'!$V$173</c:f>
              <c:strCache>
                <c:ptCount val="1"/>
                <c:pt idx="0">
                  <c:v>Groot: &gt;=250 werkenden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'T_C.2.allen'!$R$174:$R$182</c:f>
              <c:strCache>
                <c:ptCount val="9"/>
                <c:pt idx="0">
                  <c:v>Chemie &amp; Farma</c:v>
                </c:pt>
                <c:pt idx="1">
                  <c:v>Electronica &amp; Machines</c:v>
                </c:pt>
                <c:pt idx="2">
                  <c:v>ICT</c:v>
                </c:pt>
                <c:pt idx="3">
                  <c:v>Basisonderwijs</c:v>
                </c:pt>
                <c:pt idx="4">
                  <c:v>Voortgezet onderwijs</c:v>
                </c:pt>
                <c:pt idx="5">
                  <c:v>Gezondheidszorg</c:v>
                </c:pt>
                <c:pt idx="6">
                  <c:v>Verzorg- &amp; verpleeghuizen</c:v>
                </c:pt>
                <c:pt idx="7">
                  <c:v>Thuiszorg</c:v>
                </c:pt>
                <c:pt idx="8">
                  <c:v>Kinderopvang</c:v>
                </c:pt>
              </c:strCache>
            </c:strRef>
          </c:cat>
          <c:val>
            <c:numRef>
              <c:f>'T_C.2.allen'!$V$174:$V$182</c:f>
              <c:numCache>
                <c:formatCode>0%</c:formatCode>
                <c:ptCount val="9"/>
                <c:pt idx="0">
                  <c:v>0.6365539606737729</c:v>
                </c:pt>
                <c:pt idx="1">
                  <c:v>0.4803673835695782</c:v>
                </c:pt>
                <c:pt idx="2">
                  <c:v>0.39171395834217443</c:v>
                </c:pt>
                <c:pt idx="3">
                  <c:v>0.64157156675670102</c:v>
                </c:pt>
                <c:pt idx="4">
                  <c:v>0.84477388000065234</c:v>
                </c:pt>
                <c:pt idx="5">
                  <c:v>0.73368729488562046</c:v>
                </c:pt>
                <c:pt idx="6">
                  <c:v>0.88750847556132428</c:v>
                </c:pt>
                <c:pt idx="7">
                  <c:v>0.78281106105483234</c:v>
                </c:pt>
                <c:pt idx="8">
                  <c:v>0.5124405645425042</c:v>
                </c:pt>
              </c:numCache>
            </c:numRef>
          </c:val>
          <c:extLst>
            <c:ext xmlns:c16="http://schemas.microsoft.com/office/drawing/2014/chart" uri="{C3380CC4-5D6E-409C-BE32-E72D297353CC}">
              <c16:uniqueId val="{00000003-3CD7-447A-9B7D-8E56A1311B3F}"/>
            </c:ext>
          </c:extLst>
        </c:ser>
        <c:dLbls>
          <c:showLegendKey val="0"/>
          <c:showVal val="0"/>
          <c:showCatName val="0"/>
          <c:showSerName val="0"/>
          <c:showPercent val="0"/>
          <c:showBubbleSize val="0"/>
        </c:dLbls>
        <c:gapWidth val="75"/>
        <c:overlap val="100"/>
        <c:axId val="1268011040"/>
        <c:axId val="1268029280"/>
      </c:barChart>
      <c:catAx>
        <c:axId val="1268011040"/>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ysClr val="windowText" lastClr="000000"/>
            </a:solidFill>
            <a:round/>
          </a:ln>
          <a:effectLst/>
        </c:spPr>
        <c:txPr>
          <a:bodyPr rot="0" spcFirstLastPara="1" vertOverflow="ellipsis"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29280"/>
        <c:crosses val="autoZero"/>
        <c:auto val="1"/>
        <c:lblAlgn val="ctr"/>
        <c:lblOffset val="100"/>
        <c:noMultiLvlLbl val="0"/>
      </c:catAx>
      <c:valAx>
        <c:axId val="1268029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crossAx val="1268011040"/>
        <c:crosses val="max"/>
        <c:crossBetween val="between"/>
      </c:valAx>
      <c:spPr>
        <a:noFill/>
        <a:ln>
          <a:noFill/>
        </a:ln>
        <a:effectLst/>
      </c:spPr>
    </c:plotArea>
    <c:legend>
      <c:legendPos val="b"/>
      <c:layout>
        <c:manualLayout>
          <c:xMode val="edge"/>
          <c:yMode val="edge"/>
          <c:x val="0.78162598039215692"/>
          <c:y val="0.1184531746031746"/>
          <c:w val="0.20274836601307189"/>
          <c:h val="0.29566468253968253"/>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506702</xdr:colOff>
      <xdr:row>64</xdr:row>
      <xdr:rowOff>67137</xdr:rowOff>
    </xdr:from>
    <xdr:to>
      <xdr:col>8</xdr:col>
      <xdr:colOff>441055</xdr:colOff>
      <xdr:row>80</xdr:row>
      <xdr:rowOff>77019</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762000</xdr:colOff>
      <xdr:row>16</xdr:row>
      <xdr:rowOff>130155</xdr:rowOff>
    </xdr:from>
    <xdr:to>
      <xdr:col>23</xdr:col>
      <xdr:colOff>555545</xdr:colOff>
      <xdr:row>34</xdr:row>
      <xdr:rowOff>122068</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19</xdr:col>
      <xdr:colOff>753834</xdr:colOff>
      <xdr:row>25</xdr:row>
      <xdr:rowOff>61233</xdr:rowOff>
    </xdr:from>
    <xdr:to>
      <xdr:col>23</xdr:col>
      <xdr:colOff>543652</xdr:colOff>
      <xdr:row>42</xdr:row>
      <xdr:rowOff>116508</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20</xdr:col>
      <xdr:colOff>673100</xdr:colOff>
      <xdr:row>24</xdr:row>
      <xdr:rowOff>38100</xdr:rowOff>
    </xdr:from>
    <xdr:to>
      <xdr:col>24</xdr:col>
      <xdr:colOff>454300</xdr:colOff>
      <xdr:row>41</xdr:row>
      <xdr:rowOff>39400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20</xdr:col>
      <xdr:colOff>25400</xdr:colOff>
      <xdr:row>21</xdr:row>
      <xdr:rowOff>127000</xdr:rowOff>
    </xdr:from>
    <xdr:to>
      <xdr:col>23</xdr:col>
      <xdr:colOff>581300</xdr:colOff>
      <xdr:row>38</xdr:row>
      <xdr:rowOff>128300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19</xdr:col>
      <xdr:colOff>736600</xdr:colOff>
      <xdr:row>25</xdr:row>
      <xdr:rowOff>101600</xdr:rowOff>
    </xdr:from>
    <xdr:to>
      <xdr:col>23</xdr:col>
      <xdr:colOff>517800</xdr:colOff>
      <xdr:row>42</xdr:row>
      <xdr:rowOff>102900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20</xdr:col>
      <xdr:colOff>50800</xdr:colOff>
      <xdr:row>22</xdr:row>
      <xdr:rowOff>63500</xdr:rowOff>
    </xdr:from>
    <xdr:to>
      <xdr:col>23</xdr:col>
      <xdr:colOff>606700</xdr:colOff>
      <xdr:row>39</xdr:row>
      <xdr:rowOff>64800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46</xdr:col>
      <xdr:colOff>625929</xdr:colOff>
      <xdr:row>3</xdr:row>
      <xdr:rowOff>108858</xdr:rowOff>
    </xdr:from>
    <xdr:to>
      <xdr:col>50</xdr:col>
      <xdr:colOff>415747</xdr:colOff>
      <xdr:row>25</xdr:row>
      <xdr:rowOff>146508</xdr:rowOff>
    </xdr:to>
    <xdr:graphicFrame macro="">
      <xdr:nvGraphicFramePr>
        <xdr:cNvPr id="17" name="Chart 16">
          <a:extLst>
            <a:ext uri="{FF2B5EF4-FFF2-40B4-BE49-F238E27FC236}">
              <a16:creationId xmlns:a16="http://schemas.microsoft.com/office/drawing/2014/main" id="{00000000-0008-0000-08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571499</xdr:colOff>
      <xdr:row>29</xdr:row>
      <xdr:rowOff>95250</xdr:rowOff>
    </xdr:from>
    <xdr:to>
      <xdr:col>50</xdr:col>
      <xdr:colOff>734785</xdr:colOff>
      <xdr:row>52</xdr:row>
      <xdr:rowOff>80553</xdr:rowOff>
    </xdr:to>
    <xdr:graphicFrame macro="">
      <xdr:nvGraphicFramePr>
        <xdr:cNvPr id="19" name="Chart 18">
          <a:extLst>
            <a:ext uri="{FF2B5EF4-FFF2-40B4-BE49-F238E27FC236}">
              <a16:creationId xmlns:a16="http://schemas.microsoft.com/office/drawing/2014/main" id="{00000000-0008-0000-08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27214</xdr:colOff>
      <xdr:row>55</xdr:row>
      <xdr:rowOff>163285</xdr:rowOff>
    </xdr:from>
    <xdr:to>
      <xdr:col>16</xdr:col>
      <xdr:colOff>357964</xdr:colOff>
      <xdr:row>82</xdr:row>
      <xdr:rowOff>74570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39476</xdr:colOff>
      <xdr:row>49</xdr:row>
      <xdr:rowOff>45133</xdr:rowOff>
    </xdr:from>
    <xdr:to>
      <xdr:col>8</xdr:col>
      <xdr:colOff>225314</xdr:colOff>
      <xdr:row>64</xdr:row>
      <xdr:rowOff>87758</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448393</xdr:colOff>
      <xdr:row>1</xdr:row>
      <xdr:rowOff>115429</xdr:rowOff>
    </xdr:from>
    <xdr:to>
      <xdr:col>23</xdr:col>
      <xdr:colOff>26129</xdr:colOff>
      <xdr:row>23</xdr:row>
      <xdr:rowOff>157032</xdr:rowOff>
    </xdr:to>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18</xdr:col>
      <xdr:colOff>136071</xdr:colOff>
      <xdr:row>2</xdr:row>
      <xdr:rowOff>13605</xdr:rowOff>
    </xdr:from>
    <xdr:to>
      <xdr:col>25</xdr:col>
      <xdr:colOff>466821</xdr:colOff>
      <xdr:row>24</xdr:row>
      <xdr:rowOff>21319</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46</xdr:col>
      <xdr:colOff>625928</xdr:colOff>
      <xdr:row>3</xdr:row>
      <xdr:rowOff>108858</xdr:rowOff>
    </xdr:from>
    <xdr:to>
      <xdr:col>50</xdr:col>
      <xdr:colOff>440411</xdr:colOff>
      <xdr:row>19</xdr:row>
      <xdr:rowOff>1271</xdr:rowOff>
    </xdr:to>
    <xdr:graphicFrame macro="">
      <xdr:nvGraphicFramePr>
        <xdr:cNvPr id="2" name="Chart 1">
          <a:extLst>
            <a:ext uri="{FF2B5EF4-FFF2-40B4-BE49-F238E27FC236}">
              <a16:creationId xmlns:a16="http://schemas.microsoft.com/office/drawing/2014/main" id="{5B2285E7-2527-4605-9C2B-FE7A5A7D0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571499</xdr:colOff>
      <xdr:row>29</xdr:row>
      <xdr:rowOff>95250</xdr:rowOff>
    </xdr:from>
    <xdr:to>
      <xdr:col>50</xdr:col>
      <xdr:colOff>385982</xdr:colOff>
      <xdr:row>44</xdr:row>
      <xdr:rowOff>151888</xdr:rowOff>
    </xdr:to>
    <xdr:graphicFrame macro="">
      <xdr:nvGraphicFramePr>
        <xdr:cNvPr id="3" name="Chart 2">
          <a:extLst>
            <a:ext uri="{FF2B5EF4-FFF2-40B4-BE49-F238E27FC236}">
              <a16:creationId xmlns:a16="http://schemas.microsoft.com/office/drawing/2014/main" id="{BD8F8896-2330-4357-85B5-18DA24BC7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9</xdr:col>
      <xdr:colOff>27213</xdr:colOff>
      <xdr:row>56</xdr:row>
      <xdr:rowOff>2623</xdr:rowOff>
    </xdr:from>
    <xdr:to>
      <xdr:col>16</xdr:col>
      <xdr:colOff>405014</xdr:colOff>
      <xdr:row>76</xdr:row>
      <xdr:rowOff>29370</xdr:rowOff>
    </xdr:to>
    <xdr:graphicFrame macro="">
      <xdr:nvGraphicFramePr>
        <xdr:cNvPr id="2" name="Chart 1">
          <a:extLst>
            <a:ext uri="{FF2B5EF4-FFF2-40B4-BE49-F238E27FC236}">
              <a16:creationId xmlns:a16="http://schemas.microsoft.com/office/drawing/2014/main" id="{A90D3F8F-5B0A-44B2-98F1-1AD0E0EE1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27</xdr:col>
      <xdr:colOff>38099</xdr:colOff>
      <xdr:row>2</xdr:row>
      <xdr:rowOff>47625</xdr:rowOff>
    </xdr:from>
    <xdr:to>
      <xdr:col>37</xdr:col>
      <xdr:colOff>62099</xdr:colOff>
      <xdr:row>25</xdr:row>
      <xdr:rowOff>91125</xdr:rowOff>
    </xdr:to>
    <xdr:graphicFrame macro="">
      <xdr:nvGraphicFramePr>
        <xdr:cNvPr id="2" name="Chart 1">
          <a:extLst>
            <a:ext uri="{FF2B5EF4-FFF2-40B4-BE49-F238E27FC236}">
              <a16:creationId xmlns:a16="http://schemas.microsoft.com/office/drawing/2014/main" id="{C11EC72F-C400-43FE-8193-EDA075BF6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22223</xdr:colOff>
      <xdr:row>31</xdr:row>
      <xdr:rowOff>25400</xdr:rowOff>
    </xdr:from>
    <xdr:to>
      <xdr:col>37</xdr:col>
      <xdr:colOff>46223</xdr:colOff>
      <xdr:row>46</xdr:row>
      <xdr:rowOff>12165</xdr:rowOff>
    </xdr:to>
    <xdr:graphicFrame macro="">
      <xdr:nvGraphicFramePr>
        <xdr:cNvPr id="3" name="Chart 2">
          <a:extLst>
            <a:ext uri="{FF2B5EF4-FFF2-40B4-BE49-F238E27FC236}">
              <a16:creationId xmlns:a16="http://schemas.microsoft.com/office/drawing/2014/main" id="{1DFC09A9-8B8B-4BFD-A92A-2122F9F60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587187</xdr:colOff>
      <xdr:row>58</xdr:row>
      <xdr:rowOff>123265</xdr:rowOff>
    </xdr:from>
    <xdr:to>
      <xdr:col>36</xdr:col>
      <xdr:colOff>296011</xdr:colOff>
      <xdr:row>73</xdr:row>
      <xdr:rowOff>110029</xdr:rowOff>
    </xdr:to>
    <xdr:graphicFrame macro="">
      <xdr:nvGraphicFramePr>
        <xdr:cNvPr id="4" name="Chart 3">
          <a:extLst>
            <a:ext uri="{FF2B5EF4-FFF2-40B4-BE49-F238E27FC236}">
              <a16:creationId xmlns:a16="http://schemas.microsoft.com/office/drawing/2014/main" id="{FA43EE27-B659-46BF-B57C-03EF8B0B9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0</xdr:colOff>
      <xdr:row>87</xdr:row>
      <xdr:rowOff>0</xdr:rowOff>
    </xdr:from>
    <xdr:to>
      <xdr:col>36</xdr:col>
      <xdr:colOff>313941</xdr:colOff>
      <xdr:row>101</xdr:row>
      <xdr:rowOff>143647</xdr:rowOff>
    </xdr:to>
    <xdr:graphicFrame macro="">
      <xdr:nvGraphicFramePr>
        <xdr:cNvPr id="5" name="Chart 4">
          <a:extLst>
            <a:ext uri="{FF2B5EF4-FFF2-40B4-BE49-F238E27FC236}">
              <a16:creationId xmlns:a16="http://schemas.microsoft.com/office/drawing/2014/main" id="{91FE1330-5CE0-40A0-9FDD-77456DDF9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0</xdr:colOff>
      <xdr:row>115</xdr:row>
      <xdr:rowOff>0</xdr:rowOff>
    </xdr:from>
    <xdr:to>
      <xdr:col>36</xdr:col>
      <xdr:colOff>313941</xdr:colOff>
      <xdr:row>127</xdr:row>
      <xdr:rowOff>154853</xdr:rowOff>
    </xdr:to>
    <xdr:graphicFrame macro="">
      <xdr:nvGraphicFramePr>
        <xdr:cNvPr id="6" name="Chart 5">
          <a:extLst>
            <a:ext uri="{FF2B5EF4-FFF2-40B4-BE49-F238E27FC236}">
              <a16:creationId xmlns:a16="http://schemas.microsoft.com/office/drawing/2014/main" id="{BF3A2283-B1CF-40C7-902A-22C6C26AC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0</xdr:colOff>
      <xdr:row>143</xdr:row>
      <xdr:rowOff>0</xdr:rowOff>
    </xdr:from>
    <xdr:to>
      <xdr:col>36</xdr:col>
      <xdr:colOff>313941</xdr:colOff>
      <xdr:row>157</xdr:row>
      <xdr:rowOff>143647</xdr:rowOff>
    </xdr:to>
    <xdr:graphicFrame macro="">
      <xdr:nvGraphicFramePr>
        <xdr:cNvPr id="7" name="Chart 6">
          <a:extLst>
            <a:ext uri="{FF2B5EF4-FFF2-40B4-BE49-F238E27FC236}">
              <a16:creationId xmlns:a16="http://schemas.microsoft.com/office/drawing/2014/main" id="{867CFB7D-048B-48AD-9546-7404561A0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605116</xdr:colOff>
      <xdr:row>171</xdr:row>
      <xdr:rowOff>0</xdr:rowOff>
    </xdr:from>
    <xdr:to>
      <xdr:col>36</xdr:col>
      <xdr:colOff>313940</xdr:colOff>
      <xdr:row>185</xdr:row>
      <xdr:rowOff>143647</xdr:rowOff>
    </xdr:to>
    <xdr:graphicFrame macro="">
      <xdr:nvGraphicFramePr>
        <xdr:cNvPr id="8" name="Chart 7">
          <a:extLst>
            <a:ext uri="{FF2B5EF4-FFF2-40B4-BE49-F238E27FC236}">
              <a16:creationId xmlns:a16="http://schemas.microsoft.com/office/drawing/2014/main" id="{D2930F7D-34A5-4DFC-B02C-434AA68D7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A37C8-E8B6-4D9D-8005-80F379DEC747}">
  <dimension ref="A2:Q81"/>
  <sheetViews>
    <sheetView zoomScale="70" zoomScaleNormal="70" workbookViewId="0">
      <selection activeCell="A2" sqref="A2"/>
    </sheetView>
  </sheetViews>
  <sheetFormatPr defaultColWidth="11.54296875" defaultRowHeight="12.75" customHeight="1" x14ac:dyDescent="0.25"/>
  <cols>
    <col min="1" max="15" width="11.54296875" style="1"/>
    <col min="16" max="16" width="11.54296875" style="42"/>
    <col min="17" max="16384" width="11.54296875" style="1"/>
  </cols>
  <sheetData>
    <row r="2" spans="1:17" ht="12.75" customHeight="1" x14ac:dyDescent="0.3">
      <c r="A2" s="71" t="s">
        <v>229</v>
      </c>
    </row>
    <row r="3" spans="1:17" ht="12.75" customHeight="1" x14ac:dyDescent="0.3">
      <c r="A3" s="71"/>
    </row>
    <row r="4" spans="1:17" ht="12.75" customHeight="1" x14ac:dyDescent="0.25">
      <c r="B4" s="1" t="s">
        <v>0</v>
      </c>
    </row>
    <row r="5" spans="1:17" ht="12.75" customHeight="1" x14ac:dyDescent="0.25">
      <c r="A5" s="1" t="s">
        <v>1</v>
      </c>
      <c r="B5" s="1">
        <v>2011</v>
      </c>
      <c r="C5" s="1">
        <v>2012</v>
      </c>
      <c r="D5" s="1">
        <v>2013</v>
      </c>
      <c r="E5" s="1">
        <v>2014</v>
      </c>
      <c r="F5" s="1">
        <v>2015</v>
      </c>
      <c r="G5" s="1">
        <v>2016</v>
      </c>
      <c r="H5" s="1">
        <v>2017</v>
      </c>
      <c r="I5" s="1">
        <v>2018</v>
      </c>
      <c r="J5" s="1">
        <v>2019</v>
      </c>
      <c r="K5" s="1">
        <v>2020</v>
      </c>
      <c r="L5" s="1">
        <v>2021</v>
      </c>
      <c r="M5" s="1">
        <v>2022</v>
      </c>
      <c r="N5" s="1">
        <v>2023</v>
      </c>
      <c r="O5" s="1">
        <v>2024</v>
      </c>
      <c r="P5" s="42" t="s">
        <v>2</v>
      </c>
    </row>
    <row r="7" spans="1:17" ht="12.75" customHeight="1" x14ac:dyDescent="0.25">
      <c r="A7" s="1">
        <v>0</v>
      </c>
      <c r="B7" s="1">
        <v>5312403</v>
      </c>
      <c r="C7" s="1">
        <v>5332636</v>
      </c>
      <c r="D7" s="1">
        <v>5227666</v>
      </c>
      <c r="E7" s="1">
        <v>5148045</v>
      </c>
      <c r="F7" s="1">
        <v>5176431</v>
      </c>
      <c r="G7" s="1">
        <v>5242988</v>
      </c>
      <c r="H7" s="1">
        <v>5357774</v>
      </c>
      <c r="I7" s="1">
        <v>5552592</v>
      </c>
      <c r="J7" s="1">
        <v>5765717</v>
      </c>
      <c r="K7" s="1">
        <v>5774589</v>
      </c>
      <c r="L7" s="1">
        <v>5768373</v>
      </c>
      <c r="M7" s="1">
        <v>5939225</v>
      </c>
      <c r="N7" s="1">
        <v>6057991</v>
      </c>
      <c r="O7" s="1">
        <v>6176598</v>
      </c>
      <c r="P7" s="42">
        <v>79348131</v>
      </c>
    </row>
    <row r="8" spans="1:17" ht="12.75" customHeight="1" x14ac:dyDescent="0.25">
      <c r="A8" s="1">
        <v>1</v>
      </c>
      <c r="B8" s="1">
        <v>1122938</v>
      </c>
      <c r="C8" s="1">
        <v>1001650</v>
      </c>
      <c r="D8" s="1">
        <v>1037592</v>
      </c>
      <c r="E8" s="1">
        <v>1117965</v>
      </c>
      <c r="F8" s="1">
        <v>1175544</v>
      </c>
      <c r="G8" s="1">
        <v>1250017</v>
      </c>
      <c r="H8" s="1">
        <v>1305975</v>
      </c>
      <c r="I8" s="1">
        <v>1415003</v>
      </c>
      <c r="J8" s="1">
        <v>1241338</v>
      </c>
      <c r="K8" s="1">
        <v>1263509</v>
      </c>
      <c r="L8" s="1">
        <v>1452932</v>
      </c>
      <c r="M8" s="1">
        <v>1432567</v>
      </c>
      <c r="N8" s="1">
        <v>1386164</v>
      </c>
      <c r="O8" s="1">
        <v>1316475</v>
      </c>
      <c r="P8" s="42">
        <v>20615960</v>
      </c>
    </row>
    <row r="9" spans="1:17" ht="12.75" customHeight="1" x14ac:dyDescent="0.25">
      <c r="A9" s="1">
        <v>3</v>
      </c>
      <c r="B9" s="1">
        <v>553441</v>
      </c>
      <c r="C9" s="1">
        <v>547067</v>
      </c>
      <c r="D9" s="1">
        <v>600495</v>
      </c>
      <c r="E9" s="1">
        <v>655493</v>
      </c>
      <c r="F9" s="1">
        <v>687131</v>
      </c>
      <c r="G9" s="1">
        <v>721197</v>
      </c>
      <c r="H9" s="1">
        <v>956928</v>
      </c>
      <c r="I9" s="1">
        <v>744799</v>
      </c>
      <c r="J9" s="1">
        <v>612489</v>
      </c>
      <c r="K9" s="1">
        <v>844723</v>
      </c>
      <c r="L9" s="1">
        <v>853754</v>
      </c>
      <c r="M9" s="1">
        <v>772596</v>
      </c>
      <c r="N9" s="1">
        <v>744578</v>
      </c>
      <c r="O9" s="1">
        <v>704347</v>
      </c>
      <c r="P9" s="42">
        <v>7445193</v>
      </c>
    </row>
    <row r="10" spans="1:17" ht="12.75" customHeight="1" x14ac:dyDescent="0.25">
      <c r="A10" s="1">
        <v>4</v>
      </c>
      <c r="B10" s="1">
        <v>657018</v>
      </c>
      <c r="C10" s="1">
        <v>684786</v>
      </c>
      <c r="D10" s="1">
        <v>643707</v>
      </c>
      <c r="E10" s="1">
        <v>627534</v>
      </c>
      <c r="F10" s="1">
        <v>601986</v>
      </c>
      <c r="G10" s="1">
        <v>581530</v>
      </c>
      <c r="H10" s="1">
        <v>592127</v>
      </c>
      <c r="I10" s="1">
        <v>702842</v>
      </c>
      <c r="J10" s="1">
        <v>758872</v>
      </c>
      <c r="K10" s="1">
        <v>627967</v>
      </c>
      <c r="L10" s="1">
        <v>716980</v>
      </c>
      <c r="M10" s="1">
        <v>772045</v>
      </c>
      <c r="N10" s="1">
        <v>775060</v>
      </c>
      <c r="O10" s="1">
        <v>768718</v>
      </c>
      <c r="P10" s="42">
        <v>7217991</v>
      </c>
    </row>
    <row r="11" spans="1:17" ht="12.75" customHeight="1" x14ac:dyDescent="0.25">
      <c r="A11" s="1" t="s">
        <v>2</v>
      </c>
      <c r="B11" s="1">
        <v>7645800</v>
      </c>
      <c r="C11" s="1">
        <v>7566139</v>
      </c>
      <c r="D11" s="1">
        <v>7509460</v>
      </c>
      <c r="E11" s="1">
        <v>7549037</v>
      </c>
      <c r="F11" s="1">
        <v>7641092</v>
      </c>
      <c r="G11" s="1">
        <v>7795732</v>
      </c>
      <c r="H11" s="1">
        <v>8212804</v>
      </c>
      <c r="I11" s="1">
        <v>8415236</v>
      </c>
      <c r="J11" s="1">
        <v>8378416</v>
      </c>
      <c r="K11" s="1">
        <v>8510788</v>
      </c>
      <c r="L11" s="1">
        <v>8792039</v>
      </c>
      <c r="M11" s="1">
        <v>8916433</v>
      </c>
      <c r="N11" s="1">
        <v>8963793</v>
      </c>
      <c r="O11" s="1">
        <v>8966138</v>
      </c>
      <c r="P11" s="42">
        <v>114627275</v>
      </c>
    </row>
    <row r="13" spans="1:17" ht="12.75" customHeight="1" x14ac:dyDescent="0.3">
      <c r="A13" s="99" t="s">
        <v>230</v>
      </c>
      <c r="B13" s="99"/>
      <c r="C13" s="99"/>
      <c r="D13" s="99"/>
    </row>
    <row r="15" spans="1:17" ht="12.75" customHeight="1" x14ac:dyDescent="0.35">
      <c r="A15" s="70" t="s">
        <v>196</v>
      </c>
      <c r="B15"/>
      <c r="C15" s="41"/>
      <c r="D15" s="41"/>
      <c r="E15" s="41"/>
      <c r="F15" s="41"/>
      <c r="G15" s="41"/>
      <c r="H15" s="41"/>
      <c r="I15" s="41"/>
      <c r="J15" s="41"/>
      <c r="K15" s="41"/>
      <c r="L15" s="41"/>
      <c r="M15" s="41"/>
      <c r="N15" s="41"/>
      <c r="O15" s="41"/>
      <c r="P15" s="41"/>
      <c r="Q15"/>
    </row>
    <row r="16" spans="1:17" ht="12.75" customHeight="1" x14ac:dyDescent="0.35">
      <c r="A16"/>
      <c r="B16"/>
      <c r="C16" s="41"/>
      <c r="D16" s="41"/>
      <c r="E16" s="41"/>
      <c r="F16" s="41"/>
      <c r="G16" s="41"/>
      <c r="H16" s="41"/>
      <c r="I16" s="41"/>
      <c r="J16" s="41"/>
      <c r="K16" s="41"/>
      <c r="L16" s="41"/>
      <c r="M16" s="41"/>
      <c r="N16" s="41"/>
      <c r="O16" s="41"/>
      <c r="P16" s="41"/>
      <c r="Q16"/>
    </row>
    <row r="17" spans="1:16" ht="12.75" customHeight="1" x14ac:dyDescent="0.35">
      <c r="A17"/>
      <c r="B17" s="71">
        <v>2011</v>
      </c>
      <c r="C17" s="72">
        <v>2012</v>
      </c>
      <c r="D17" s="72">
        <v>2013</v>
      </c>
      <c r="E17" s="72">
        <v>2014</v>
      </c>
      <c r="F17" s="72">
        <v>2015</v>
      </c>
      <c r="G17" s="72">
        <v>2016</v>
      </c>
      <c r="H17" s="72">
        <v>2017</v>
      </c>
      <c r="I17" s="72">
        <v>2018</v>
      </c>
      <c r="J17" s="72">
        <v>2019</v>
      </c>
      <c r="K17" s="72">
        <v>2020</v>
      </c>
      <c r="L17" s="72">
        <v>2021</v>
      </c>
      <c r="M17" s="72">
        <v>2022</v>
      </c>
      <c r="N17" s="72">
        <v>2023</v>
      </c>
      <c r="O17" s="71">
        <v>2024</v>
      </c>
      <c r="P17" s="72" t="s">
        <v>2</v>
      </c>
    </row>
    <row r="18" spans="1:16" ht="12.75" customHeight="1" x14ac:dyDescent="0.35">
      <c r="A18"/>
      <c r="B18"/>
      <c r="C18" s="41"/>
      <c r="D18" s="41"/>
      <c r="E18" s="41"/>
      <c r="F18" s="41"/>
      <c r="G18" s="41"/>
      <c r="H18" s="41"/>
      <c r="I18" s="41"/>
      <c r="J18" s="41"/>
      <c r="K18" s="41"/>
      <c r="L18" s="41"/>
      <c r="M18" s="41"/>
      <c r="N18" s="41"/>
      <c r="O18"/>
      <c r="P18" s="41"/>
    </row>
    <row r="19" spans="1:16" ht="12.75" customHeight="1" x14ac:dyDescent="0.35">
      <c r="A19">
        <v>1</v>
      </c>
      <c r="B19" s="40">
        <v>79947</v>
      </c>
      <c r="C19" s="73">
        <v>81072</v>
      </c>
      <c r="D19" s="73">
        <v>80436</v>
      </c>
      <c r="E19" s="73">
        <v>79710</v>
      </c>
      <c r="F19" s="73">
        <v>80350</v>
      </c>
      <c r="G19" s="73">
        <v>80543</v>
      </c>
      <c r="H19" s="73">
        <v>102139</v>
      </c>
      <c r="I19" s="73">
        <v>98174</v>
      </c>
      <c r="J19" s="73">
        <v>96632</v>
      </c>
      <c r="K19" s="73">
        <v>104614</v>
      </c>
      <c r="L19" s="73">
        <v>101921</v>
      </c>
      <c r="M19" s="73">
        <v>100499</v>
      </c>
      <c r="N19" s="73">
        <v>100601</v>
      </c>
      <c r="O19" s="73">
        <v>96360</v>
      </c>
      <c r="P19" s="73">
        <v>1282998</v>
      </c>
    </row>
    <row r="20" spans="1:16" ht="12.75" customHeight="1" x14ac:dyDescent="0.35">
      <c r="A20">
        <v>2</v>
      </c>
      <c r="B20" s="40">
        <v>8059</v>
      </c>
      <c r="C20" s="73">
        <v>9814</v>
      </c>
      <c r="D20" s="73">
        <v>10300</v>
      </c>
      <c r="E20" s="73">
        <v>10195</v>
      </c>
      <c r="F20" s="73">
        <v>9661</v>
      </c>
      <c r="G20" s="73">
        <v>7921</v>
      </c>
      <c r="H20" s="73">
        <v>8052</v>
      </c>
      <c r="I20" s="73">
        <v>8114</v>
      </c>
      <c r="J20" s="73">
        <v>8069</v>
      </c>
      <c r="K20" s="73">
        <v>7406</v>
      </c>
      <c r="L20" s="73">
        <v>7676</v>
      </c>
      <c r="M20" s="73">
        <v>7972</v>
      </c>
      <c r="N20" s="73">
        <v>8001</v>
      </c>
      <c r="O20" s="73">
        <v>8077</v>
      </c>
      <c r="P20" s="73">
        <v>119317</v>
      </c>
    </row>
    <row r="21" spans="1:16" ht="12.75" customHeight="1" x14ac:dyDescent="0.35">
      <c r="A21">
        <v>3</v>
      </c>
      <c r="B21" s="40">
        <v>622507</v>
      </c>
      <c r="C21" s="73">
        <v>608965</v>
      </c>
      <c r="D21" s="73">
        <v>605446</v>
      </c>
      <c r="E21" s="73">
        <v>607427</v>
      </c>
      <c r="F21" s="73">
        <v>615423</v>
      </c>
      <c r="G21" s="73">
        <v>629033</v>
      </c>
      <c r="H21" s="73">
        <v>658715</v>
      </c>
      <c r="I21" s="73">
        <v>676763</v>
      </c>
      <c r="J21" s="73">
        <v>670320</v>
      </c>
      <c r="K21" s="73">
        <v>679044</v>
      </c>
      <c r="L21" s="73">
        <v>698151</v>
      </c>
      <c r="M21" s="73">
        <v>713970</v>
      </c>
      <c r="N21" s="73">
        <v>717265</v>
      </c>
      <c r="O21" s="73">
        <v>716878</v>
      </c>
      <c r="P21" s="73">
        <v>9219907</v>
      </c>
    </row>
    <row r="22" spans="1:16" ht="12.75" customHeight="1" x14ac:dyDescent="0.35">
      <c r="A22">
        <v>4</v>
      </c>
      <c r="B22" s="40">
        <v>26130</v>
      </c>
      <c r="C22" s="73">
        <v>25628</v>
      </c>
      <c r="D22" s="73">
        <v>25479</v>
      </c>
      <c r="E22" s="73">
        <v>26631</v>
      </c>
      <c r="F22" s="73">
        <v>26000</v>
      </c>
      <c r="G22" s="73">
        <v>26079</v>
      </c>
      <c r="H22" s="73">
        <v>26482</v>
      </c>
      <c r="I22" s="73">
        <v>26776</v>
      </c>
      <c r="J22" s="73">
        <v>27827</v>
      </c>
      <c r="K22" s="73">
        <v>29701</v>
      </c>
      <c r="L22" s="73">
        <v>31655</v>
      </c>
      <c r="M22" s="73">
        <v>34158</v>
      </c>
      <c r="N22" s="73">
        <v>38736</v>
      </c>
      <c r="O22" s="73">
        <v>40598</v>
      </c>
      <c r="P22" s="73">
        <v>411880</v>
      </c>
    </row>
    <row r="23" spans="1:16" ht="12.75" customHeight="1" x14ac:dyDescent="0.35">
      <c r="A23">
        <v>5</v>
      </c>
      <c r="B23" s="40">
        <v>36408</v>
      </c>
      <c r="C23" s="73">
        <v>31320</v>
      </c>
      <c r="D23" s="73">
        <v>31534</v>
      </c>
      <c r="E23" s="73">
        <v>31236</v>
      </c>
      <c r="F23" s="73">
        <v>31711</v>
      </c>
      <c r="G23" s="73">
        <v>32641</v>
      </c>
      <c r="H23" s="73">
        <v>34227</v>
      </c>
      <c r="I23" s="73">
        <v>34763</v>
      </c>
      <c r="J23" s="73">
        <v>35195</v>
      </c>
      <c r="K23" s="73">
        <v>36124</v>
      </c>
      <c r="L23" s="73">
        <v>37100</v>
      </c>
      <c r="M23" s="73">
        <v>37819</v>
      </c>
      <c r="N23" s="73">
        <v>38551</v>
      </c>
      <c r="O23" s="73">
        <v>40424</v>
      </c>
      <c r="P23" s="73">
        <v>489053</v>
      </c>
    </row>
    <row r="24" spans="1:16" ht="12.75" customHeight="1" x14ac:dyDescent="0.35">
      <c r="A24">
        <v>6</v>
      </c>
      <c r="B24" s="40">
        <v>322635</v>
      </c>
      <c r="C24" s="73">
        <v>294076</v>
      </c>
      <c r="D24" s="73">
        <v>279811</v>
      </c>
      <c r="E24" s="73">
        <v>273856</v>
      </c>
      <c r="F24" s="73">
        <v>275585</v>
      </c>
      <c r="G24" s="73">
        <v>284292</v>
      </c>
      <c r="H24" s="73">
        <v>298377</v>
      </c>
      <c r="I24" s="73">
        <v>307593</v>
      </c>
      <c r="J24" s="73">
        <v>311875</v>
      </c>
      <c r="K24" s="73">
        <v>318810</v>
      </c>
      <c r="L24" s="73">
        <v>326567</v>
      </c>
      <c r="M24" s="73">
        <v>330972</v>
      </c>
      <c r="N24" s="73">
        <v>332772</v>
      </c>
      <c r="O24" s="73">
        <v>344432</v>
      </c>
      <c r="P24" s="73">
        <v>4301653</v>
      </c>
    </row>
    <row r="25" spans="1:16" ht="12.75" customHeight="1" x14ac:dyDescent="0.35">
      <c r="A25">
        <v>7</v>
      </c>
      <c r="B25" s="40">
        <v>1195274</v>
      </c>
      <c r="C25" s="73">
        <v>1181070</v>
      </c>
      <c r="D25" s="73">
        <v>1181400</v>
      </c>
      <c r="E25" s="73">
        <v>1197443</v>
      </c>
      <c r="F25" s="73">
        <v>1209566</v>
      </c>
      <c r="G25" s="73">
        <v>1242653</v>
      </c>
      <c r="H25" s="73">
        <v>1279288</v>
      </c>
      <c r="I25" s="73">
        <v>1290162</v>
      </c>
      <c r="J25" s="73">
        <v>1297603</v>
      </c>
      <c r="K25" s="73">
        <v>1307482</v>
      </c>
      <c r="L25" s="73">
        <v>1313457</v>
      </c>
      <c r="M25" s="73">
        <v>1307828</v>
      </c>
      <c r="N25" s="73">
        <v>1311748</v>
      </c>
      <c r="O25" s="73">
        <v>1294115</v>
      </c>
      <c r="P25" s="73">
        <v>17609089</v>
      </c>
    </row>
    <row r="26" spans="1:16" ht="12.75" customHeight="1" x14ac:dyDescent="0.35">
      <c r="A26">
        <v>8</v>
      </c>
      <c r="B26" s="40">
        <v>348250</v>
      </c>
      <c r="C26" s="73">
        <v>342971</v>
      </c>
      <c r="D26" s="73">
        <v>338881</v>
      </c>
      <c r="E26" s="73">
        <v>337807</v>
      </c>
      <c r="F26" s="73">
        <v>339917</v>
      </c>
      <c r="G26" s="73">
        <v>345135</v>
      </c>
      <c r="H26" s="73">
        <v>368186</v>
      </c>
      <c r="I26" s="73">
        <v>373049</v>
      </c>
      <c r="J26" s="73">
        <v>366463</v>
      </c>
      <c r="K26" s="73">
        <v>373139</v>
      </c>
      <c r="L26" s="73">
        <v>381496</v>
      </c>
      <c r="M26" s="73">
        <v>385515</v>
      </c>
      <c r="N26" s="73">
        <v>387084</v>
      </c>
      <c r="O26" s="73">
        <v>391220</v>
      </c>
      <c r="P26" s="73">
        <v>5079113</v>
      </c>
    </row>
    <row r="27" spans="1:16" ht="12.75" customHeight="1" x14ac:dyDescent="0.35">
      <c r="A27">
        <v>9</v>
      </c>
      <c r="B27" s="40">
        <v>302602</v>
      </c>
      <c r="C27" s="73">
        <v>306386</v>
      </c>
      <c r="D27" s="73">
        <v>317982</v>
      </c>
      <c r="E27" s="73">
        <v>331517</v>
      </c>
      <c r="F27" s="73">
        <v>349119</v>
      </c>
      <c r="G27" s="73">
        <v>361993</v>
      </c>
      <c r="H27" s="73">
        <v>376826</v>
      </c>
      <c r="I27" s="73">
        <v>387937</v>
      </c>
      <c r="J27" s="73">
        <v>369593</v>
      </c>
      <c r="K27" s="73">
        <v>376338</v>
      </c>
      <c r="L27" s="73">
        <v>403653</v>
      </c>
      <c r="M27" s="73">
        <v>423761</v>
      </c>
      <c r="N27" s="73">
        <v>429611</v>
      </c>
      <c r="O27" s="73">
        <v>426368</v>
      </c>
      <c r="P27" s="73">
        <v>5163686</v>
      </c>
    </row>
    <row r="28" spans="1:16" ht="12.75" customHeight="1" x14ac:dyDescent="0.35">
      <c r="A28">
        <v>10</v>
      </c>
      <c r="B28" s="40">
        <v>213052</v>
      </c>
      <c r="C28" s="73">
        <v>207814</v>
      </c>
      <c r="D28" s="73">
        <v>214571</v>
      </c>
      <c r="E28" s="73">
        <v>220314</v>
      </c>
      <c r="F28" s="73">
        <v>230405</v>
      </c>
      <c r="G28" s="73">
        <v>242756</v>
      </c>
      <c r="H28" s="73">
        <v>253945</v>
      </c>
      <c r="I28" s="73">
        <v>262747</v>
      </c>
      <c r="J28" s="73">
        <v>268368</v>
      </c>
      <c r="K28" s="73">
        <v>283269</v>
      </c>
      <c r="L28" s="73">
        <v>301105</v>
      </c>
      <c r="M28" s="73">
        <v>305457</v>
      </c>
      <c r="N28" s="73">
        <v>300206</v>
      </c>
      <c r="O28" s="73">
        <v>296170</v>
      </c>
      <c r="P28" s="73">
        <v>3600179</v>
      </c>
    </row>
    <row r="29" spans="1:16" ht="12.75" customHeight="1" x14ac:dyDescent="0.35">
      <c r="A29">
        <v>11</v>
      </c>
      <c r="B29" s="40">
        <v>228607</v>
      </c>
      <c r="C29" s="73">
        <v>221475</v>
      </c>
      <c r="D29" s="73">
        <v>212669</v>
      </c>
      <c r="E29" s="73">
        <v>218243</v>
      </c>
      <c r="F29" s="73">
        <v>212590</v>
      </c>
      <c r="G29" s="73">
        <v>201095</v>
      </c>
      <c r="H29" s="73">
        <v>198759</v>
      </c>
      <c r="I29" s="73">
        <v>193456</v>
      </c>
      <c r="J29" s="73">
        <v>202817</v>
      </c>
      <c r="K29" s="73">
        <v>205222</v>
      </c>
      <c r="L29" s="73">
        <v>211173</v>
      </c>
      <c r="M29" s="73">
        <v>214810</v>
      </c>
      <c r="N29" s="73">
        <v>211481</v>
      </c>
      <c r="O29" s="73">
        <v>211970</v>
      </c>
      <c r="P29" s="73">
        <v>2944367</v>
      </c>
    </row>
    <row r="30" spans="1:16" ht="12.75" customHeight="1" x14ac:dyDescent="0.35">
      <c r="A30">
        <v>12</v>
      </c>
      <c r="B30" s="40">
        <v>57714</v>
      </c>
      <c r="C30" s="73">
        <v>56139</v>
      </c>
      <c r="D30" s="73">
        <v>55370</v>
      </c>
      <c r="E30" s="73">
        <v>54849</v>
      </c>
      <c r="F30" s="73">
        <v>55387</v>
      </c>
      <c r="G30" s="73">
        <v>56183</v>
      </c>
      <c r="H30" s="73">
        <v>56773</v>
      </c>
      <c r="I30" s="73">
        <v>57800</v>
      </c>
      <c r="J30" s="73">
        <v>58504</v>
      </c>
      <c r="K30" s="73">
        <v>59221</v>
      </c>
      <c r="L30" s="73">
        <v>59536</v>
      </c>
      <c r="M30" s="73">
        <v>60879</v>
      </c>
      <c r="N30" s="73">
        <v>62863</v>
      </c>
      <c r="O30" s="73">
        <v>65604</v>
      </c>
      <c r="P30" s="73">
        <v>816822</v>
      </c>
    </row>
    <row r="31" spans="1:16" ht="12.75" customHeight="1" x14ac:dyDescent="0.35">
      <c r="A31">
        <v>13</v>
      </c>
      <c r="B31" s="40">
        <v>408693</v>
      </c>
      <c r="C31" s="73">
        <v>398792</v>
      </c>
      <c r="D31" s="73">
        <v>402949</v>
      </c>
      <c r="E31" s="73">
        <v>398340</v>
      </c>
      <c r="F31" s="73">
        <v>410648</v>
      </c>
      <c r="G31" s="73">
        <v>416902</v>
      </c>
      <c r="H31" s="73">
        <v>436485</v>
      </c>
      <c r="I31" s="73">
        <v>452764</v>
      </c>
      <c r="J31" s="73">
        <v>451156</v>
      </c>
      <c r="K31" s="73">
        <v>461643</v>
      </c>
      <c r="L31" s="73">
        <v>481487</v>
      </c>
      <c r="M31" s="73">
        <v>496149</v>
      </c>
      <c r="N31" s="73">
        <v>497859</v>
      </c>
      <c r="O31" s="73">
        <v>501647</v>
      </c>
      <c r="P31" s="73">
        <v>6215514</v>
      </c>
    </row>
    <row r="32" spans="1:16" ht="12.75" customHeight="1" x14ac:dyDescent="0.35">
      <c r="A32">
        <v>14</v>
      </c>
      <c r="B32" s="40">
        <v>245377</v>
      </c>
      <c r="C32" s="73">
        <v>241809</v>
      </c>
      <c r="D32" s="73">
        <v>243270</v>
      </c>
      <c r="E32" s="73">
        <v>246555</v>
      </c>
      <c r="F32" s="73">
        <v>250902</v>
      </c>
      <c r="G32" s="73">
        <v>259121</v>
      </c>
      <c r="H32" s="73">
        <v>270320</v>
      </c>
      <c r="I32" s="73">
        <v>271535</v>
      </c>
      <c r="J32" s="73">
        <v>269422</v>
      </c>
      <c r="K32" s="73">
        <v>268921</v>
      </c>
      <c r="L32" s="73">
        <v>275650</v>
      </c>
      <c r="M32" s="73">
        <v>278023</v>
      </c>
      <c r="N32" s="73">
        <v>267623</v>
      </c>
      <c r="O32" s="73">
        <v>269012</v>
      </c>
      <c r="P32" s="73">
        <v>3657540</v>
      </c>
    </row>
    <row r="33" spans="1:16" ht="12.75" customHeight="1" x14ac:dyDescent="0.35">
      <c r="A33">
        <v>15</v>
      </c>
      <c r="B33" s="40">
        <v>479005</v>
      </c>
      <c r="C33" s="73">
        <v>476577</v>
      </c>
      <c r="D33" s="73">
        <v>471213</v>
      </c>
      <c r="E33" s="73">
        <v>466823</v>
      </c>
      <c r="F33" s="73">
        <v>464320</v>
      </c>
      <c r="G33" s="73">
        <v>469912</v>
      </c>
      <c r="H33" s="73">
        <v>478706</v>
      </c>
      <c r="I33" s="73">
        <v>492247</v>
      </c>
      <c r="J33" s="73">
        <v>508943</v>
      </c>
      <c r="K33" s="73">
        <v>526678</v>
      </c>
      <c r="L33" s="73">
        <v>542745</v>
      </c>
      <c r="M33" s="73">
        <v>567789</v>
      </c>
      <c r="N33" s="73">
        <v>595857</v>
      </c>
      <c r="O33" s="73">
        <v>619859</v>
      </c>
      <c r="P33" s="73">
        <v>7160674</v>
      </c>
    </row>
    <row r="34" spans="1:16" ht="12.75" customHeight="1" x14ac:dyDescent="0.35">
      <c r="A34">
        <v>16</v>
      </c>
      <c r="B34" s="40">
        <v>474498</v>
      </c>
      <c r="C34" s="73">
        <v>467365</v>
      </c>
      <c r="D34" s="73">
        <v>467417</v>
      </c>
      <c r="E34" s="73">
        <v>471062</v>
      </c>
      <c r="F34" s="73">
        <v>477807</v>
      </c>
      <c r="G34" s="73">
        <v>482801</v>
      </c>
      <c r="H34" s="73">
        <v>492845</v>
      </c>
      <c r="I34" s="73">
        <v>501036</v>
      </c>
      <c r="J34" s="73">
        <v>510837</v>
      </c>
      <c r="K34" s="73">
        <v>531716</v>
      </c>
      <c r="L34" s="73">
        <v>548095</v>
      </c>
      <c r="M34" s="73">
        <v>555869</v>
      </c>
      <c r="N34" s="73">
        <v>557542</v>
      </c>
      <c r="O34" s="73">
        <v>552822</v>
      </c>
      <c r="P34" s="73">
        <v>7091712</v>
      </c>
    </row>
    <row r="35" spans="1:16" ht="12.75" customHeight="1" x14ac:dyDescent="0.35">
      <c r="A35">
        <v>17</v>
      </c>
      <c r="B35" s="40">
        <v>1243429</v>
      </c>
      <c r="C35" s="73">
        <v>1225199</v>
      </c>
      <c r="D35" s="73">
        <v>1193172</v>
      </c>
      <c r="E35" s="73">
        <v>1168702</v>
      </c>
      <c r="F35" s="73">
        <v>1169923</v>
      </c>
      <c r="G35" s="73">
        <v>1196838</v>
      </c>
      <c r="H35" s="73">
        <v>1235331</v>
      </c>
      <c r="I35" s="73">
        <v>1282964</v>
      </c>
      <c r="J35" s="73">
        <v>1314319</v>
      </c>
      <c r="K35" s="73">
        <v>1341991</v>
      </c>
      <c r="L35" s="73">
        <v>1360309</v>
      </c>
      <c r="M35" s="73">
        <v>1383065</v>
      </c>
      <c r="N35" s="73">
        <v>1410972</v>
      </c>
      <c r="O35" s="73">
        <v>1451342</v>
      </c>
      <c r="P35" s="73">
        <v>17977556</v>
      </c>
    </row>
    <row r="36" spans="1:16" ht="12.75" customHeight="1" x14ac:dyDescent="0.35">
      <c r="A36">
        <v>18</v>
      </c>
      <c r="B36" s="40">
        <v>105691</v>
      </c>
      <c r="C36" s="73">
        <v>103474</v>
      </c>
      <c r="D36" s="73">
        <v>104438</v>
      </c>
      <c r="E36" s="73">
        <v>103875</v>
      </c>
      <c r="F36" s="73">
        <v>105815</v>
      </c>
      <c r="G36" s="73">
        <v>110096</v>
      </c>
      <c r="H36" s="73">
        <v>114189</v>
      </c>
      <c r="I36" s="73">
        <v>116598</v>
      </c>
      <c r="J36" s="73">
        <v>111644</v>
      </c>
      <c r="K36" s="73">
        <v>113318</v>
      </c>
      <c r="L36" s="73">
        <v>122991</v>
      </c>
      <c r="M36" s="73">
        <v>127383</v>
      </c>
      <c r="N36" s="73">
        <v>132180</v>
      </c>
      <c r="O36" s="73">
        <v>132895</v>
      </c>
      <c r="P36" s="73">
        <v>1604587</v>
      </c>
    </row>
    <row r="37" spans="1:16" ht="12.75" customHeight="1" x14ac:dyDescent="0.35">
      <c r="A37">
        <v>19</v>
      </c>
      <c r="B37" s="40">
        <v>127146</v>
      </c>
      <c r="C37" s="73">
        <v>122925</v>
      </c>
      <c r="D37" s="73">
        <v>119499</v>
      </c>
      <c r="E37" s="73">
        <v>115849</v>
      </c>
      <c r="F37" s="73">
        <v>117013</v>
      </c>
      <c r="G37" s="73">
        <v>119067</v>
      </c>
      <c r="H37" s="73">
        <v>122154</v>
      </c>
      <c r="I37" s="73">
        <v>123139</v>
      </c>
      <c r="J37" s="73">
        <v>121106</v>
      </c>
      <c r="K37" s="73">
        <v>119808</v>
      </c>
      <c r="L37" s="73">
        <v>117526</v>
      </c>
      <c r="M37" s="73">
        <v>118448</v>
      </c>
      <c r="N37" s="73">
        <v>119200</v>
      </c>
      <c r="O37" s="73">
        <v>121126</v>
      </c>
      <c r="P37" s="73">
        <v>1684006</v>
      </c>
    </row>
    <row r="38" spans="1:16" ht="12.75" customHeight="1" x14ac:dyDescent="0.35">
      <c r="A38">
        <v>78</v>
      </c>
      <c r="B38" s="40">
        <v>463758</v>
      </c>
      <c r="C38" s="73">
        <v>478482</v>
      </c>
      <c r="D38" s="73">
        <v>509916</v>
      </c>
      <c r="E38" s="73">
        <v>561069</v>
      </c>
      <c r="F38" s="73">
        <v>606964</v>
      </c>
      <c r="G38" s="73">
        <v>649141</v>
      </c>
      <c r="H38" s="73">
        <v>808878</v>
      </c>
      <c r="I38" s="73">
        <v>754777</v>
      </c>
      <c r="J38" s="73">
        <v>618851</v>
      </c>
      <c r="K38" s="73">
        <v>738376</v>
      </c>
      <c r="L38" s="73">
        <v>752766</v>
      </c>
      <c r="M38" s="73">
        <v>694022</v>
      </c>
      <c r="N38" s="73">
        <v>668581</v>
      </c>
      <c r="O38" s="73">
        <v>616501</v>
      </c>
      <c r="P38" s="73">
        <v>8922082</v>
      </c>
    </row>
    <row r="39" spans="1:16" ht="12.75" customHeight="1" x14ac:dyDescent="0.35">
      <c r="A39"/>
      <c r="B39" s="40"/>
      <c r="C39" s="73"/>
      <c r="D39" s="73"/>
      <c r="E39" s="73"/>
      <c r="F39" s="73"/>
      <c r="G39" s="73"/>
      <c r="H39" s="73"/>
      <c r="I39" s="73"/>
      <c r="J39" s="73"/>
      <c r="K39" s="73"/>
      <c r="L39" s="73"/>
      <c r="M39" s="73"/>
      <c r="N39" s="73"/>
      <c r="O39" s="73"/>
      <c r="P39" s="73"/>
    </row>
    <row r="40" spans="1:16" ht="12.75" customHeight="1" x14ac:dyDescent="0.35">
      <c r="A40" t="s">
        <v>2</v>
      </c>
      <c r="B40" s="40">
        <v>6988782</v>
      </c>
      <c r="C40" s="40">
        <v>6881353</v>
      </c>
      <c r="D40" s="40">
        <v>6865753</v>
      </c>
      <c r="E40" s="40">
        <v>6921503</v>
      </c>
      <c r="F40" s="40">
        <v>7039106</v>
      </c>
      <c r="G40" s="40">
        <v>7214202</v>
      </c>
      <c r="H40" s="40">
        <v>7620677</v>
      </c>
      <c r="I40" s="40">
        <v>7712394</v>
      </c>
      <c r="J40" s="40">
        <v>7619544</v>
      </c>
      <c r="K40" s="40">
        <v>7882821</v>
      </c>
      <c r="L40" s="40">
        <v>8075059</v>
      </c>
      <c r="M40" s="40">
        <v>8144388</v>
      </c>
      <c r="N40" s="40">
        <v>8188733</v>
      </c>
      <c r="O40" s="73">
        <v>8197420</v>
      </c>
      <c r="P40" s="73">
        <v>105351735</v>
      </c>
    </row>
    <row r="41" spans="1:16" ht="12.75" customHeight="1" x14ac:dyDescent="0.25">
      <c r="P41" s="1"/>
    </row>
    <row r="42" spans="1:16" ht="12.75" customHeight="1" x14ac:dyDescent="0.25">
      <c r="P42" s="1"/>
    </row>
    <row r="43" spans="1:16" ht="12.75" customHeight="1" x14ac:dyDescent="0.3">
      <c r="A43" s="93" t="s">
        <v>222</v>
      </c>
      <c r="B43" s="94"/>
      <c r="C43" s="94"/>
      <c r="D43" s="94"/>
      <c r="E43" s="94"/>
      <c r="F43" s="94"/>
      <c r="G43" s="94"/>
      <c r="H43" s="94"/>
      <c r="I43" s="94"/>
      <c r="J43" s="94"/>
      <c r="K43" s="94"/>
      <c r="L43" s="94"/>
      <c r="M43" s="94"/>
      <c r="N43" s="94"/>
      <c r="O43" s="94"/>
      <c r="P43" s="1"/>
    </row>
    <row r="44" spans="1:16" ht="12.75" customHeight="1" x14ac:dyDescent="0.3">
      <c r="A44" s="94"/>
      <c r="B44" s="93">
        <v>2011</v>
      </c>
      <c r="C44" s="93">
        <v>2012</v>
      </c>
      <c r="D44" s="93">
        <v>2013</v>
      </c>
      <c r="E44" s="93">
        <v>2014</v>
      </c>
      <c r="F44" s="93">
        <v>2015</v>
      </c>
      <c r="G44" s="93">
        <v>2016</v>
      </c>
      <c r="H44" s="93">
        <v>2017</v>
      </c>
      <c r="I44" s="93">
        <v>2018</v>
      </c>
      <c r="J44" s="93">
        <v>2019</v>
      </c>
      <c r="K44" s="93">
        <v>2020</v>
      </c>
      <c r="L44" s="93">
        <v>2021</v>
      </c>
      <c r="M44" s="93">
        <v>2022</v>
      </c>
      <c r="N44" s="93">
        <v>2023</v>
      </c>
      <c r="O44" s="93">
        <v>2024</v>
      </c>
      <c r="P44" s="1"/>
    </row>
    <row r="45" spans="1:16" ht="12.75" customHeight="1" x14ac:dyDescent="0.25">
      <c r="A45" s="94" t="s">
        <v>3</v>
      </c>
      <c r="B45" s="98">
        <f t="shared" ref="B45:O45" si="0">B7/1000</f>
        <v>5312.4030000000002</v>
      </c>
      <c r="C45" s="98">
        <f t="shared" si="0"/>
        <v>5332.6360000000004</v>
      </c>
      <c r="D45" s="98">
        <f t="shared" si="0"/>
        <v>5227.6660000000002</v>
      </c>
      <c r="E45" s="98">
        <f t="shared" si="0"/>
        <v>5148.0450000000001</v>
      </c>
      <c r="F45" s="98">
        <f t="shared" si="0"/>
        <v>5176.4309999999996</v>
      </c>
      <c r="G45" s="98">
        <f t="shared" si="0"/>
        <v>5242.9880000000003</v>
      </c>
      <c r="H45" s="98">
        <f t="shared" si="0"/>
        <v>5357.7740000000003</v>
      </c>
      <c r="I45" s="98">
        <f t="shared" si="0"/>
        <v>5552.5919999999996</v>
      </c>
      <c r="J45" s="98">
        <f t="shared" si="0"/>
        <v>5765.7169999999996</v>
      </c>
      <c r="K45" s="98">
        <f t="shared" si="0"/>
        <v>5774.5889999999999</v>
      </c>
      <c r="L45" s="98">
        <f t="shared" si="0"/>
        <v>5768.3729999999996</v>
      </c>
      <c r="M45" s="98">
        <f t="shared" si="0"/>
        <v>5939.2250000000004</v>
      </c>
      <c r="N45" s="98">
        <f t="shared" si="0"/>
        <v>6057.991</v>
      </c>
      <c r="O45" s="98">
        <f t="shared" si="0"/>
        <v>6176.598</v>
      </c>
      <c r="P45" s="1"/>
    </row>
    <row r="46" spans="1:16" ht="12.75" customHeight="1" x14ac:dyDescent="0.25">
      <c r="A46" s="94" t="s">
        <v>160</v>
      </c>
      <c r="B46" s="98">
        <f t="shared" ref="B46:O46" si="1">B8/1000</f>
        <v>1122.9380000000001</v>
      </c>
      <c r="C46" s="98">
        <f t="shared" si="1"/>
        <v>1001.65</v>
      </c>
      <c r="D46" s="98">
        <f t="shared" si="1"/>
        <v>1037.5920000000001</v>
      </c>
      <c r="E46" s="98">
        <f t="shared" si="1"/>
        <v>1117.9649999999999</v>
      </c>
      <c r="F46" s="98">
        <f t="shared" si="1"/>
        <v>1175.5440000000001</v>
      </c>
      <c r="G46" s="98">
        <f t="shared" si="1"/>
        <v>1250.0170000000001</v>
      </c>
      <c r="H46" s="98">
        <f t="shared" si="1"/>
        <v>1305.9749999999999</v>
      </c>
      <c r="I46" s="98">
        <f t="shared" si="1"/>
        <v>1415.0029999999999</v>
      </c>
      <c r="J46" s="98">
        <f t="shared" si="1"/>
        <v>1241.338</v>
      </c>
      <c r="K46" s="98">
        <f t="shared" si="1"/>
        <v>1263.509</v>
      </c>
      <c r="L46" s="98">
        <f t="shared" si="1"/>
        <v>1452.932</v>
      </c>
      <c r="M46" s="98">
        <f t="shared" si="1"/>
        <v>1432.567</v>
      </c>
      <c r="N46" s="98">
        <f t="shared" si="1"/>
        <v>1386.164</v>
      </c>
      <c r="O46" s="98">
        <f t="shared" si="1"/>
        <v>1316.4749999999999</v>
      </c>
      <c r="P46" s="1"/>
    </row>
    <row r="47" spans="1:16" ht="12.75" customHeight="1" x14ac:dyDescent="0.25">
      <c r="A47" s="94" t="s">
        <v>161</v>
      </c>
      <c r="B47" s="98">
        <f t="shared" ref="B47:O47" si="2">B10/1000</f>
        <v>657.01800000000003</v>
      </c>
      <c r="C47" s="98">
        <f t="shared" si="2"/>
        <v>684.78599999999994</v>
      </c>
      <c r="D47" s="98">
        <f t="shared" si="2"/>
        <v>643.70699999999999</v>
      </c>
      <c r="E47" s="98">
        <f t="shared" si="2"/>
        <v>627.53399999999999</v>
      </c>
      <c r="F47" s="98">
        <f t="shared" si="2"/>
        <v>601.98599999999999</v>
      </c>
      <c r="G47" s="98">
        <f t="shared" si="2"/>
        <v>581.53</v>
      </c>
      <c r="H47" s="98">
        <f t="shared" si="2"/>
        <v>592.12699999999995</v>
      </c>
      <c r="I47" s="98">
        <f t="shared" si="2"/>
        <v>702.84199999999998</v>
      </c>
      <c r="J47" s="98">
        <f t="shared" si="2"/>
        <v>758.87199999999996</v>
      </c>
      <c r="K47" s="98">
        <f t="shared" si="2"/>
        <v>627.96699999999998</v>
      </c>
      <c r="L47" s="98">
        <f t="shared" si="2"/>
        <v>716.98</v>
      </c>
      <c r="M47" s="98">
        <f t="shared" si="2"/>
        <v>772.04499999999996</v>
      </c>
      <c r="N47" s="98">
        <f t="shared" si="2"/>
        <v>775.06</v>
      </c>
      <c r="O47" s="98">
        <f t="shared" si="2"/>
        <v>768.71799999999996</v>
      </c>
      <c r="P47" s="1"/>
    </row>
    <row r="48" spans="1:16" ht="12.75" customHeight="1" x14ac:dyDescent="0.25">
      <c r="A48" s="94" t="s">
        <v>5</v>
      </c>
      <c r="B48" s="98">
        <f t="shared" ref="B48:O48" si="3">B45+B46+B47</f>
        <v>7092.3590000000004</v>
      </c>
      <c r="C48" s="98">
        <f t="shared" si="3"/>
        <v>7019.0720000000001</v>
      </c>
      <c r="D48" s="98">
        <f t="shared" si="3"/>
        <v>6908.9650000000001</v>
      </c>
      <c r="E48" s="98">
        <f t="shared" si="3"/>
        <v>6893.5439999999999</v>
      </c>
      <c r="F48" s="98">
        <f t="shared" si="3"/>
        <v>6953.9609999999993</v>
      </c>
      <c r="G48" s="98">
        <f t="shared" si="3"/>
        <v>7074.5349999999999</v>
      </c>
      <c r="H48" s="98">
        <f t="shared" si="3"/>
        <v>7255.8760000000002</v>
      </c>
      <c r="I48" s="98">
        <f t="shared" si="3"/>
        <v>7670.436999999999</v>
      </c>
      <c r="J48" s="98">
        <f t="shared" si="3"/>
        <v>7765.9269999999997</v>
      </c>
      <c r="K48" s="98">
        <f t="shared" si="3"/>
        <v>7666.0649999999996</v>
      </c>
      <c r="L48" s="98">
        <f t="shared" si="3"/>
        <v>7938.2849999999999</v>
      </c>
      <c r="M48" s="98">
        <f t="shared" si="3"/>
        <v>8143.8370000000004</v>
      </c>
      <c r="N48" s="98">
        <f t="shared" si="3"/>
        <v>8219.2150000000001</v>
      </c>
      <c r="O48" s="98">
        <f t="shared" si="3"/>
        <v>8261.7910000000011</v>
      </c>
      <c r="P48" s="1"/>
    </row>
    <row r="49" spans="1:17" ht="12.75" customHeight="1" x14ac:dyDescent="0.3">
      <c r="A49" s="96" t="s">
        <v>4</v>
      </c>
      <c r="B49" s="97">
        <f t="shared" ref="B49:O49" si="4">B9/1000</f>
        <v>553.44100000000003</v>
      </c>
      <c r="C49" s="97">
        <f t="shared" si="4"/>
        <v>547.06700000000001</v>
      </c>
      <c r="D49" s="97">
        <f t="shared" si="4"/>
        <v>600.495</v>
      </c>
      <c r="E49" s="97">
        <f t="shared" si="4"/>
        <v>655.49300000000005</v>
      </c>
      <c r="F49" s="97">
        <f t="shared" si="4"/>
        <v>687.13099999999997</v>
      </c>
      <c r="G49" s="97">
        <f t="shared" si="4"/>
        <v>721.197</v>
      </c>
      <c r="H49" s="97">
        <f t="shared" si="4"/>
        <v>956.928</v>
      </c>
      <c r="I49" s="97">
        <f t="shared" si="4"/>
        <v>744.79899999999998</v>
      </c>
      <c r="J49" s="97">
        <f t="shared" si="4"/>
        <v>612.48900000000003</v>
      </c>
      <c r="K49" s="97">
        <f t="shared" si="4"/>
        <v>844.72299999999996</v>
      </c>
      <c r="L49" s="97">
        <f t="shared" si="4"/>
        <v>853.75400000000002</v>
      </c>
      <c r="M49" s="97">
        <f t="shared" si="4"/>
        <v>772.596</v>
      </c>
      <c r="N49" s="97">
        <f t="shared" si="4"/>
        <v>744.57799999999997</v>
      </c>
      <c r="O49" s="97">
        <f t="shared" si="4"/>
        <v>704.34699999999998</v>
      </c>
      <c r="P49" s="1"/>
    </row>
    <row r="50" spans="1:17" ht="12.75" customHeight="1" x14ac:dyDescent="0.25">
      <c r="A50" s="94"/>
      <c r="B50" s="94"/>
      <c r="C50" s="94"/>
      <c r="D50" s="94"/>
      <c r="E50" s="94"/>
      <c r="F50" s="94"/>
      <c r="G50" s="94"/>
      <c r="H50" s="94"/>
      <c r="I50" s="94"/>
      <c r="J50" s="94"/>
      <c r="K50" s="94"/>
      <c r="L50" s="94"/>
      <c r="M50" s="94"/>
      <c r="N50" s="94"/>
      <c r="O50" s="94"/>
      <c r="P50" s="1"/>
    </row>
    <row r="51" spans="1:17" ht="12.75" customHeight="1" x14ac:dyDescent="0.25">
      <c r="P51" s="1"/>
    </row>
    <row r="52" spans="1:17" ht="12.75" customHeight="1" x14ac:dyDescent="0.25">
      <c r="P52" s="1"/>
    </row>
    <row r="53" spans="1:17" ht="12.75" customHeight="1" x14ac:dyDescent="0.25">
      <c r="P53" s="1"/>
    </row>
    <row r="54" spans="1:17" ht="12.75" customHeight="1" x14ac:dyDescent="0.3">
      <c r="A54" s="93" t="s">
        <v>6</v>
      </c>
      <c r="B54" s="94"/>
      <c r="C54" s="94"/>
      <c r="D54" s="94"/>
      <c r="E54" s="94"/>
      <c r="F54" s="94"/>
      <c r="G54" s="94"/>
      <c r="H54" s="94"/>
      <c r="I54" s="94"/>
      <c r="J54" s="94"/>
      <c r="K54" s="94"/>
      <c r="L54" s="94"/>
      <c r="M54" s="94"/>
      <c r="N54" s="94"/>
      <c r="O54" s="94"/>
      <c r="P54" s="1"/>
      <c r="Q54" s="36" t="s">
        <v>227</v>
      </c>
    </row>
    <row r="55" spans="1:17" ht="12.75" customHeight="1" x14ac:dyDescent="0.3">
      <c r="A55" s="94"/>
      <c r="B55" s="93">
        <v>2011</v>
      </c>
      <c r="C55" s="93">
        <v>2012</v>
      </c>
      <c r="D55" s="93">
        <v>2013</v>
      </c>
      <c r="E55" s="93">
        <v>2014</v>
      </c>
      <c r="F55" s="93">
        <v>2015</v>
      </c>
      <c r="G55" s="93">
        <v>2016</v>
      </c>
      <c r="H55" s="93">
        <v>2017</v>
      </c>
      <c r="I55" s="93">
        <v>2018</v>
      </c>
      <c r="J55" s="93">
        <v>2019</v>
      </c>
      <c r="K55" s="93">
        <v>2020</v>
      </c>
      <c r="L55" s="93">
        <v>2021</v>
      </c>
      <c r="M55" s="93">
        <v>2022</v>
      </c>
      <c r="N55" s="93">
        <v>2023</v>
      </c>
      <c r="O55" s="93">
        <v>2024</v>
      </c>
      <c r="P55" s="1"/>
      <c r="Q55" s="36" t="s">
        <v>228</v>
      </c>
    </row>
    <row r="56" spans="1:17" ht="12.75" customHeight="1" x14ac:dyDescent="0.25">
      <c r="A56" s="94" t="s">
        <v>3</v>
      </c>
      <c r="B56" s="95">
        <f t="shared" ref="B56:O56" si="5">B45/B$48</f>
        <v>0.74903188064789161</v>
      </c>
      <c r="C56" s="95">
        <f t="shared" si="5"/>
        <v>0.75973519006501145</v>
      </c>
      <c r="D56" s="95">
        <f t="shared" si="5"/>
        <v>0.75664965736546652</v>
      </c>
      <c r="E56" s="95">
        <f t="shared" si="5"/>
        <v>0.74679221602125123</v>
      </c>
      <c r="F56" s="95">
        <f t="shared" si="5"/>
        <v>0.74438596937774026</v>
      </c>
      <c r="G56" s="95">
        <f t="shared" si="5"/>
        <v>0.74110708336307618</v>
      </c>
      <c r="H56" s="95">
        <f t="shared" si="5"/>
        <v>0.73840484594830458</v>
      </c>
      <c r="I56" s="95">
        <f t="shared" si="5"/>
        <v>0.72389513139864137</v>
      </c>
      <c r="J56" s="95">
        <f t="shared" si="5"/>
        <v>0.742437702543431</v>
      </c>
      <c r="K56" s="95">
        <f t="shared" si="5"/>
        <v>0.75326637590471779</v>
      </c>
      <c r="L56" s="95">
        <f t="shared" si="5"/>
        <v>0.72665229328501046</v>
      </c>
      <c r="M56" s="95">
        <f t="shared" si="5"/>
        <v>0.72929075078491867</v>
      </c>
      <c r="N56" s="95">
        <f t="shared" si="5"/>
        <v>0.73705226107359401</v>
      </c>
      <c r="O56" s="95">
        <f t="shared" si="5"/>
        <v>0.74761005210613529</v>
      </c>
      <c r="P56" s="1"/>
      <c r="Q56" s="69">
        <f>AVERAGE(B56:O56)</f>
        <v>0.74259367213465644</v>
      </c>
    </row>
    <row r="57" spans="1:17" ht="12.75" customHeight="1" x14ac:dyDescent="0.25">
      <c r="A57" s="94" t="s">
        <v>231</v>
      </c>
      <c r="B57" s="95">
        <f t="shared" ref="B57:O57" si="6">B46/B$48</f>
        <v>0.15833067671842332</v>
      </c>
      <c r="C57" s="95">
        <f t="shared" si="6"/>
        <v>0.14270404976612291</v>
      </c>
      <c r="D57" s="95">
        <f t="shared" si="6"/>
        <v>0.15018052631617038</v>
      </c>
      <c r="E57" s="95">
        <f t="shared" si="6"/>
        <v>0.16217565304580633</v>
      </c>
      <c r="F57" s="95">
        <f t="shared" si="6"/>
        <v>0.16904667713839641</v>
      </c>
      <c r="G57" s="95">
        <f t="shared" si="6"/>
        <v>0.17669246105927811</v>
      </c>
      <c r="H57" s="95">
        <f t="shared" si="6"/>
        <v>0.179988605097441</v>
      </c>
      <c r="I57" s="95">
        <f t="shared" si="6"/>
        <v>0.18447488715440855</v>
      </c>
      <c r="J57" s="95">
        <f t="shared" si="6"/>
        <v>0.15984414996432494</v>
      </c>
      <c r="K57" s="95">
        <f t="shared" si="6"/>
        <v>0.1648184564049483</v>
      </c>
      <c r="L57" s="95">
        <f t="shared" si="6"/>
        <v>0.18302845009973817</v>
      </c>
      <c r="M57" s="95">
        <f t="shared" si="6"/>
        <v>0.17590811309214563</v>
      </c>
      <c r="N57" s="95">
        <f t="shared" si="6"/>
        <v>0.16864919581736212</v>
      </c>
      <c r="O57" s="95">
        <f t="shared" si="6"/>
        <v>0.15934498948230472</v>
      </c>
      <c r="P57" s="1"/>
      <c r="Q57" s="69">
        <f t="shared" ref="Q57:Q60" si="7">AVERAGE(B57:O57)</f>
        <v>0.16679906365406222</v>
      </c>
    </row>
    <row r="58" spans="1:17" ht="12.75" customHeight="1" x14ac:dyDescent="0.25">
      <c r="A58" s="94" t="s">
        <v>162</v>
      </c>
      <c r="B58" s="95">
        <f t="shared" ref="B58:O58" si="8">B47/B$48</f>
        <v>9.2637442633685063E-2</v>
      </c>
      <c r="C58" s="95">
        <f t="shared" si="8"/>
        <v>9.7560760168865612E-2</v>
      </c>
      <c r="D58" s="95">
        <f t="shared" si="8"/>
        <v>9.3169816318363172E-2</v>
      </c>
      <c r="E58" s="95">
        <f t="shared" si="8"/>
        <v>9.1032130932942476E-2</v>
      </c>
      <c r="F58" s="95">
        <f t="shared" si="8"/>
        <v>8.656735348386338E-2</v>
      </c>
      <c r="G58" s="95">
        <f t="shared" si="8"/>
        <v>8.2200455577645742E-2</v>
      </c>
      <c r="H58" s="95">
        <f t="shared" si="8"/>
        <v>8.160654895425444E-2</v>
      </c>
      <c r="I58" s="95">
        <f t="shared" si="8"/>
        <v>9.1629981446950171E-2</v>
      </c>
      <c r="J58" s="95">
        <f t="shared" si="8"/>
        <v>9.7718147492244001E-2</v>
      </c>
      <c r="K58" s="95">
        <f t="shared" si="8"/>
        <v>8.1915167690333968E-2</v>
      </c>
      <c r="L58" s="95">
        <f t="shared" si="8"/>
        <v>9.0319256615251281E-2</v>
      </c>
      <c r="M58" s="95">
        <f t="shared" si="8"/>
        <v>9.4801136122935656E-2</v>
      </c>
      <c r="N58" s="95">
        <f t="shared" si="8"/>
        <v>9.4298543109043856E-2</v>
      </c>
      <c r="O58" s="95">
        <f t="shared" si="8"/>
        <v>9.3044958411559894E-2</v>
      </c>
      <c r="P58" s="1"/>
      <c r="Q58" s="69">
        <f t="shared" si="7"/>
        <v>9.060726421128136E-2</v>
      </c>
    </row>
    <row r="59" spans="1:17" ht="12.75" customHeight="1" x14ac:dyDescent="0.25">
      <c r="A59" s="74" t="s">
        <v>163</v>
      </c>
      <c r="B59" s="79">
        <f>B49/(B40/1000)</f>
        <v>7.9189907483163735E-2</v>
      </c>
      <c r="C59" s="79">
        <f t="shared" ref="C59:O59" si="9">C49/(C40/1000)</f>
        <v>7.9499918112034079E-2</v>
      </c>
      <c r="D59" s="79">
        <f t="shared" si="9"/>
        <v>8.7462365744878964E-2</v>
      </c>
      <c r="E59" s="79">
        <f t="shared" si="9"/>
        <v>9.4703852616982193E-2</v>
      </c>
      <c r="F59" s="79">
        <f t="shared" si="9"/>
        <v>9.7616231379382551E-2</v>
      </c>
      <c r="G59" s="79">
        <f t="shared" si="9"/>
        <v>9.9969061027123995E-2</v>
      </c>
      <c r="H59" s="79">
        <f t="shared" si="9"/>
        <v>0.12556994608221816</v>
      </c>
      <c r="I59" s="79">
        <f t="shared" si="9"/>
        <v>9.6571700045407424E-2</v>
      </c>
      <c r="J59" s="79">
        <f t="shared" si="9"/>
        <v>8.0383944236033025E-2</v>
      </c>
      <c r="K59" s="79">
        <f t="shared" si="9"/>
        <v>0.10715998752223348</v>
      </c>
      <c r="L59" s="79">
        <f t="shared" si="9"/>
        <v>0.10572727703909036</v>
      </c>
      <c r="M59" s="79">
        <f t="shared" si="9"/>
        <v>9.4862376399552681E-2</v>
      </c>
      <c r="N59" s="79">
        <f t="shared" si="9"/>
        <v>9.0927131217979629E-2</v>
      </c>
      <c r="O59" s="79">
        <f t="shared" si="9"/>
        <v>8.5923009922634186E-2</v>
      </c>
      <c r="P59" s="1"/>
      <c r="Q59" s="69">
        <f t="shared" si="7"/>
        <v>9.4683336344908178E-2</v>
      </c>
    </row>
    <row r="60" spans="1:17" ht="12.75" customHeight="1" x14ac:dyDescent="0.25">
      <c r="A60" s="94" t="s">
        <v>5</v>
      </c>
      <c r="B60" s="95">
        <f t="shared" ref="B60:O60" si="10">B48/B$48</f>
        <v>1</v>
      </c>
      <c r="C60" s="95">
        <f t="shared" si="10"/>
        <v>1</v>
      </c>
      <c r="D60" s="95">
        <f t="shared" si="10"/>
        <v>1</v>
      </c>
      <c r="E60" s="95">
        <f t="shared" si="10"/>
        <v>1</v>
      </c>
      <c r="F60" s="95">
        <f t="shared" si="10"/>
        <v>1</v>
      </c>
      <c r="G60" s="95">
        <f t="shared" si="10"/>
        <v>1</v>
      </c>
      <c r="H60" s="95">
        <f t="shared" si="10"/>
        <v>1</v>
      </c>
      <c r="I60" s="95">
        <f t="shared" si="10"/>
        <v>1</v>
      </c>
      <c r="J60" s="95">
        <f t="shared" si="10"/>
        <v>1</v>
      </c>
      <c r="K60" s="95">
        <f t="shared" si="10"/>
        <v>1</v>
      </c>
      <c r="L60" s="95">
        <f t="shared" si="10"/>
        <v>1</v>
      </c>
      <c r="M60" s="95">
        <f t="shared" si="10"/>
        <v>1</v>
      </c>
      <c r="N60" s="95">
        <f t="shared" si="10"/>
        <v>1</v>
      </c>
      <c r="O60" s="95">
        <f t="shared" si="10"/>
        <v>1</v>
      </c>
      <c r="P60" s="1"/>
      <c r="Q60" s="69">
        <f t="shared" si="7"/>
        <v>1</v>
      </c>
    </row>
    <row r="61" spans="1:17" ht="12.75" customHeight="1" x14ac:dyDescent="0.3">
      <c r="A61" s="96"/>
      <c r="B61" s="97"/>
      <c r="C61" s="97"/>
      <c r="D61" s="97"/>
      <c r="E61" s="97"/>
      <c r="F61" s="97"/>
      <c r="G61" s="97"/>
      <c r="H61" s="97"/>
      <c r="I61" s="97"/>
      <c r="J61" s="97"/>
      <c r="K61" s="97"/>
      <c r="L61" s="97"/>
      <c r="M61" s="97"/>
      <c r="N61" s="97"/>
      <c r="O61" s="97"/>
      <c r="P61" s="1"/>
    </row>
    <row r="62" spans="1:17" ht="12.75" customHeight="1" x14ac:dyDescent="0.25">
      <c r="P62" s="1"/>
    </row>
    <row r="63" spans="1:17" ht="12.75" customHeight="1" x14ac:dyDescent="0.25">
      <c r="P63" s="1"/>
    </row>
    <row r="64" spans="1:17" ht="12.75" customHeight="1" x14ac:dyDescent="0.25">
      <c r="P64" s="1"/>
    </row>
    <row r="65" spans="16:16" ht="12.75" customHeight="1" x14ac:dyDescent="0.25">
      <c r="P65" s="1"/>
    </row>
    <row r="66" spans="16:16" ht="12.75" customHeight="1" x14ac:dyDescent="0.25">
      <c r="P66" s="1"/>
    </row>
    <row r="67" spans="16:16" ht="12.75" customHeight="1" x14ac:dyDescent="0.25">
      <c r="P67" s="1"/>
    </row>
    <row r="68" spans="16:16" ht="12.75" customHeight="1" x14ac:dyDescent="0.25">
      <c r="P68" s="1"/>
    </row>
    <row r="69" spans="16:16" ht="12.75" customHeight="1" x14ac:dyDescent="0.25">
      <c r="P69" s="1"/>
    </row>
    <row r="70" spans="16:16" ht="12.75" customHeight="1" x14ac:dyDescent="0.25">
      <c r="P70" s="1"/>
    </row>
    <row r="71" spans="16:16" ht="12.75" customHeight="1" x14ac:dyDescent="0.25">
      <c r="P71" s="1"/>
    </row>
    <row r="72" spans="16:16" ht="12.75" customHeight="1" x14ac:dyDescent="0.25">
      <c r="P72" s="1"/>
    </row>
    <row r="73" spans="16:16" ht="12.75" customHeight="1" x14ac:dyDescent="0.25">
      <c r="P73" s="1"/>
    </row>
    <row r="74" spans="16:16" ht="12.75" customHeight="1" x14ac:dyDescent="0.25">
      <c r="P74" s="1"/>
    </row>
    <row r="75" spans="16:16" ht="12.75" customHeight="1" x14ac:dyDescent="0.25">
      <c r="P75" s="1"/>
    </row>
    <row r="76" spans="16:16" ht="12.75" customHeight="1" x14ac:dyDescent="0.25">
      <c r="P76" s="1"/>
    </row>
    <row r="77" spans="16:16" ht="12.75" customHeight="1" x14ac:dyDescent="0.25">
      <c r="P77" s="1"/>
    </row>
    <row r="78" spans="16:16" ht="12.75" customHeight="1" x14ac:dyDescent="0.25">
      <c r="P78" s="1"/>
    </row>
    <row r="79" spans="16:16" ht="12.75" customHeight="1" x14ac:dyDescent="0.25">
      <c r="P79" s="1"/>
    </row>
    <row r="80" spans="16:16" ht="12.75" customHeight="1" x14ac:dyDescent="0.25">
      <c r="P80" s="1"/>
    </row>
    <row r="81" spans="16:16" ht="12.75" customHeight="1" x14ac:dyDescent="0.25">
      <c r="P81" s="1"/>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A1979-2555-49BA-8EBF-2A8D72303164}">
  <dimension ref="A1:AM31"/>
  <sheetViews>
    <sheetView topLeftCell="N1" zoomScale="70" zoomScaleNormal="70" workbookViewId="0">
      <selection activeCell="AE34" sqref="AE34"/>
    </sheetView>
  </sheetViews>
  <sheetFormatPr defaultColWidth="11.54296875" defaultRowHeight="12.75" customHeight="1" x14ac:dyDescent="0.25"/>
  <cols>
    <col min="1" max="1" width="21" style="1" bestFit="1" customWidth="1"/>
    <col min="2" max="16384" width="11.54296875" style="1"/>
  </cols>
  <sheetData>
    <row r="1" spans="1:39" ht="12.5" x14ac:dyDescent="0.25">
      <c r="A1" s="1" t="s">
        <v>32</v>
      </c>
      <c r="B1" s="1" t="s">
        <v>0</v>
      </c>
    </row>
    <row r="2" spans="1:39" ht="13" x14ac:dyDescent="0.3">
      <c r="A2" s="1" t="s">
        <v>33</v>
      </c>
      <c r="B2" s="42">
        <v>2011</v>
      </c>
      <c r="C2" s="42">
        <v>2012</v>
      </c>
      <c r="D2" s="42">
        <v>2013</v>
      </c>
      <c r="E2" s="42">
        <v>2014</v>
      </c>
      <c r="F2" s="42">
        <v>2015</v>
      </c>
      <c r="G2" s="42">
        <v>2016</v>
      </c>
      <c r="H2" s="42">
        <v>2017</v>
      </c>
      <c r="I2" s="42">
        <v>2018</v>
      </c>
      <c r="J2" s="42">
        <v>2019</v>
      </c>
      <c r="K2" s="42">
        <v>2020</v>
      </c>
      <c r="L2" s="42">
        <v>2021</v>
      </c>
      <c r="M2" s="42">
        <v>2022</v>
      </c>
      <c r="N2" s="42">
        <v>2023</v>
      </c>
      <c r="O2" s="42">
        <v>2024</v>
      </c>
      <c r="P2" s="42" t="s">
        <v>2</v>
      </c>
      <c r="U2" s="4" t="s">
        <v>37</v>
      </c>
      <c r="V2" s="5"/>
      <c r="W2" s="5"/>
      <c r="X2" s="5"/>
      <c r="Y2" s="5"/>
      <c r="Z2" s="5"/>
      <c r="AA2" s="5"/>
      <c r="AB2" s="5"/>
      <c r="AC2" s="5"/>
      <c r="AD2" s="5"/>
      <c r="AE2" s="5"/>
      <c r="AF2" s="5"/>
      <c r="AG2" s="5"/>
      <c r="AH2" s="5"/>
      <c r="AI2" s="5"/>
      <c r="AJ2" s="5"/>
    </row>
    <row r="3" spans="1:39" ht="13" x14ac:dyDescent="0.3">
      <c r="B3" s="42"/>
      <c r="C3" s="42"/>
      <c r="D3" s="42"/>
      <c r="E3" s="42"/>
      <c r="F3" s="42"/>
      <c r="G3" s="42"/>
      <c r="H3" s="42"/>
      <c r="I3" s="42"/>
      <c r="J3" s="42"/>
      <c r="K3" s="42"/>
      <c r="L3" s="42"/>
      <c r="M3" s="42"/>
      <c r="N3" s="42"/>
      <c r="O3" s="42"/>
      <c r="P3" s="42"/>
      <c r="U3" s="5"/>
      <c r="V3" s="13">
        <v>2011</v>
      </c>
      <c r="W3" s="13">
        <v>2012</v>
      </c>
      <c r="X3" s="13">
        <v>2013</v>
      </c>
      <c r="Y3" s="13">
        <v>2014</v>
      </c>
      <c r="Z3" s="13">
        <v>2015</v>
      </c>
      <c r="AA3" s="13">
        <v>2016</v>
      </c>
      <c r="AB3" s="13">
        <v>2017</v>
      </c>
      <c r="AC3" s="13">
        <v>2018</v>
      </c>
      <c r="AD3" s="13">
        <v>2019</v>
      </c>
      <c r="AE3" s="13">
        <v>2020</v>
      </c>
      <c r="AF3" s="13">
        <v>2021</v>
      </c>
      <c r="AG3" s="13">
        <v>2022</v>
      </c>
      <c r="AH3" s="13">
        <v>2023</v>
      </c>
      <c r="AI3" s="13">
        <v>2024</v>
      </c>
      <c r="AJ3" s="13" t="s">
        <v>2</v>
      </c>
    </row>
    <row r="4" spans="1:39" ht="12.5" x14ac:dyDescent="0.25">
      <c r="A4" s="1" t="s">
        <v>34</v>
      </c>
      <c r="B4" s="42">
        <v>3703155</v>
      </c>
      <c r="C4" s="42">
        <v>3644380</v>
      </c>
      <c r="D4" s="42">
        <v>3577890</v>
      </c>
      <c r="E4" s="42">
        <v>3567381</v>
      </c>
      <c r="F4" s="42">
        <v>3605517</v>
      </c>
      <c r="G4" s="42">
        <v>3666120</v>
      </c>
      <c r="H4" s="42">
        <v>3753429</v>
      </c>
      <c r="I4" s="42">
        <v>3990436</v>
      </c>
      <c r="J4" s="42">
        <v>4014146</v>
      </c>
      <c r="K4" s="42">
        <v>3931681</v>
      </c>
      <c r="L4" s="42">
        <v>4065811</v>
      </c>
      <c r="M4" s="42">
        <v>4156910</v>
      </c>
      <c r="N4" s="42">
        <v>4181943</v>
      </c>
      <c r="O4" s="42">
        <v>4197746</v>
      </c>
      <c r="P4" s="42">
        <v>54056545</v>
      </c>
      <c r="U4" s="5" t="s">
        <v>197</v>
      </c>
      <c r="V4" s="6">
        <f>B4/1000</f>
        <v>3703.1550000000002</v>
      </c>
      <c r="W4" s="6">
        <f t="shared" ref="W4:AI7" si="0">C4/1000</f>
        <v>3644.38</v>
      </c>
      <c r="X4" s="6">
        <f t="shared" si="0"/>
        <v>3577.89</v>
      </c>
      <c r="Y4" s="6">
        <f t="shared" si="0"/>
        <v>3567.3809999999999</v>
      </c>
      <c r="Z4" s="6">
        <f t="shared" si="0"/>
        <v>3605.5169999999998</v>
      </c>
      <c r="AA4" s="6">
        <f t="shared" si="0"/>
        <v>3666.12</v>
      </c>
      <c r="AB4" s="6">
        <f t="shared" si="0"/>
        <v>3753.4290000000001</v>
      </c>
      <c r="AC4" s="6">
        <f t="shared" si="0"/>
        <v>3990.4360000000001</v>
      </c>
      <c r="AD4" s="6">
        <f t="shared" si="0"/>
        <v>4014.1460000000002</v>
      </c>
      <c r="AE4" s="6">
        <f t="shared" si="0"/>
        <v>3931.681</v>
      </c>
      <c r="AF4" s="6">
        <f t="shared" si="0"/>
        <v>4065.8110000000001</v>
      </c>
      <c r="AG4" s="6">
        <f t="shared" si="0"/>
        <v>4156.91</v>
      </c>
      <c r="AH4" s="6">
        <f t="shared" si="0"/>
        <v>4181.9430000000002</v>
      </c>
      <c r="AI4" s="6">
        <f>O4/1000</f>
        <v>4197.7460000000001</v>
      </c>
      <c r="AJ4" s="6">
        <f>(O4+O12+O28)/1000</f>
        <v>4869.42</v>
      </c>
    </row>
    <row r="5" spans="1:39" ht="12.5" x14ac:dyDescent="0.25">
      <c r="A5" s="1" t="s">
        <v>35</v>
      </c>
      <c r="B5" s="42">
        <v>3389204</v>
      </c>
      <c r="C5" s="42">
        <v>3374692</v>
      </c>
      <c r="D5" s="42">
        <v>3331075</v>
      </c>
      <c r="E5" s="42">
        <v>3326163</v>
      </c>
      <c r="F5" s="42">
        <v>3348444</v>
      </c>
      <c r="G5" s="42">
        <v>3408415</v>
      </c>
      <c r="H5" s="42">
        <v>3502447</v>
      </c>
      <c r="I5" s="42">
        <v>3680001</v>
      </c>
      <c r="J5" s="42">
        <v>3751781</v>
      </c>
      <c r="K5" s="42">
        <v>3734384</v>
      </c>
      <c r="L5" s="42">
        <v>3872474</v>
      </c>
      <c r="M5" s="42">
        <v>3986927</v>
      </c>
      <c r="N5" s="42">
        <v>4037272</v>
      </c>
      <c r="O5" s="42">
        <v>4064045</v>
      </c>
      <c r="P5" s="42">
        <v>50807324</v>
      </c>
      <c r="U5" s="5" t="s">
        <v>198</v>
      </c>
      <c r="V5" s="6">
        <f t="shared" ref="V5:V7" si="1">B5/1000</f>
        <v>3389.2040000000002</v>
      </c>
      <c r="W5" s="6">
        <f t="shared" si="0"/>
        <v>3374.692</v>
      </c>
      <c r="X5" s="6">
        <f t="shared" si="0"/>
        <v>3331.0749999999998</v>
      </c>
      <c r="Y5" s="6">
        <f t="shared" si="0"/>
        <v>3326.163</v>
      </c>
      <c r="Z5" s="6">
        <f t="shared" si="0"/>
        <v>3348.444</v>
      </c>
      <c r="AA5" s="6">
        <f t="shared" si="0"/>
        <v>3408.415</v>
      </c>
      <c r="AB5" s="6">
        <f t="shared" si="0"/>
        <v>3502.4470000000001</v>
      </c>
      <c r="AC5" s="6">
        <f t="shared" si="0"/>
        <v>3680.0010000000002</v>
      </c>
      <c r="AD5" s="6">
        <f t="shared" si="0"/>
        <v>3751.7809999999999</v>
      </c>
      <c r="AE5" s="6">
        <f t="shared" si="0"/>
        <v>3734.384</v>
      </c>
      <c r="AF5" s="6">
        <f t="shared" si="0"/>
        <v>3872.4740000000002</v>
      </c>
      <c r="AG5" s="6">
        <f t="shared" si="0"/>
        <v>3986.9270000000001</v>
      </c>
      <c r="AH5" s="6">
        <f t="shared" si="0"/>
        <v>4037.2719999999999</v>
      </c>
      <c r="AI5" s="6">
        <f t="shared" si="0"/>
        <v>4064.0450000000001</v>
      </c>
      <c r="AJ5" s="6">
        <f t="shared" ref="AJ5:AJ7" si="2">(O5+O13+O29)/1000</f>
        <v>4708.8459999999995</v>
      </c>
    </row>
    <row r="6" spans="1:39" ht="12.5" x14ac:dyDescent="0.25">
      <c r="B6" s="42"/>
      <c r="C6" s="42"/>
      <c r="D6" s="42"/>
      <c r="E6" s="42"/>
      <c r="F6" s="42"/>
      <c r="G6" s="42"/>
      <c r="H6" s="42"/>
      <c r="I6" s="42"/>
      <c r="J6" s="42"/>
      <c r="K6" s="42"/>
      <c r="L6" s="42"/>
      <c r="M6" s="42"/>
      <c r="N6" s="42"/>
      <c r="O6" s="42"/>
      <c r="P6" s="42"/>
      <c r="U6" s="5"/>
      <c r="V6" s="6"/>
      <c r="W6" s="6"/>
      <c r="X6" s="6"/>
      <c r="Y6" s="6"/>
      <c r="Z6" s="6"/>
      <c r="AA6" s="6"/>
      <c r="AB6" s="6"/>
      <c r="AC6" s="6"/>
      <c r="AD6" s="6"/>
      <c r="AE6" s="6"/>
      <c r="AF6" s="6"/>
      <c r="AG6" s="6"/>
      <c r="AH6" s="6"/>
      <c r="AI6" s="6"/>
      <c r="AJ6" s="6"/>
    </row>
    <row r="7" spans="1:39" ht="12.5" x14ac:dyDescent="0.25">
      <c r="A7" s="1" t="s">
        <v>2</v>
      </c>
      <c r="B7" s="42">
        <v>7092359</v>
      </c>
      <c r="C7" s="42">
        <v>7019072</v>
      </c>
      <c r="D7" s="42">
        <v>6908965</v>
      </c>
      <c r="E7" s="42">
        <v>6893544</v>
      </c>
      <c r="F7" s="42">
        <v>6953961</v>
      </c>
      <c r="G7" s="42">
        <v>7074535</v>
      </c>
      <c r="H7" s="42">
        <v>7255876</v>
      </c>
      <c r="I7" s="42">
        <v>7670437</v>
      </c>
      <c r="J7" s="42">
        <v>7765927</v>
      </c>
      <c r="K7" s="42">
        <v>7666065</v>
      </c>
      <c r="L7" s="42">
        <v>7938285</v>
      </c>
      <c r="M7" s="42">
        <v>8143837</v>
      </c>
      <c r="N7" s="42">
        <v>8219215</v>
      </c>
      <c r="O7" s="42">
        <v>8261791</v>
      </c>
      <c r="P7" s="42">
        <v>104863869</v>
      </c>
      <c r="U7" s="5" t="s">
        <v>2</v>
      </c>
      <c r="V7" s="6">
        <f t="shared" si="1"/>
        <v>7092.3590000000004</v>
      </c>
      <c r="W7" s="6">
        <f t="shared" si="0"/>
        <v>7019.0720000000001</v>
      </c>
      <c r="X7" s="6">
        <f t="shared" si="0"/>
        <v>6908.9650000000001</v>
      </c>
      <c r="Y7" s="6">
        <f t="shared" si="0"/>
        <v>6893.5439999999999</v>
      </c>
      <c r="Z7" s="6">
        <f t="shared" si="0"/>
        <v>6953.9610000000002</v>
      </c>
      <c r="AA7" s="6">
        <f t="shared" si="0"/>
        <v>7074.5349999999999</v>
      </c>
      <c r="AB7" s="6">
        <f t="shared" si="0"/>
        <v>7255.8760000000002</v>
      </c>
      <c r="AC7" s="6">
        <f t="shared" si="0"/>
        <v>7670.4369999999999</v>
      </c>
      <c r="AD7" s="6">
        <f t="shared" si="0"/>
        <v>7765.9269999999997</v>
      </c>
      <c r="AE7" s="6">
        <f t="shared" si="0"/>
        <v>7666.0649999999996</v>
      </c>
      <c r="AF7" s="6">
        <f t="shared" si="0"/>
        <v>7938.2849999999999</v>
      </c>
      <c r="AG7" s="6">
        <f t="shared" si="0"/>
        <v>8143.8370000000004</v>
      </c>
      <c r="AH7" s="6">
        <f t="shared" si="0"/>
        <v>8219.2150000000001</v>
      </c>
      <c r="AI7" s="6">
        <f t="shared" si="0"/>
        <v>8261.7909999999993</v>
      </c>
      <c r="AJ7" s="6">
        <f t="shared" si="2"/>
        <v>9578.2659999999996</v>
      </c>
    </row>
    <row r="8" spans="1:39" ht="12.75" customHeight="1" x14ac:dyDescent="0.25">
      <c r="U8" s="5"/>
      <c r="V8" s="5"/>
      <c r="W8" s="5"/>
      <c r="X8" s="5"/>
      <c r="Y8" s="5"/>
      <c r="Z8" s="5"/>
      <c r="AA8" s="5"/>
      <c r="AB8" s="5"/>
      <c r="AC8" s="5"/>
      <c r="AD8" s="5"/>
      <c r="AE8" s="5"/>
      <c r="AF8" s="5"/>
      <c r="AG8" s="5"/>
      <c r="AH8" s="5"/>
      <c r="AI8" s="5"/>
      <c r="AJ8" s="5"/>
      <c r="AK8" s="5"/>
      <c r="AL8" s="5"/>
      <c r="AM8" s="5"/>
    </row>
    <row r="9" spans="1:39" ht="12.5" x14ac:dyDescent="0.25">
      <c r="A9" s="1" t="s">
        <v>36</v>
      </c>
      <c r="B9" s="1" t="s">
        <v>0</v>
      </c>
    </row>
    <row r="10" spans="1:39" ht="13" x14ac:dyDescent="0.3">
      <c r="A10" s="1" t="s">
        <v>33</v>
      </c>
      <c r="B10" s="42">
        <v>2011</v>
      </c>
      <c r="C10" s="42">
        <v>2012</v>
      </c>
      <c r="D10" s="42">
        <v>2013</v>
      </c>
      <c r="E10" s="42">
        <v>2014</v>
      </c>
      <c r="F10" s="42">
        <v>2015</v>
      </c>
      <c r="G10" s="42">
        <v>2016</v>
      </c>
      <c r="H10" s="42">
        <v>2017</v>
      </c>
      <c r="I10" s="42">
        <v>2018</v>
      </c>
      <c r="J10" s="42">
        <v>2019</v>
      </c>
      <c r="K10" s="42">
        <v>2020</v>
      </c>
      <c r="L10" s="42">
        <v>2021</v>
      </c>
      <c r="M10" s="42">
        <v>2022</v>
      </c>
      <c r="N10" s="42">
        <v>2023</v>
      </c>
      <c r="O10" s="42">
        <v>2024</v>
      </c>
      <c r="P10" s="42" t="s">
        <v>2</v>
      </c>
      <c r="U10" s="4" t="s">
        <v>38</v>
      </c>
      <c r="V10" s="5"/>
      <c r="W10" s="5"/>
      <c r="X10" s="5"/>
      <c r="Y10" s="5"/>
      <c r="Z10" s="5"/>
      <c r="AA10" s="5"/>
      <c r="AB10" s="5"/>
      <c r="AC10" s="5"/>
      <c r="AD10" s="5"/>
      <c r="AE10" s="5"/>
      <c r="AF10" s="5"/>
      <c r="AG10" s="5"/>
      <c r="AH10" s="5"/>
      <c r="AI10" s="5"/>
      <c r="AJ10" s="5"/>
    </row>
    <row r="11" spans="1:39" ht="13" x14ac:dyDescent="0.3">
      <c r="B11" s="42"/>
      <c r="C11" s="42"/>
      <c r="D11" s="42"/>
      <c r="E11" s="42"/>
      <c r="F11" s="42"/>
      <c r="G11" s="42"/>
      <c r="H11" s="42"/>
      <c r="I11" s="42"/>
      <c r="J11" s="42"/>
      <c r="K11" s="42"/>
      <c r="L11" s="42"/>
      <c r="M11" s="42"/>
      <c r="N11" s="42"/>
      <c r="O11" s="42"/>
      <c r="P11" s="42"/>
      <c r="U11" s="5"/>
      <c r="V11" s="13">
        <v>2011</v>
      </c>
      <c r="W11" s="13">
        <v>2012</v>
      </c>
      <c r="X11" s="13">
        <v>2013</v>
      </c>
      <c r="Y11" s="13">
        <v>2014</v>
      </c>
      <c r="Z11" s="13">
        <v>2015</v>
      </c>
      <c r="AA11" s="13">
        <v>2016</v>
      </c>
      <c r="AB11" s="13">
        <v>2017</v>
      </c>
      <c r="AC11" s="13">
        <v>2018</v>
      </c>
      <c r="AD11" s="13">
        <v>2019</v>
      </c>
      <c r="AE11" s="13">
        <v>2020</v>
      </c>
      <c r="AF11" s="13">
        <v>2021</v>
      </c>
      <c r="AG11" s="13">
        <v>2022</v>
      </c>
      <c r="AH11" s="13">
        <v>2023</v>
      </c>
      <c r="AI11" s="13">
        <v>2024</v>
      </c>
      <c r="AJ11" s="13" t="s">
        <v>2</v>
      </c>
    </row>
    <row r="12" spans="1:39" ht="12.5" x14ac:dyDescent="0.25">
      <c r="A12" s="1" t="s">
        <v>34</v>
      </c>
      <c r="B12" s="42">
        <v>583750</v>
      </c>
      <c r="C12" s="42">
        <v>524751</v>
      </c>
      <c r="D12" s="42">
        <v>555207</v>
      </c>
      <c r="E12" s="42">
        <v>565006</v>
      </c>
      <c r="F12" s="42">
        <v>598386</v>
      </c>
      <c r="G12" s="42">
        <v>641873</v>
      </c>
      <c r="H12" s="42">
        <v>670052</v>
      </c>
      <c r="I12" s="42">
        <v>720666</v>
      </c>
      <c r="J12" s="42">
        <v>623068</v>
      </c>
      <c r="K12" s="42">
        <v>634913</v>
      </c>
      <c r="L12" s="42">
        <v>721995</v>
      </c>
      <c r="M12" s="42">
        <v>710432</v>
      </c>
      <c r="N12" s="42">
        <v>674278</v>
      </c>
      <c r="O12" s="42">
        <v>671674</v>
      </c>
      <c r="P12" s="42">
        <v>8896051</v>
      </c>
      <c r="U12" s="5" t="s">
        <v>197</v>
      </c>
      <c r="V12" s="8">
        <f t="shared" ref="V12:AI13" si="3">B12/(V4*1000)</f>
        <v>0.15763585375173331</v>
      </c>
      <c r="W12" s="8">
        <f t="shared" si="3"/>
        <v>0.14398910102678644</v>
      </c>
      <c r="X12" s="8">
        <f t="shared" si="3"/>
        <v>0.15517721338554288</v>
      </c>
      <c r="Y12" s="8">
        <f t="shared" si="3"/>
        <v>0.15838117655501333</v>
      </c>
      <c r="Z12" s="8">
        <f t="shared" si="3"/>
        <v>0.16596399351327423</v>
      </c>
      <c r="AA12" s="8">
        <f t="shared" si="3"/>
        <v>0.17508237591786413</v>
      </c>
      <c r="AB12" s="8">
        <f t="shared" si="3"/>
        <v>0.17851729711684969</v>
      </c>
      <c r="AC12" s="8">
        <f t="shared" si="3"/>
        <v>0.18059831056055028</v>
      </c>
      <c r="AD12" s="8">
        <f t="shared" si="3"/>
        <v>0.15521807129087981</v>
      </c>
      <c r="AE12" s="8">
        <f t="shared" si="3"/>
        <v>0.16148639729418537</v>
      </c>
      <c r="AF12" s="8">
        <f t="shared" si="3"/>
        <v>0.1775771180706629</v>
      </c>
      <c r="AG12" s="8">
        <f t="shared" si="3"/>
        <v>0.17090386849847602</v>
      </c>
      <c r="AH12" s="8">
        <f t="shared" si="3"/>
        <v>0.16123557877283359</v>
      </c>
      <c r="AI12" s="8">
        <f t="shared" si="3"/>
        <v>0.16000825204764652</v>
      </c>
      <c r="AJ12" s="8">
        <f>O12/(AJ4*1000)</f>
        <v>0.13793716705480324</v>
      </c>
    </row>
    <row r="13" spans="1:39" ht="12.5" x14ac:dyDescent="0.25">
      <c r="A13" s="1" t="s">
        <v>35</v>
      </c>
      <c r="B13" s="42">
        <v>539188</v>
      </c>
      <c r="C13" s="42">
        <v>476899</v>
      </c>
      <c r="D13" s="42">
        <v>482385</v>
      </c>
      <c r="E13" s="42">
        <v>552959</v>
      </c>
      <c r="F13" s="42">
        <v>577158</v>
      </c>
      <c r="G13" s="42">
        <v>608144</v>
      </c>
      <c r="H13" s="42">
        <v>635923</v>
      </c>
      <c r="I13" s="42">
        <v>694337</v>
      </c>
      <c r="J13" s="42">
        <v>618270</v>
      </c>
      <c r="K13" s="42">
        <v>628596</v>
      </c>
      <c r="L13" s="42">
        <v>730937</v>
      </c>
      <c r="M13" s="42">
        <v>722135</v>
      </c>
      <c r="N13" s="42">
        <v>711886</v>
      </c>
      <c r="O13" s="42">
        <v>644801</v>
      </c>
      <c r="P13" s="42">
        <v>8623618</v>
      </c>
      <c r="U13" s="5" t="s">
        <v>198</v>
      </c>
      <c r="V13" s="8">
        <f t="shared" si="3"/>
        <v>0.15908986298847752</v>
      </c>
      <c r="W13" s="8">
        <f t="shared" si="3"/>
        <v>0.14131630382861607</v>
      </c>
      <c r="X13" s="8">
        <f t="shared" si="3"/>
        <v>0.14481361122160263</v>
      </c>
      <c r="Y13" s="8">
        <f t="shared" si="3"/>
        <v>0.16624531028695827</v>
      </c>
      <c r="Z13" s="8">
        <f t="shared" si="3"/>
        <v>0.17236603031139239</v>
      </c>
      <c r="AA13" s="8">
        <f t="shared" si="3"/>
        <v>0.17842428225436163</v>
      </c>
      <c r="AB13" s="8">
        <f t="shared" si="3"/>
        <v>0.18156534559980494</v>
      </c>
      <c r="AC13" s="8">
        <f t="shared" si="3"/>
        <v>0.1886784813373692</v>
      </c>
      <c r="AD13" s="8">
        <f t="shared" si="3"/>
        <v>0.16479373396261668</v>
      </c>
      <c r="AE13" s="8">
        <f t="shared" si="3"/>
        <v>0.16832655666905172</v>
      </c>
      <c r="AF13" s="8">
        <f t="shared" si="3"/>
        <v>0.18875194513894736</v>
      </c>
      <c r="AG13" s="8">
        <f t="shared" si="3"/>
        <v>0.18112571411515685</v>
      </c>
      <c r="AH13" s="8">
        <f t="shared" si="3"/>
        <v>0.17632847130438573</v>
      </c>
      <c r="AI13" s="8">
        <f t="shared" si="3"/>
        <v>0.15865990657091641</v>
      </c>
      <c r="AJ13" s="8">
        <f>O13/(AJ5*1000)</f>
        <v>0.1369339749059536</v>
      </c>
    </row>
    <row r="14" spans="1:39" ht="12.5" x14ac:dyDescent="0.25">
      <c r="B14" s="42"/>
      <c r="C14" s="42"/>
      <c r="D14" s="42"/>
      <c r="E14" s="42"/>
      <c r="F14" s="42"/>
      <c r="G14" s="42"/>
      <c r="H14" s="42"/>
      <c r="I14" s="42"/>
      <c r="J14" s="42"/>
      <c r="K14" s="42"/>
      <c r="L14" s="42"/>
      <c r="M14" s="42"/>
      <c r="N14" s="42"/>
      <c r="O14" s="42"/>
      <c r="P14" s="42"/>
      <c r="U14" s="5"/>
      <c r="V14" s="8"/>
      <c r="W14" s="8"/>
      <c r="X14" s="8"/>
      <c r="Y14" s="8"/>
      <c r="Z14" s="8"/>
      <c r="AA14" s="8"/>
      <c r="AB14" s="8"/>
      <c r="AC14" s="8"/>
      <c r="AD14" s="8"/>
      <c r="AE14" s="8"/>
      <c r="AF14" s="8"/>
      <c r="AG14" s="8"/>
      <c r="AH14" s="8"/>
      <c r="AI14" s="8"/>
      <c r="AJ14" s="8"/>
    </row>
    <row r="15" spans="1:39" ht="12.5" x14ac:dyDescent="0.25">
      <c r="A15" s="1" t="s">
        <v>2</v>
      </c>
      <c r="B15" s="42">
        <v>1122938</v>
      </c>
      <c r="C15" s="42">
        <v>1001650</v>
      </c>
      <c r="D15" s="42">
        <v>1037592</v>
      </c>
      <c r="E15" s="42">
        <v>1117965</v>
      </c>
      <c r="F15" s="42">
        <v>1175544</v>
      </c>
      <c r="G15" s="42">
        <v>1250017</v>
      </c>
      <c r="H15" s="42">
        <v>1305975</v>
      </c>
      <c r="I15" s="42">
        <v>1415003</v>
      </c>
      <c r="J15" s="42">
        <v>1241338</v>
      </c>
      <c r="K15" s="42">
        <v>1263509</v>
      </c>
      <c r="L15" s="42">
        <v>1452932</v>
      </c>
      <c r="M15" s="42">
        <v>1432567</v>
      </c>
      <c r="N15" s="42">
        <v>1386164</v>
      </c>
      <c r="O15" s="42">
        <v>1316475</v>
      </c>
      <c r="P15" s="42">
        <v>17519669</v>
      </c>
      <c r="U15" s="5" t="s">
        <v>2</v>
      </c>
      <c r="V15" s="12">
        <f t="shared" ref="V15:AI15" si="4">B15/(V7*1000)</f>
        <v>0.1583306767184233</v>
      </c>
      <c r="W15" s="12">
        <f t="shared" si="4"/>
        <v>0.14270404976612294</v>
      </c>
      <c r="X15" s="12">
        <f t="shared" si="4"/>
        <v>0.15018052631617038</v>
      </c>
      <c r="Y15" s="12">
        <f t="shared" si="4"/>
        <v>0.16217565304580633</v>
      </c>
      <c r="Z15" s="12">
        <f t="shared" si="4"/>
        <v>0.16904667713839638</v>
      </c>
      <c r="AA15" s="12">
        <f t="shared" si="4"/>
        <v>0.17669246105927811</v>
      </c>
      <c r="AB15" s="12">
        <f t="shared" si="4"/>
        <v>0.17998860509744102</v>
      </c>
      <c r="AC15" s="12">
        <f t="shared" si="4"/>
        <v>0.18447488715440855</v>
      </c>
      <c r="AD15" s="12">
        <f t="shared" si="4"/>
        <v>0.15984414996432492</v>
      </c>
      <c r="AE15" s="12">
        <f t="shared" si="4"/>
        <v>0.1648184564049483</v>
      </c>
      <c r="AF15" s="12">
        <f t="shared" si="4"/>
        <v>0.18302845009973817</v>
      </c>
      <c r="AG15" s="12">
        <f t="shared" si="4"/>
        <v>0.17590811309214563</v>
      </c>
      <c r="AH15" s="12">
        <f t="shared" si="4"/>
        <v>0.16864919581736212</v>
      </c>
      <c r="AI15" s="12">
        <f t="shared" si="4"/>
        <v>0.15934498948230477</v>
      </c>
      <c r="AJ15" s="8">
        <f>O15/(AJ7*1000)</f>
        <v>0.13744397994376018</v>
      </c>
    </row>
    <row r="16" spans="1:39" ht="12.75" customHeight="1" x14ac:dyDescent="0.25">
      <c r="U16" s="5"/>
      <c r="V16" s="5"/>
      <c r="W16" s="5"/>
      <c r="X16" s="5"/>
      <c r="Y16" s="5"/>
      <c r="Z16" s="5"/>
      <c r="AA16" s="5"/>
      <c r="AB16" s="5"/>
      <c r="AC16" s="5"/>
      <c r="AD16" s="5"/>
      <c r="AE16" s="5"/>
      <c r="AF16" s="5"/>
      <c r="AG16" s="5"/>
      <c r="AH16" s="5"/>
      <c r="AI16" s="5"/>
      <c r="AJ16" s="5"/>
    </row>
    <row r="17" ht="12.5" x14ac:dyDescent="0.25"/>
    <row r="18" ht="12.5" x14ac:dyDescent="0.25"/>
    <row r="19" ht="12.5" x14ac:dyDescent="0.25"/>
    <row r="20" ht="12.5" x14ac:dyDescent="0.25"/>
    <row r="21" ht="12.5" x14ac:dyDescent="0.25"/>
    <row r="22" ht="12.5" x14ac:dyDescent="0.25"/>
    <row r="23" ht="12.5" x14ac:dyDescent="0.25"/>
    <row r="25" ht="12.5" x14ac:dyDescent="0.25"/>
    <row r="26" ht="12.5" x14ac:dyDescent="0.25"/>
    <row r="27" ht="12.5" x14ac:dyDescent="0.25"/>
    <row r="28" ht="12.5" x14ac:dyDescent="0.25"/>
    <row r="29" ht="12.5" x14ac:dyDescent="0.25"/>
    <row r="30" ht="12.5" x14ac:dyDescent="0.25"/>
    <row r="31" ht="12.5" x14ac:dyDescent="0.25"/>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75714-1531-409F-B2A7-359BB6694413}">
  <dimension ref="A1:AJ45"/>
  <sheetViews>
    <sheetView zoomScale="70" zoomScaleNormal="70" workbookViewId="0">
      <selection activeCell="AH90" sqref="AH90"/>
    </sheetView>
  </sheetViews>
  <sheetFormatPr defaultColWidth="11.54296875" defaultRowHeight="12.75" customHeight="1" x14ac:dyDescent="0.25"/>
  <cols>
    <col min="1" max="16384" width="11.54296875" style="1"/>
  </cols>
  <sheetData>
    <row r="1" spans="1:36" ht="12.5" x14ac:dyDescent="0.25">
      <c r="A1" s="1" t="s">
        <v>32</v>
      </c>
      <c r="B1" s="1" t="s">
        <v>0</v>
      </c>
    </row>
    <row r="2" spans="1:36" ht="13" x14ac:dyDescent="0.3">
      <c r="A2" s="1" t="s">
        <v>39</v>
      </c>
      <c r="B2" s="42">
        <v>2011</v>
      </c>
      <c r="C2" s="42">
        <v>2012</v>
      </c>
      <c r="D2" s="42">
        <v>2013</v>
      </c>
      <c r="E2" s="42">
        <v>2014</v>
      </c>
      <c r="F2" s="42">
        <v>2015</v>
      </c>
      <c r="G2" s="42">
        <v>2016</v>
      </c>
      <c r="H2" s="42">
        <v>2017</v>
      </c>
      <c r="I2" s="42">
        <v>2018</v>
      </c>
      <c r="J2" s="42">
        <v>2019</v>
      </c>
      <c r="K2" s="42">
        <v>2020</v>
      </c>
      <c r="L2" s="42">
        <v>2021</v>
      </c>
      <c r="M2" s="42">
        <v>2022</v>
      </c>
      <c r="N2" s="42">
        <v>2023</v>
      </c>
      <c r="O2" s="42">
        <v>2024</v>
      </c>
      <c r="P2" s="42" t="s">
        <v>2</v>
      </c>
      <c r="U2" s="4" t="s">
        <v>37</v>
      </c>
      <c r="V2" s="5"/>
      <c r="W2" s="5"/>
      <c r="X2" s="5"/>
      <c r="Y2" s="5"/>
      <c r="Z2" s="5"/>
      <c r="AA2" s="5"/>
      <c r="AB2" s="5"/>
      <c r="AC2" s="5"/>
      <c r="AD2" s="5"/>
      <c r="AE2" s="5"/>
      <c r="AF2" s="5"/>
      <c r="AG2" s="5"/>
      <c r="AH2" s="5"/>
      <c r="AI2" s="5"/>
      <c r="AJ2" s="5"/>
    </row>
    <row r="3" spans="1:36" ht="13" x14ac:dyDescent="0.3">
      <c r="B3" s="42"/>
      <c r="C3" s="42"/>
      <c r="D3" s="42"/>
      <c r="E3" s="42"/>
      <c r="F3" s="42"/>
      <c r="G3" s="42"/>
      <c r="H3" s="42"/>
      <c r="I3" s="42"/>
      <c r="J3" s="42"/>
      <c r="K3" s="42"/>
      <c r="L3" s="42"/>
      <c r="M3" s="42"/>
      <c r="N3" s="42"/>
      <c r="O3" s="42"/>
      <c r="P3" s="42"/>
      <c r="U3" s="5"/>
      <c r="V3" s="13">
        <v>2011</v>
      </c>
      <c r="W3" s="13">
        <v>2012</v>
      </c>
      <c r="X3" s="13">
        <v>2013</v>
      </c>
      <c r="Y3" s="13">
        <v>2014</v>
      </c>
      <c r="Z3" s="13">
        <v>2015</v>
      </c>
      <c r="AA3" s="13">
        <v>2016</v>
      </c>
      <c r="AB3" s="13">
        <v>2017</v>
      </c>
      <c r="AC3" s="13">
        <v>2018</v>
      </c>
      <c r="AD3" s="13">
        <v>2019</v>
      </c>
      <c r="AE3" s="13">
        <v>2020</v>
      </c>
      <c r="AF3" s="13">
        <v>2021</v>
      </c>
      <c r="AG3" s="13">
        <v>2022</v>
      </c>
      <c r="AH3" s="13">
        <v>2023</v>
      </c>
      <c r="AI3" s="13">
        <v>2024</v>
      </c>
      <c r="AJ3" s="13" t="s">
        <v>2</v>
      </c>
    </row>
    <row r="4" spans="1:36" ht="12.5" x14ac:dyDescent="0.25">
      <c r="A4" s="1" t="s">
        <v>40</v>
      </c>
      <c r="B4" s="42">
        <v>1189871</v>
      </c>
      <c r="C4" s="42">
        <v>1154817</v>
      </c>
      <c r="D4" s="42">
        <v>1115700</v>
      </c>
      <c r="E4" s="42">
        <v>1111226</v>
      </c>
      <c r="F4" s="42">
        <v>1135276</v>
      </c>
      <c r="G4" s="42">
        <v>1172995</v>
      </c>
      <c r="H4" s="42">
        <v>1229849</v>
      </c>
      <c r="I4" s="42">
        <v>1337699</v>
      </c>
      <c r="J4" s="42">
        <v>1342703</v>
      </c>
      <c r="K4" s="42">
        <v>1296484</v>
      </c>
      <c r="L4" s="42">
        <v>1401408</v>
      </c>
      <c r="M4" s="42">
        <v>1455626</v>
      </c>
      <c r="N4" s="42">
        <v>1465212</v>
      </c>
      <c r="O4" s="42">
        <v>1454662</v>
      </c>
      <c r="P4" s="42">
        <v>17863528</v>
      </c>
      <c r="U4" s="5" t="s">
        <v>40</v>
      </c>
      <c r="V4" s="6">
        <f>B4/1000</f>
        <v>1189.8710000000001</v>
      </c>
      <c r="W4" s="6">
        <f t="shared" ref="W4:AJ11" si="0">C4/1000</f>
        <v>1154.817</v>
      </c>
      <c r="X4" s="6">
        <f t="shared" si="0"/>
        <v>1115.7</v>
      </c>
      <c r="Y4" s="6">
        <f t="shared" si="0"/>
        <v>1111.2260000000001</v>
      </c>
      <c r="Z4" s="6">
        <f t="shared" si="0"/>
        <v>1135.2760000000001</v>
      </c>
      <c r="AA4" s="6">
        <f t="shared" si="0"/>
        <v>1172.9949999999999</v>
      </c>
      <c r="AB4" s="6">
        <f t="shared" si="0"/>
        <v>1229.8489999999999</v>
      </c>
      <c r="AC4" s="6">
        <f t="shared" si="0"/>
        <v>1337.6990000000001</v>
      </c>
      <c r="AD4" s="6">
        <f t="shared" si="0"/>
        <v>1342.703</v>
      </c>
      <c r="AE4" s="6">
        <f t="shared" si="0"/>
        <v>1296.4839999999999</v>
      </c>
      <c r="AF4" s="6">
        <f t="shared" si="0"/>
        <v>1401.4079999999999</v>
      </c>
      <c r="AG4" s="6">
        <f t="shared" si="0"/>
        <v>1455.626</v>
      </c>
      <c r="AH4" s="6">
        <f t="shared" si="0"/>
        <v>1465.212</v>
      </c>
      <c r="AI4" s="6">
        <f t="shared" si="0"/>
        <v>1454.662</v>
      </c>
      <c r="AJ4" s="6">
        <f t="shared" si="0"/>
        <v>17863.527999999998</v>
      </c>
    </row>
    <row r="5" spans="1:36" ht="12.5" x14ac:dyDescent="0.25">
      <c r="A5" s="1" t="s">
        <v>41</v>
      </c>
      <c r="B5" s="42">
        <v>1521501</v>
      </c>
      <c r="C5" s="42">
        <v>1507962</v>
      </c>
      <c r="D5" s="42">
        <v>1486778</v>
      </c>
      <c r="E5" s="42">
        <v>1488491</v>
      </c>
      <c r="F5" s="42">
        <v>1506927</v>
      </c>
      <c r="G5" s="42">
        <v>1540951</v>
      </c>
      <c r="H5" s="42">
        <v>1590201</v>
      </c>
      <c r="I5" s="42">
        <v>1709314</v>
      </c>
      <c r="J5" s="42">
        <v>1736018</v>
      </c>
      <c r="K5" s="42">
        <v>1716845</v>
      </c>
      <c r="L5" s="42">
        <v>1781620</v>
      </c>
      <c r="M5" s="42">
        <v>1824746</v>
      </c>
      <c r="N5" s="42">
        <v>1845113</v>
      </c>
      <c r="O5" s="42">
        <v>1863059</v>
      </c>
      <c r="P5" s="42">
        <v>23119526</v>
      </c>
      <c r="U5" s="5" t="s">
        <v>41</v>
      </c>
      <c r="V5" s="6">
        <f t="shared" ref="V5:V11" si="1">B5/1000</f>
        <v>1521.501</v>
      </c>
      <c r="W5" s="6">
        <f t="shared" si="0"/>
        <v>1507.962</v>
      </c>
      <c r="X5" s="6">
        <f t="shared" si="0"/>
        <v>1486.778</v>
      </c>
      <c r="Y5" s="6">
        <f t="shared" si="0"/>
        <v>1488.491</v>
      </c>
      <c r="Z5" s="6">
        <f t="shared" si="0"/>
        <v>1506.9269999999999</v>
      </c>
      <c r="AA5" s="6">
        <f t="shared" si="0"/>
        <v>1540.951</v>
      </c>
      <c r="AB5" s="6">
        <f t="shared" si="0"/>
        <v>1590.201</v>
      </c>
      <c r="AC5" s="6">
        <f t="shared" si="0"/>
        <v>1709.3140000000001</v>
      </c>
      <c r="AD5" s="6">
        <f t="shared" si="0"/>
        <v>1736.018</v>
      </c>
      <c r="AE5" s="6">
        <f t="shared" si="0"/>
        <v>1716.845</v>
      </c>
      <c r="AF5" s="6">
        <f t="shared" si="0"/>
        <v>1781.62</v>
      </c>
      <c r="AG5" s="6">
        <f t="shared" si="0"/>
        <v>1824.7460000000001</v>
      </c>
      <c r="AH5" s="6">
        <f t="shared" si="0"/>
        <v>1845.1130000000001</v>
      </c>
      <c r="AI5" s="6">
        <f t="shared" si="0"/>
        <v>1863.059</v>
      </c>
      <c r="AJ5" s="6">
        <f t="shared" si="0"/>
        <v>23119.526000000002</v>
      </c>
    </row>
    <row r="6" spans="1:36" ht="12.5" x14ac:dyDescent="0.25">
      <c r="A6" s="1" t="s">
        <v>42</v>
      </c>
      <c r="B6" s="42">
        <v>1649962</v>
      </c>
      <c r="C6" s="42">
        <v>1594173</v>
      </c>
      <c r="D6" s="42">
        <v>1532228</v>
      </c>
      <c r="E6" s="42">
        <v>1481957</v>
      </c>
      <c r="F6" s="42">
        <v>1451955</v>
      </c>
      <c r="G6" s="42">
        <v>1435727</v>
      </c>
      <c r="H6" s="42">
        <v>1432364</v>
      </c>
      <c r="I6" s="42">
        <v>1486998</v>
      </c>
      <c r="J6" s="42">
        <v>1492411</v>
      </c>
      <c r="K6" s="42">
        <v>1483025</v>
      </c>
      <c r="L6" s="42">
        <v>1533242</v>
      </c>
      <c r="M6" s="42">
        <v>1577768</v>
      </c>
      <c r="N6" s="42">
        <v>1598335</v>
      </c>
      <c r="O6" s="42">
        <v>1620052</v>
      </c>
      <c r="P6" s="42">
        <v>21370197</v>
      </c>
      <c r="U6" s="5" t="s">
        <v>42</v>
      </c>
      <c r="V6" s="6">
        <f t="shared" si="1"/>
        <v>1649.962</v>
      </c>
      <c r="W6" s="6">
        <f t="shared" si="0"/>
        <v>1594.173</v>
      </c>
      <c r="X6" s="6">
        <f t="shared" si="0"/>
        <v>1532.2280000000001</v>
      </c>
      <c r="Y6" s="6">
        <f t="shared" si="0"/>
        <v>1481.9570000000001</v>
      </c>
      <c r="Z6" s="6">
        <f t="shared" si="0"/>
        <v>1451.9549999999999</v>
      </c>
      <c r="AA6" s="6">
        <f t="shared" si="0"/>
        <v>1435.7270000000001</v>
      </c>
      <c r="AB6" s="6">
        <f t="shared" si="0"/>
        <v>1432.364</v>
      </c>
      <c r="AC6" s="6">
        <f t="shared" si="0"/>
        <v>1486.998</v>
      </c>
      <c r="AD6" s="6">
        <f t="shared" si="0"/>
        <v>1492.4110000000001</v>
      </c>
      <c r="AE6" s="6">
        <f t="shared" si="0"/>
        <v>1483.0250000000001</v>
      </c>
      <c r="AF6" s="6">
        <f t="shared" si="0"/>
        <v>1533.242</v>
      </c>
      <c r="AG6" s="6">
        <f t="shared" si="0"/>
        <v>1577.768</v>
      </c>
      <c r="AH6" s="6">
        <f t="shared" si="0"/>
        <v>1598.335</v>
      </c>
      <c r="AI6" s="6">
        <f t="shared" si="0"/>
        <v>1620.0519999999999</v>
      </c>
      <c r="AJ6" s="6">
        <f t="shared" si="0"/>
        <v>21370.197</v>
      </c>
    </row>
    <row r="7" spans="1:36" ht="12.5" x14ac:dyDescent="0.25">
      <c r="A7" s="1" t="s">
        <v>43</v>
      </c>
      <c r="B7" s="42">
        <v>1661066</v>
      </c>
      <c r="C7" s="42">
        <v>1653705</v>
      </c>
      <c r="D7" s="42">
        <v>1631878</v>
      </c>
      <c r="E7" s="42">
        <v>1629258</v>
      </c>
      <c r="F7" s="42">
        <v>1636271</v>
      </c>
      <c r="G7" s="42">
        <v>1643795</v>
      </c>
      <c r="H7" s="42">
        <v>1653539</v>
      </c>
      <c r="I7" s="42">
        <v>1687713</v>
      </c>
      <c r="J7" s="42">
        <v>1667297</v>
      </c>
      <c r="K7" s="42">
        <v>1618588</v>
      </c>
      <c r="L7" s="42">
        <v>1619316</v>
      </c>
      <c r="M7" s="42">
        <v>1611651</v>
      </c>
      <c r="N7" s="42">
        <v>1583331</v>
      </c>
      <c r="O7" s="42">
        <v>1547682</v>
      </c>
      <c r="P7" s="42">
        <v>22845090</v>
      </c>
      <c r="U7" s="5" t="s">
        <v>43</v>
      </c>
      <c r="V7" s="6">
        <f t="shared" si="1"/>
        <v>1661.066</v>
      </c>
      <c r="W7" s="6">
        <f t="shared" si="0"/>
        <v>1653.7049999999999</v>
      </c>
      <c r="X7" s="6">
        <f t="shared" si="0"/>
        <v>1631.8779999999999</v>
      </c>
      <c r="Y7" s="6">
        <f t="shared" si="0"/>
        <v>1629.258</v>
      </c>
      <c r="Z7" s="6">
        <f t="shared" si="0"/>
        <v>1636.271</v>
      </c>
      <c r="AA7" s="6">
        <f t="shared" si="0"/>
        <v>1643.7950000000001</v>
      </c>
      <c r="AB7" s="6">
        <f t="shared" si="0"/>
        <v>1653.539</v>
      </c>
      <c r="AC7" s="6">
        <f t="shared" si="0"/>
        <v>1687.713</v>
      </c>
      <c r="AD7" s="6">
        <f t="shared" si="0"/>
        <v>1667.297</v>
      </c>
      <c r="AE7" s="6">
        <f t="shared" si="0"/>
        <v>1618.588</v>
      </c>
      <c r="AF7" s="6">
        <f t="shared" si="0"/>
        <v>1619.316</v>
      </c>
      <c r="AG7" s="6">
        <f t="shared" si="0"/>
        <v>1611.6510000000001</v>
      </c>
      <c r="AH7" s="6">
        <f t="shared" si="0"/>
        <v>1583.3309999999999</v>
      </c>
      <c r="AI7" s="6">
        <f t="shared" si="0"/>
        <v>1547.682</v>
      </c>
      <c r="AJ7" s="6">
        <f t="shared" si="0"/>
        <v>22845.09</v>
      </c>
    </row>
    <row r="8" spans="1:36" ht="12.5" x14ac:dyDescent="0.25">
      <c r="A8" s="1" t="s">
        <v>44</v>
      </c>
      <c r="B8" s="42">
        <v>994028</v>
      </c>
      <c r="C8" s="42">
        <v>1026313</v>
      </c>
      <c r="D8" s="42">
        <v>1055393</v>
      </c>
      <c r="E8" s="42">
        <v>1092896</v>
      </c>
      <c r="F8" s="42">
        <v>1122581</v>
      </c>
      <c r="G8" s="42">
        <v>1167053</v>
      </c>
      <c r="H8" s="42">
        <v>1217795</v>
      </c>
      <c r="I8" s="42">
        <v>1292887</v>
      </c>
      <c r="J8" s="42">
        <v>1344853</v>
      </c>
      <c r="K8" s="42">
        <v>1365638</v>
      </c>
      <c r="L8" s="42">
        <v>1405258</v>
      </c>
      <c r="M8" s="42">
        <v>1447868</v>
      </c>
      <c r="N8" s="42">
        <v>1475729</v>
      </c>
      <c r="O8" s="42">
        <v>1501990</v>
      </c>
      <c r="P8" s="42">
        <v>17510282</v>
      </c>
      <c r="U8" s="5" t="s">
        <v>44</v>
      </c>
      <c r="V8" s="6">
        <f t="shared" si="1"/>
        <v>994.02800000000002</v>
      </c>
      <c r="W8" s="6">
        <f t="shared" si="0"/>
        <v>1026.3130000000001</v>
      </c>
      <c r="X8" s="6">
        <f t="shared" si="0"/>
        <v>1055.393</v>
      </c>
      <c r="Y8" s="6">
        <f t="shared" si="0"/>
        <v>1092.896</v>
      </c>
      <c r="Z8" s="6">
        <f t="shared" si="0"/>
        <v>1122.5809999999999</v>
      </c>
      <c r="AA8" s="6">
        <f t="shared" si="0"/>
        <v>1167.0530000000001</v>
      </c>
      <c r="AB8" s="6">
        <f t="shared" si="0"/>
        <v>1217.7950000000001</v>
      </c>
      <c r="AC8" s="6">
        <f t="shared" si="0"/>
        <v>1292.8869999999999</v>
      </c>
      <c r="AD8" s="6">
        <f t="shared" si="0"/>
        <v>1344.8530000000001</v>
      </c>
      <c r="AE8" s="6">
        <f t="shared" si="0"/>
        <v>1365.6379999999999</v>
      </c>
      <c r="AF8" s="6">
        <f t="shared" si="0"/>
        <v>1405.258</v>
      </c>
      <c r="AG8" s="6">
        <f t="shared" si="0"/>
        <v>1447.8679999999999</v>
      </c>
      <c r="AH8" s="6">
        <f t="shared" si="0"/>
        <v>1475.729</v>
      </c>
      <c r="AI8" s="6">
        <f t="shared" si="0"/>
        <v>1501.99</v>
      </c>
      <c r="AJ8" s="6">
        <f t="shared" si="0"/>
        <v>17510.281999999999</v>
      </c>
    </row>
    <row r="9" spans="1:36" ht="12.5" x14ac:dyDescent="0.25">
      <c r="A9" s="1" t="s">
        <v>45</v>
      </c>
      <c r="B9" s="42">
        <v>75931</v>
      </c>
      <c r="C9" s="42">
        <v>82102</v>
      </c>
      <c r="D9" s="42">
        <v>86988</v>
      </c>
      <c r="E9" s="42">
        <v>89716</v>
      </c>
      <c r="F9" s="42">
        <v>100951</v>
      </c>
      <c r="G9" s="42">
        <v>114014</v>
      </c>
      <c r="H9" s="42">
        <v>132128</v>
      </c>
      <c r="I9" s="42">
        <v>155826</v>
      </c>
      <c r="J9" s="42">
        <v>182645</v>
      </c>
      <c r="K9" s="42">
        <v>185485</v>
      </c>
      <c r="L9" s="42">
        <v>197441</v>
      </c>
      <c r="M9" s="42">
        <v>226178</v>
      </c>
      <c r="N9" s="42">
        <v>251495</v>
      </c>
      <c r="O9" s="42">
        <v>274346</v>
      </c>
      <c r="P9" s="42">
        <v>2155246</v>
      </c>
      <c r="U9" s="5" t="s">
        <v>45</v>
      </c>
      <c r="V9" s="6">
        <f t="shared" si="1"/>
        <v>75.930999999999997</v>
      </c>
      <c r="W9" s="6">
        <f t="shared" si="0"/>
        <v>82.102000000000004</v>
      </c>
      <c r="X9" s="6">
        <f t="shared" si="0"/>
        <v>86.988</v>
      </c>
      <c r="Y9" s="6">
        <f t="shared" si="0"/>
        <v>89.715999999999994</v>
      </c>
      <c r="Z9" s="6">
        <f t="shared" si="0"/>
        <v>100.95099999999999</v>
      </c>
      <c r="AA9" s="6">
        <f t="shared" si="0"/>
        <v>114.014</v>
      </c>
      <c r="AB9" s="6">
        <f t="shared" si="0"/>
        <v>132.12799999999999</v>
      </c>
      <c r="AC9" s="6">
        <f t="shared" si="0"/>
        <v>155.82599999999999</v>
      </c>
      <c r="AD9" s="6">
        <f t="shared" si="0"/>
        <v>182.64500000000001</v>
      </c>
      <c r="AE9" s="6">
        <f t="shared" si="0"/>
        <v>185.48500000000001</v>
      </c>
      <c r="AF9" s="6">
        <f t="shared" si="0"/>
        <v>197.441</v>
      </c>
      <c r="AG9" s="6">
        <f t="shared" si="0"/>
        <v>226.178</v>
      </c>
      <c r="AH9" s="6">
        <f t="shared" si="0"/>
        <v>251.495</v>
      </c>
      <c r="AI9" s="6">
        <f t="shared" si="0"/>
        <v>274.346</v>
      </c>
      <c r="AJ9" s="6">
        <f t="shared" si="0"/>
        <v>2155.2460000000001</v>
      </c>
    </row>
    <row r="10" spans="1:36" ht="12.5" x14ac:dyDescent="0.25">
      <c r="B10" s="42"/>
      <c r="C10" s="42"/>
      <c r="D10" s="42"/>
      <c r="E10" s="42"/>
      <c r="F10" s="42"/>
      <c r="G10" s="42"/>
      <c r="H10" s="42"/>
      <c r="I10" s="42"/>
      <c r="J10" s="42"/>
      <c r="K10" s="42"/>
      <c r="L10" s="42"/>
      <c r="M10" s="42"/>
      <c r="N10" s="42"/>
      <c r="O10" s="42"/>
      <c r="P10" s="42"/>
      <c r="U10" s="5"/>
      <c r="V10" s="6"/>
      <c r="W10" s="6"/>
      <c r="X10" s="6"/>
      <c r="Y10" s="6"/>
      <c r="Z10" s="6"/>
      <c r="AA10" s="6"/>
      <c r="AB10" s="6"/>
      <c r="AC10" s="6"/>
      <c r="AD10" s="6"/>
      <c r="AE10" s="6"/>
      <c r="AF10" s="6"/>
      <c r="AG10" s="6"/>
      <c r="AH10" s="6"/>
      <c r="AI10" s="6"/>
      <c r="AJ10" s="6"/>
    </row>
    <row r="11" spans="1:36" ht="12.5" x14ac:dyDescent="0.25">
      <c r="A11" s="1" t="s">
        <v>2</v>
      </c>
      <c r="B11" s="42">
        <v>7092359</v>
      </c>
      <c r="C11" s="42">
        <v>7019072</v>
      </c>
      <c r="D11" s="42">
        <v>6908965</v>
      </c>
      <c r="E11" s="42">
        <v>6893544</v>
      </c>
      <c r="F11" s="42">
        <v>6953961</v>
      </c>
      <c r="G11" s="42">
        <v>7074535</v>
      </c>
      <c r="H11" s="42">
        <v>7255876</v>
      </c>
      <c r="I11" s="42">
        <v>7670437</v>
      </c>
      <c r="J11" s="42">
        <v>7765927</v>
      </c>
      <c r="K11" s="42">
        <v>7666065</v>
      </c>
      <c r="L11" s="42">
        <v>7938285</v>
      </c>
      <c r="M11" s="42">
        <v>8143837</v>
      </c>
      <c r="N11" s="42">
        <v>8219215</v>
      </c>
      <c r="O11" s="42">
        <v>8261791</v>
      </c>
      <c r="P11" s="42">
        <v>104863869</v>
      </c>
      <c r="U11" s="5" t="s">
        <v>2</v>
      </c>
      <c r="V11" s="6">
        <f t="shared" si="1"/>
        <v>7092.3590000000004</v>
      </c>
      <c r="W11" s="6">
        <f t="shared" si="0"/>
        <v>7019.0720000000001</v>
      </c>
      <c r="X11" s="6">
        <f t="shared" si="0"/>
        <v>6908.9650000000001</v>
      </c>
      <c r="Y11" s="6">
        <f t="shared" si="0"/>
        <v>6893.5439999999999</v>
      </c>
      <c r="Z11" s="6">
        <f t="shared" si="0"/>
        <v>6953.9610000000002</v>
      </c>
      <c r="AA11" s="6">
        <f t="shared" si="0"/>
        <v>7074.5349999999999</v>
      </c>
      <c r="AB11" s="6">
        <f t="shared" si="0"/>
        <v>7255.8760000000002</v>
      </c>
      <c r="AC11" s="6">
        <f t="shared" si="0"/>
        <v>7670.4369999999999</v>
      </c>
      <c r="AD11" s="6">
        <f t="shared" si="0"/>
        <v>7765.9269999999997</v>
      </c>
      <c r="AE11" s="6">
        <f t="shared" si="0"/>
        <v>7666.0649999999996</v>
      </c>
      <c r="AF11" s="6">
        <f t="shared" si="0"/>
        <v>7938.2849999999999</v>
      </c>
      <c r="AG11" s="6">
        <f t="shared" si="0"/>
        <v>8143.8370000000004</v>
      </c>
      <c r="AH11" s="6">
        <f t="shared" si="0"/>
        <v>8219.2150000000001</v>
      </c>
      <c r="AI11" s="6">
        <f t="shared" si="0"/>
        <v>8261.7909999999993</v>
      </c>
      <c r="AJ11" s="6">
        <f t="shared" si="0"/>
        <v>104863.86900000001</v>
      </c>
    </row>
    <row r="12" spans="1:36" ht="12.75" customHeight="1" x14ac:dyDescent="0.3">
      <c r="V12" s="3" t="e">
        <f>#REF!</f>
        <v>#REF!</v>
      </c>
      <c r="W12" s="3" t="e">
        <f>#REF!</f>
        <v>#REF!</v>
      </c>
      <c r="X12" s="3" t="e">
        <f>#REF!</f>
        <v>#REF!</v>
      </c>
      <c r="Y12" s="3" t="e">
        <f>#REF!</f>
        <v>#REF!</v>
      </c>
      <c r="Z12" s="3" t="e">
        <f>#REF!</f>
        <v>#REF!</v>
      </c>
      <c r="AA12" s="3" t="e">
        <f>#REF!</f>
        <v>#REF!</v>
      </c>
      <c r="AB12" s="3" t="e">
        <f>#REF!</f>
        <v>#REF!</v>
      </c>
      <c r="AC12" s="3" t="e">
        <f>#REF!</f>
        <v>#REF!</v>
      </c>
      <c r="AD12" s="3" t="e">
        <f>#REF!</f>
        <v>#REF!</v>
      </c>
      <c r="AE12" s="3" t="e">
        <f>#REF!</f>
        <v>#REF!</v>
      </c>
      <c r="AF12" s="3" t="e">
        <f>#REF!</f>
        <v>#REF!</v>
      </c>
      <c r="AG12" s="3" t="e">
        <f>#REF!</f>
        <v>#REF!</v>
      </c>
      <c r="AH12" s="3" t="e">
        <f>#REF!</f>
        <v>#REF!</v>
      </c>
      <c r="AI12" s="3"/>
      <c r="AJ12" s="2"/>
    </row>
    <row r="13" spans="1:36" ht="12.5" x14ac:dyDescent="0.25">
      <c r="A13" s="1" t="s">
        <v>36</v>
      </c>
      <c r="B13" s="1" t="s">
        <v>0</v>
      </c>
    </row>
    <row r="14" spans="1:36" ht="13" x14ac:dyDescent="0.3">
      <c r="A14" s="1" t="s">
        <v>39</v>
      </c>
      <c r="B14" s="1">
        <v>2011</v>
      </c>
      <c r="C14" s="1">
        <v>2012</v>
      </c>
      <c r="D14" s="1">
        <v>2013</v>
      </c>
      <c r="E14" s="1">
        <v>2014</v>
      </c>
      <c r="F14" s="1">
        <v>2015</v>
      </c>
      <c r="G14" s="1">
        <v>2016</v>
      </c>
      <c r="H14" s="1">
        <v>2017</v>
      </c>
      <c r="I14" s="1">
        <v>2018</v>
      </c>
      <c r="J14" s="1">
        <v>2019</v>
      </c>
      <c r="K14" s="1">
        <v>2020</v>
      </c>
      <c r="L14" s="1">
        <v>2021</v>
      </c>
      <c r="M14" s="1">
        <v>2022</v>
      </c>
      <c r="N14" s="1">
        <v>2023</v>
      </c>
      <c r="O14" s="1">
        <v>2024</v>
      </c>
      <c r="P14" s="1" t="s">
        <v>2</v>
      </c>
      <c r="U14" s="4" t="s">
        <v>38</v>
      </c>
      <c r="V14" s="5"/>
      <c r="W14" s="5"/>
      <c r="X14" s="5"/>
      <c r="Y14" s="5"/>
      <c r="Z14" s="5"/>
      <c r="AA14" s="5"/>
      <c r="AB14" s="5"/>
      <c r="AC14" s="5"/>
      <c r="AD14" s="5"/>
      <c r="AE14" s="5"/>
      <c r="AF14" s="5"/>
      <c r="AG14" s="5"/>
      <c r="AH14" s="5"/>
      <c r="AI14" s="5"/>
      <c r="AJ14" s="5"/>
    </row>
    <row r="15" spans="1:36" ht="13" x14ac:dyDescent="0.3">
      <c r="U15" s="5"/>
      <c r="V15" s="13">
        <v>2011</v>
      </c>
      <c r="W15" s="13">
        <v>2012</v>
      </c>
      <c r="X15" s="13">
        <v>2013</v>
      </c>
      <c r="Y15" s="13">
        <v>2014</v>
      </c>
      <c r="Z15" s="13">
        <v>2015</v>
      </c>
      <c r="AA15" s="13">
        <v>2016</v>
      </c>
      <c r="AB15" s="13">
        <v>2017</v>
      </c>
      <c r="AC15" s="13">
        <v>2018</v>
      </c>
      <c r="AD15" s="13">
        <v>2019</v>
      </c>
      <c r="AE15" s="13">
        <v>2020</v>
      </c>
      <c r="AF15" s="13">
        <v>2021</v>
      </c>
      <c r="AG15" s="13">
        <v>2022</v>
      </c>
      <c r="AH15" s="13">
        <v>2023</v>
      </c>
      <c r="AI15" s="13">
        <v>2024</v>
      </c>
      <c r="AJ15" s="13" t="s">
        <v>2</v>
      </c>
    </row>
    <row r="16" spans="1:36" ht="12.5" x14ac:dyDescent="0.25">
      <c r="A16" s="1" t="s">
        <v>40</v>
      </c>
      <c r="B16" s="1">
        <v>351885</v>
      </c>
      <c r="C16" s="1">
        <v>323078</v>
      </c>
      <c r="D16" s="1">
        <v>324032</v>
      </c>
      <c r="E16" s="1">
        <v>356477</v>
      </c>
      <c r="F16" s="1">
        <v>384605</v>
      </c>
      <c r="G16" s="1">
        <v>399736</v>
      </c>
      <c r="H16" s="1">
        <v>421216</v>
      </c>
      <c r="I16" s="1">
        <v>440998</v>
      </c>
      <c r="J16" s="1">
        <v>410336</v>
      </c>
      <c r="K16" s="1">
        <v>420402</v>
      </c>
      <c r="L16" s="1">
        <v>483052</v>
      </c>
      <c r="M16" s="1">
        <v>478100</v>
      </c>
      <c r="N16" s="1">
        <v>461155</v>
      </c>
      <c r="O16" s="1">
        <v>453307</v>
      </c>
      <c r="P16" s="1">
        <v>5708379</v>
      </c>
      <c r="U16" s="5" t="s">
        <v>40</v>
      </c>
      <c r="V16" s="8">
        <f>B16/(V4*1000)</f>
        <v>0.29573373920366158</v>
      </c>
      <c r="W16" s="8">
        <f t="shared" ref="W16:AJ21" si="2">C16/(W4*1000)</f>
        <v>0.2797655386091476</v>
      </c>
      <c r="X16" s="8">
        <f t="shared" si="2"/>
        <v>0.29042932687998568</v>
      </c>
      <c r="Y16" s="8">
        <f t="shared" si="2"/>
        <v>0.32079612968019106</v>
      </c>
      <c r="Z16" s="8">
        <f t="shared" si="2"/>
        <v>0.33877664990715917</v>
      </c>
      <c r="AA16" s="8">
        <f t="shared" si="2"/>
        <v>0.34078235627602843</v>
      </c>
      <c r="AB16" s="8">
        <f t="shared" si="2"/>
        <v>0.34249407854134939</v>
      </c>
      <c r="AC16" s="8">
        <f t="shared" si="2"/>
        <v>0.32966908101149811</v>
      </c>
      <c r="AD16" s="8">
        <f t="shared" si="2"/>
        <v>0.30560444119064306</v>
      </c>
      <c r="AE16" s="8">
        <f t="shared" si="2"/>
        <v>0.32426316098000441</v>
      </c>
      <c r="AF16" s="8">
        <f t="shared" si="2"/>
        <v>0.34469048271452712</v>
      </c>
      <c r="AG16" s="8">
        <f t="shared" si="2"/>
        <v>0.32844975288982198</v>
      </c>
      <c r="AH16" s="8">
        <f t="shared" si="2"/>
        <v>0.3147360245479835</v>
      </c>
      <c r="AI16" s="8">
        <f t="shared" si="2"/>
        <v>0.31162359365955805</v>
      </c>
      <c r="AJ16" s="8">
        <f t="shared" si="2"/>
        <v>0.3195549613715723</v>
      </c>
    </row>
    <row r="17" spans="1:36" ht="12.5" x14ac:dyDescent="0.25">
      <c r="A17" s="1" t="s">
        <v>41</v>
      </c>
      <c r="B17" s="1">
        <v>283049</v>
      </c>
      <c r="C17" s="1">
        <v>252179</v>
      </c>
      <c r="D17" s="1">
        <v>268993</v>
      </c>
      <c r="E17" s="1">
        <v>296273</v>
      </c>
      <c r="F17" s="1">
        <v>322597</v>
      </c>
      <c r="G17" s="1">
        <v>340113</v>
      </c>
      <c r="H17" s="1">
        <v>362740</v>
      </c>
      <c r="I17" s="1">
        <v>389743</v>
      </c>
      <c r="J17" s="1">
        <v>340860</v>
      </c>
      <c r="K17" s="1">
        <v>349533</v>
      </c>
      <c r="L17" s="1">
        <v>398689</v>
      </c>
      <c r="M17" s="1">
        <v>377758</v>
      </c>
      <c r="N17" s="1">
        <v>362328</v>
      </c>
      <c r="O17" s="1">
        <v>352802</v>
      </c>
      <c r="P17" s="1">
        <v>4697657</v>
      </c>
      <c r="U17" s="5" t="s">
        <v>41</v>
      </c>
      <c r="V17" s="8">
        <f t="shared" ref="V17:AJ23" si="3">B17/(V5*1000)</f>
        <v>0.1860327400376339</v>
      </c>
      <c r="W17" s="8">
        <f t="shared" si="2"/>
        <v>0.1672316676414923</v>
      </c>
      <c r="X17" s="8">
        <f t="shared" si="2"/>
        <v>0.18092344654010215</v>
      </c>
      <c r="Y17" s="8">
        <f t="shared" si="2"/>
        <v>0.19904252024365615</v>
      </c>
      <c r="Z17" s="8">
        <f t="shared" si="2"/>
        <v>0.21407606340585841</v>
      </c>
      <c r="AA17" s="8">
        <f t="shared" si="2"/>
        <v>0.22071629792251668</v>
      </c>
      <c r="AB17" s="8">
        <f t="shared" si="2"/>
        <v>0.22810952829233538</v>
      </c>
      <c r="AC17" s="8">
        <f t="shared" si="2"/>
        <v>0.2280113542625872</v>
      </c>
      <c r="AD17" s="8">
        <f t="shared" si="2"/>
        <v>0.19634589042279516</v>
      </c>
      <c r="AE17" s="8">
        <f t="shared" si="2"/>
        <v>0.20359030663804828</v>
      </c>
      <c r="AF17" s="8">
        <f t="shared" si="2"/>
        <v>0.22377892030848329</v>
      </c>
      <c r="AG17" s="8">
        <f t="shared" si="2"/>
        <v>0.20701949750814633</v>
      </c>
      <c r="AH17" s="8">
        <f t="shared" si="2"/>
        <v>0.19637171273520918</v>
      </c>
      <c r="AI17" s="8">
        <f t="shared" si="2"/>
        <v>0.18936705708192816</v>
      </c>
      <c r="AJ17" s="8">
        <f t="shared" si="2"/>
        <v>0.20319002214837795</v>
      </c>
    </row>
    <row r="18" spans="1:36" ht="12.5" x14ac:dyDescent="0.25">
      <c r="A18" s="1" t="s">
        <v>42</v>
      </c>
      <c r="B18" s="1">
        <v>220912</v>
      </c>
      <c r="C18" s="1">
        <v>186057</v>
      </c>
      <c r="D18" s="1">
        <v>186761</v>
      </c>
      <c r="E18" s="1">
        <v>195381</v>
      </c>
      <c r="F18" s="1">
        <v>199112</v>
      </c>
      <c r="G18" s="1">
        <v>212014</v>
      </c>
      <c r="H18" s="1">
        <v>218844</v>
      </c>
      <c r="I18" s="1">
        <v>239190</v>
      </c>
      <c r="J18" s="1">
        <v>201630</v>
      </c>
      <c r="K18" s="1">
        <v>203680</v>
      </c>
      <c r="L18" s="1">
        <v>239906</v>
      </c>
      <c r="M18" s="1">
        <v>238697</v>
      </c>
      <c r="N18" s="1">
        <v>227408</v>
      </c>
      <c r="O18" s="1">
        <v>213139</v>
      </c>
      <c r="P18" s="1">
        <v>2982731</v>
      </c>
      <c r="U18" s="5" t="s">
        <v>42</v>
      </c>
      <c r="V18" s="8">
        <f t="shared" si="3"/>
        <v>0.13388914411362202</v>
      </c>
      <c r="W18" s="8">
        <f t="shared" si="2"/>
        <v>0.11671067067375999</v>
      </c>
      <c r="X18" s="8">
        <f t="shared" si="2"/>
        <v>0.12188851789681432</v>
      </c>
      <c r="Y18" s="8">
        <f t="shared" si="2"/>
        <v>0.1318398577016742</v>
      </c>
      <c r="Z18" s="8">
        <f t="shared" si="2"/>
        <v>0.13713372659620993</v>
      </c>
      <c r="AA18" s="8">
        <f t="shared" si="2"/>
        <v>0.14767013506049548</v>
      </c>
      <c r="AB18" s="8">
        <f t="shared" si="2"/>
        <v>0.15278518588850321</v>
      </c>
      <c r="AC18" s="8">
        <f t="shared" si="2"/>
        <v>0.16085428494187617</v>
      </c>
      <c r="AD18" s="8">
        <f t="shared" si="2"/>
        <v>0.13510353381206652</v>
      </c>
      <c r="AE18" s="8">
        <f t="shared" si="2"/>
        <v>0.13734090794153841</v>
      </c>
      <c r="AF18" s="8">
        <f t="shared" si="2"/>
        <v>0.15646975493757673</v>
      </c>
      <c r="AG18" s="8">
        <f t="shared" si="2"/>
        <v>0.15128776854391773</v>
      </c>
      <c r="AH18" s="8">
        <f t="shared" si="2"/>
        <v>0.14227805810421471</v>
      </c>
      <c r="AI18" s="8">
        <f t="shared" si="2"/>
        <v>0.13156306093878467</v>
      </c>
      <c r="AJ18" s="8">
        <f t="shared" si="2"/>
        <v>0.13957433335780667</v>
      </c>
    </row>
    <row r="19" spans="1:36" ht="12.5" x14ac:dyDescent="0.25">
      <c r="A19" s="1" t="s">
        <v>43</v>
      </c>
      <c r="B19" s="1">
        <v>182850</v>
      </c>
      <c r="C19" s="1">
        <v>159966</v>
      </c>
      <c r="D19" s="1">
        <v>167448</v>
      </c>
      <c r="E19" s="1">
        <v>177113</v>
      </c>
      <c r="F19" s="1">
        <v>178399</v>
      </c>
      <c r="G19" s="1">
        <v>195491</v>
      </c>
      <c r="H19" s="1">
        <v>199251</v>
      </c>
      <c r="I19" s="1">
        <v>221834</v>
      </c>
      <c r="J19" s="1">
        <v>182655</v>
      </c>
      <c r="K19" s="1">
        <v>179257</v>
      </c>
      <c r="L19" s="1">
        <v>204022</v>
      </c>
      <c r="M19" s="1">
        <v>201866</v>
      </c>
      <c r="N19" s="1">
        <v>189980</v>
      </c>
      <c r="O19" s="1">
        <v>168407</v>
      </c>
      <c r="P19" s="1">
        <v>2608539</v>
      </c>
      <c r="U19" s="5" t="s">
        <v>43</v>
      </c>
      <c r="V19" s="8">
        <f t="shared" si="3"/>
        <v>0.110079912538093</v>
      </c>
      <c r="W19" s="8">
        <f t="shared" si="2"/>
        <v>9.6731883860785323E-2</v>
      </c>
      <c r="X19" s="8">
        <f t="shared" si="2"/>
        <v>0.10261061182269753</v>
      </c>
      <c r="Y19" s="8">
        <f t="shared" si="2"/>
        <v>0.10870776758499881</v>
      </c>
      <c r="Z19" s="8">
        <f t="shared" si="2"/>
        <v>0.10902778329506542</v>
      </c>
      <c r="AA19" s="8">
        <f t="shared" si="2"/>
        <v>0.11892663014548652</v>
      </c>
      <c r="AB19" s="8">
        <f t="shared" si="2"/>
        <v>0.12049972815881572</v>
      </c>
      <c r="AC19" s="8">
        <f t="shared" si="2"/>
        <v>0.13144059446126208</v>
      </c>
      <c r="AD19" s="8">
        <f t="shared" si="2"/>
        <v>0.10955156759713476</v>
      </c>
      <c r="AE19" s="8">
        <f t="shared" si="2"/>
        <v>0.11074899850981225</v>
      </c>
      <c r="AF19" s="8">
        <f t="shared" si="2"/>
        <v>0.12599270309192276</v>
      </c>
      <c r="AG19" s="8">
        <f t="shared" si="2"/>
        <v>0.12525416482848956</v>
      </c>
      <c r="AH19" s="8">
        <f t="shared" si="2"/>
        <v>0.11998754524480351</v>
      </c>
      <c r="AI19" s="8">
        <f t="shared" si="2"/>
        <v>0.10881240461541841</v>
      </c>
      <c r="AJ19" s="8">
        <f t="shared" si="2"/>
        <v>0.11418379179070864</v>
      </c>
    </row>
    <row r="20" spans="1:36" ht="12.5" x14ac:dyDescent="0.25">
      <c r="A20" s="1" t="s">
        <v>44</v>
      </c>
      <c r="B20" s="1">
        <v>78384</v>
      </c>
      <c r="C20" s="1">
        <v>73790</v>
      </c>
      <c r="D20" s="1">
        <v>83362</v>
      </c>
      <c r="E20" s="1">
        <v>86305</v>
      </c>
      <c r="F20" s="1">
        <v>83569</v>
      </c>
      <c r="G20" s="1">
        <v>94924</v>
      </c>
      <c r="H20" s="1">
        <v>94446</v>
      </c>
      <c r="I20" s="1">
        <v>112690</v>
      </c>
      <c r="J20" s="1">
        <v>95396</v>
      </c>
      <c r="K20" s="1">
        <v>100400</v>
      </c>
      <c r="L20" s="1">
        <v>115255</v>
      </c>
      <c r="M20" s="1">
        <v>122634</v>
      </c>
      <c r="N20" s="1">
        <v>129262</v>
      </c>
      <c r="O20" s="1">
        <v>112412</v>
      </c>
      <c r="P20" s="1">
        <v>1382829</v>
      </c>
      <c r="U20" s="5" t="s">
        <v>44</v>
      </c>
      <c r="V20" s="8">
        <f t="shared" si="3"/>
        <v>7.8854921591745911E-2</v>
      </c>
      <c r="W20" s="8">
        <f t="shared" si="2"/>
        <v>7.1898144133417385E-2</v>
      </c>
      <c r="X20" s="8">
        <f t="shared" si="2"/>
        <v>7.8986690266090454E-2</v>
      </c>
      <c r="Y20" s="8">
        <f t="shared" si="2"/>
        <v>7.8969087635054017E-2</v>
      </c>
      <c r="Z20" s="8">
        <f t="shared" si="2"/>
        <v>7.4443625894256182E-2</v>
      </c>
      <c r="AA20" s="8">
        <f t="shared" si="2"/>
        <v>8.1336494572225942E-2</v>
      </c>
      <c r="AB20" s="8">
        <f t="shared" si="2"/>
        <v>7.7554925090019253E-2</v>
      </c>
      <c r="AC20" s="8">
        <f t="shared" si="2"/>
        <v>8.7161523010131595E-2</v>
      </c>
      <c r="AD20" s="8">
        <f t="shared" si="2"/>
        <v>7.0934146705996862E-2</v>
      </c>
      <c r="AE20" s="8">
        <f t="shared" si="2"/>
        <v>7.351875094278279E-2</v>
      </c>
      <c r="AF20" s="8">
        <f t="shared" si="2"/>
        <v>8.20169677027279E-2</v>
      </c>
      <c r="AG20" s="8">
        <f t="shared" si="2"/>
        <v>8.4699710194575742E-2</v>
      </c>
      <c r="AH20" s="8">
        <f t="shared" si="2"/>
        <v>8.7591963023021163E-2</v>
      </c>
      <c r="AI20" s="8">
        <f t="shared" si="2"/>
        <v>7.4842042889766244E-2</v>
      </c>
      <c r="AJ20" s="8">
        <f t="shared" si="2"/>
        <v>7.8972400330274514E-2</v>
      </c>
    </row>
    <row r="21" spans="1:36" ht="12.5" x14ac:dyDescent="0.25">
      <c r="A21" s="1" t="s">
        <v>45</v>
      </c>
      <c r="B21" s="1">
        <v>5858</v>
      </c>
      <c r="C21" s="1">
        <v>6580</v>
      </c>
      <c r="D21" s="1">
        <v>6996</v>
      </c>
      <c r="E21" s="1">
        <v>6416</v>
      </c>
      <c r="F21" s="1">
        <v>7262</v>
      </c>
      <c r="G21" s="1">
        <v>7739</v>
      </c>
      <c r="H21" s="1">
        <v>9478</v>
      </c>
      <c r="I21" s="1">
        <v>10548</v>
      </c>
      <c r="J21" s="1">
        <v>10461</v>
      </c>
      <c r="K21" s="1">
        <v>10237</v>
      </c>
      <c r="L21" s="1">
        <v>12008</v>
      </c>
      <c r="M21" s="1">
        <v>13512</v>
      </c>
      <c r="N21" s="1">
        <v>16031</v>
      </c>
      <c r="O21" s="1">
        <v>16408</v>
      </c>
      <c r="P21" s="1">
        <v>139534</v>
      </c>
      <c r="U21" s="5" t="s">
        <v>45</v>
      </c>
      <c r="V21" s="8">
        <f t="shared" si="3"/>
        <v>7.7148990530876718E-2</v>
      </c>
      <c r="W21" s="8">
        <f t="shared" si="2"/>
        <v>8.0144210859662376E-2</v>
      </c>
      <c r="X21" s="8">
        <f t="shared" si="2"/>
        <v>8.042488619119878E-2</v>
      </c>
      <c r="Y21" s="8">
        <f t="shared" si="2"/>
        <v>7.1514557046680638E-2</v>
      </c>
      <c r="Z21" s="8">
        <f t="shared" si="2"/>
        <v>7.1935889689057064E-2</v>
      </c>
      <c r="AA21" s="8">
        <f t="shared" si="2"/>
        <v>6.7877629063097508E-2</v>
      </c>
      <c r="AB21" s="8">
        <f t="shared" si="2"/>
        <v>7.1733470573988864E-2</v>
      </c>
      <c r="AC21" s="8">
        <f t="shared" si="2"/>
        <v>6.7690885988217625E-2</v>
      </c>
      <c r="AD21" s="8">
        <f t="shared" si="2"/>
        <v>5.727504174765255E-2</v>
      </c>
      <c r="AE21" s="8">
        <f t="shared" si="2"/>
        <v>5.5190446666846374E-2</v>
      </c>
      <c r="AF21" s="8">
        <f t="shared" si="2"/>
        <v>6.0818168465516284E-2</v>
      </c>
      <c r="AG21" s="8">
        <f t="shared" si="2"/>
        <v>5.9740558321322142E-2</v>
      </c>
      <c r="AH21" s="8">
        <f t="shared" si="2"/>
        <v>6.3742817948666972E-2</v>
      </c>
      <c r="AI21" s="8">
        <f t="shared" si="2"/>
        <v>5.9807688101885942E-2</v>
      </c>
      <c r="AJ21" s="8">
        <f t="shared" si="2"/>
        <v>6.4741565463988793E-2</v>
      </c>
    </row>
    <row r="22" spans="1:36" ht="12.5" x14ac:dyDescent="0.25">
      <c r="U22" s="5"/>
      <c r="V22" s="8"/>
      <c r="W22" s="8"/>
      <c r="X22" s="8"/>
      <c r="Y22" s="8"/>
      <c r="Z22" s="8"/>
      <c r="AA22" s="8"/>
      <c r="AB22" s="8"/>
      <c r="AC22" s="8"/>
      <c r="AD22" s="8"/>
      <c r="AE22" s="8"/>
      <c r="AF22" s="8"/>
      <c r="AG22" s="8"/>
      <c r="AH22" s="8"/>
      <c r="AI22" s="8"/>
      <c r="AJ22" s="8"/>
    </row>
    <row r="23" spans="1:36" ht="12.5" x14ac:dyDescent="0.25">
      <c r="A23" s="1" t="s">
        <v>2</v>
      </c>
      <c r="B23" s="1">
        <v>1122938</v>
      </c>
      <c r="C23" s="1">
        <v>1001650</v>
      </c>
      <c r="D23" s="1">
        <v>1037592</v>
      </c>
      <c r="E23" s="1">
        <v>1117965</v>
      </c>
      <c r="F23" s="1">
        <v>1175544</v>
      </c>
      <c r="G23" s="1">
        <v>1250017</v>
      </c>
      <c r="H23" s="1">
        <v>1305975</v>
      </c>
      <c r="I23" s="1">
        <v>1415003</v>
      </c>
      <c r="J23" s="1">
        <v>1241338</v>
      </c>
      <c r="K23" s="1">
        <v>1263509</v>
      </c>
      <c r="L23" s="1">
        <v>1452932</v>
      </c>
      <c r="M23" s="1">
        <v>1432567</v>
      </c>
      <c r="N23" s="1">
        <v>1386164</v>
      </c>
      <c r="O23" s="1">
        <v>1316475</v>
      </c>
      <c r="P23" s="1">
        <v>17519669</v>
      </c>
      <c r="U23" s="5" t="s">
        <v>2</v>
      </c>
      <c r="V23" s="12">
        <f t="shared" si="3"/>
        <v>0.1583306767184233</v>
      </c>
      <c r="W23" s="12">
        <f t="shared" si="3"/>
        <v>0.14270404976612294</v>
      </c>
      <c r="X23" s="12">
        <f t="shared" si="3"/>
        <v>0.15018052631617038</v>
      </c>
      <c r="Y23" s="12">
        <f t="shared" si="3"/>
        <v>0.16217565304580633</v>
      </c>
      <c r="Z23" s="12">
        <f t="shared" si="3"/>
        <v>0.16904667713839638</v>
      </c>
      <c r="AA23" s="12">
        <f t="shared" si="3"/>
        <v>0.17669246105927811</v>
      </c>
      <c r="AB23" s="12">
        <f t="shared" si="3"/>
        <v>0.17998860509744102</v>
      </c>
      <c r="AC23" s="12">
        <f t="shared" si="3"/>
        <v>0.18447488715440855</v>
      </c>
      <c r="AD23" s="12">
        <f t="shared" si="3"/>
        <v>0.15984414996432492</v>
      </c>
      <c r="AE23" s="12">
        <f t="shared" si="3"/>
        <v>0.1648184564049483</v>
      </c>
      <c r="AF23" s="12">
        <f t="shared" si="3"/>
        <v>0.18302845009973817</v>
      </c>
      <c r="AG23" s="12">
        <f t="shared" si="3"/>
        <v>0.17590811309214563</v>
      </c>
      <c r="AH23" s="12">
        <f t="shared" si="3"/>
        <v>0.16864919581736212</v>
      </c>
      <c r="AI23" s="12">
        <f t="shared" si="3"/>
        <v>0.15934498948230477</v>
      </c>
      <c r="AJ23" s="12">
        <f t="shared" si="3"/>
        <v>0.16707059511603564</v>
      </c>
    </row>
    <row r="24" spans="1:36" ht="12.75" customHeight="1" x14ac:dyDescent="0.3">
      <c r="U24" s="43"/>
      <c r="V24" s="15" t="e">
        <f>#REF!</f>
        <v>#REF!</v>
      </c>
      <c r="W24" s="15" t="e">
        <f>#REF!</f>
        <v>#REF!</v>
      </c>
      <c r="X24" s="15" t="e">
        <f>#REF!</f>
        <v>#REF!</v>
      </c>
      <c r="Y24" s="15" t="e">
        <f>#REF!</f>
        <v>#REF!</v>
      </c>
      <c r="Z24" s="15" t="e">
        <f>#REF!</f>
        <v>#REF!</v>
      </c>
      <c r="AA24" s="15" t="e">
        <f>#REF!</f>
        <v>#REF!</v>
      </c>
      <c r="AB24" s="15" t="e">
        <f>#REF!</f>
        <v>#REF!</v>
      </c>
      <c r="AC24" s="15" t="e">
        <f>#REF!</f>
        <v>#REF!</v>
      </c>
      <c r="AD24" s="15" t="e">
        <f>#REF!</f>
        <v>#REF!</v>
      </c>
      <c r="AE24" s="15" t="e">
        <f>#REF!</f>
        <v>#REF!</v>
      </c>
      <c r="AF24" s="15" t="e">
        <f>#REF!</f>
        <v>#REF!</v>
      </c>
      <c r="AG24" s="15" t="e">
        <f>#REF!</f>
        <v>#REF!</v>
      </c>
      <c r="AH24" s="15" t="e">
        <f>#REF!</f>
        <v>#REF!</v>
      </c>
      <c r="AI24" s="15" t="e">
        <f>#REF!</f>
        <v>#REF!</v>
      </c>
      <c r="AJ24" s="15"/>
    </row>
    <row r="25" spans="1:36" ht="12.5" x14ac:dyDescent="0.25"/>
    <row r="26" spans="1:36" ht="12.5" x14ac:dyDescent="0.25"/>
    <row r="27" spans="1:36" ht="12.5" x14ac:dyDescent="0.25"/>
    <row r="28" spans="1:36" ht="12.5" x14ac:dyDescent="0.25"/>
    <row r="29" spans="1:36" ht="12.5" x14ac:dyDescent="0.25"/>
    <row r="30" spans="1:36" ht="12.5" x14ac:dyDescent="0.25"/>
    <row r="31" spans="1:36" ht="12.5" x14ac:dyDescent="0.25"/>
    <row r="32" spans="1:36" ht="12.5" x14ac:dyDescent="0.25"/>
    <row r="33" ht="12.5" x14ac:dyDescent="0.25"/>
    <row r="34" ht="12.5" x14ac:dyDescent="0.25"/>
    <row r="36" ht="12.5" x14ac:dyDescent="0.25"/>
    <row r="37" ht="12.5" x14ac:dyDescent="0.25"/>
    <row r="38" ht="12.5" x14ac:dyDescent="0.25"/>
    <row r="39" ht="12.5" x14ac:dyDescent="0.25"/>
    <row r="40" ht="12.5" x14ac:dyDescent="0.25"/>
    <row r="41" ht="12.5" x14ac:dyDescent="0.25"/>
    <row r="42" ht="12.5" x14ac:dyDescent="0.25"/>
    <row r="43" ht="12.5" x14ac:dyDescent="0.25"/>
    <row r="44" ht="12.5" x14ac:dyDescent="0.25"/>
    <row r="45" ht="12.5" x14ac:dyDescent="0.25"/>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73536-2E7E-43BD-A3DC-D4BE9DA52732}">
  <dimension ref="A1:AJ38"/>
  <sheetViews>
    <sheetView topLeftCell="G1" zoomScale="75" zoomScaleNormal="75" workbookViewId="0">
      <selection activeCell="AH90" sqref="AH90"/>
    </sheetView>
  </sheetViews>
  <sheetFormatPr defaultColWidth="11.54296875" defaultRowHeight="12.75" customHeight="1" x14ac:dyDescent="0.25"/>
  <cols>
    <col min="1" max="16384" width="11.54296875" style="1"/>
  </cols>
  <sheetData>
    <row r="1" spans="1:36" ht="12.5" x14ac:dyDescent="0.25">
      <c r="A1" s="1" t="s">
        <v>32</v>
      </c>
      <c r="B1" s="1" t="s">
        <v>0</v>
      </c>
    </row>
    <row r="2" spans="1:36" ht="13" x14ac:dyDescent="0.3">
      <c r="A2" s="1" t="s">
        <v>46</v>
      </c>
      <c r="B2" s="42">
        <v>2011</v>
      </c>
      <c r="C2" s="42">
        <v>2012</v>
      </c>
      <c r="D2" s="42">
        <v>2013</v>
      </c>
      <c r="E2" s="42">
        <v>2014</v>
      </c>
      <c r="F2" s="42">
        <v>2015</v>
      </c>
      <c r="G2" s="42">
        <v>2016</v>
      </c>
      <c r="H2" s="42">
        <v>2017</v>
      </c>
      <c r="I2" s="42">
        <v>2018</v>
      </c>
      <c r="J2" s="42">
        <v>2019</v>
      </c>
      <c r="K2" s="42">
        <v>2020</v>
      </c>
      <c r="L2" s="42">
        <v>2021</v>
      </c>
      <c r="M2" s="42">
        <v>2022</v>
      </c>
      <c r="N2" s="42">
        <v>2023</v>
      </c>
      <c r="O2" s="42">
        <v>2024</v>
      </c>
      <c r="P2" s="42" t="s">
        <v>2</v>
      </c>
      <c r="V2" s="4" t="s">
        <v>37</v>
      </c>
      <c r="W2" s="5"/>
      <c r="X2" s="5"/>
      <c r="Y2" s="5"/>
      <c r="Z2" s="5"/>
      <c r="AA2" s="5"/>
      <c r="AB2" s="5"/>
      <c r="AC2" s="5"/>
      <c r="AD2" s="5"/>
      <c r="AE2" s="5"/>
      <c r="AF2" s="5"/>
      <c r="AG2" s="5"/>
      <c r="AH2" s="5"/>
      <c r="AI2" s="5"/>
      <c r="AJ2" s="5"/>
    </row>
    <row r="3" spans="1:36" ht="13" x14ac:dyDescent="0.3">
      <c r="B3" s="42"/>
      <c r="C3" s="42"/>
      <c r="D3" s="42"/>
      <c r="E3" s="42"/>
      <c r="F3" s="42"/>
      <c r="G3" s="42"/>
      <c r="H3" s="42"/>
      <c r="I3" s="42"/>
      <c r="J3" s="42"/>
      <c r="K3" s="42"/>
      <c r="L3" s="42"/>
      <c r="M3" s="42"/>
      <c r="N3" s="42"/>
      <c r="O3" s="42"/>
      <c r="P3" s="42"/>
      <c r="V3" s="5"/>
      <c r="W3" s="13">
        <v>2011</v>
      </c>
      <c r="X3" s="13">
        <v>2012</v>
      </c>
      <c r="Y3" s="13">
        <v>2013</v>
      </c>
      <c r="Z3" s="13">
        <v>2014</v>
      </c>
      <c r="AA3" s="13">
        <v>2015</v>
      </c>
      <c r="AB3" s="13">
        <v>2016</v>
      </c>
      <c r="AC3" s="13">
        <v>2017</v>
      </c>
      <c r="AD3" s="13">
        <v>2018</v>
      </c>
      <c r="AE3" s="13">
        <v>2019</v>
      </c>
      <c r="AF3" s="13">
        <v>2020</v>
      </c>
      <c r="AG3" s="13">
        <v>2021</v>
      </c>
      <c r="AH3" s="13">
        <v>2022</v>
      </c>
      <c r="AI3" s="13">
        <v>2023</v>
      </c>
      <c r="AJ3" s="13">
        <v>2024</v>
      </c>
    </row>
    <row r="4" spans="1:36" ht="12.5" x14ac:dyDescent="0.25">
      <c r="A4" s="1" t="s">
        <v>47</v>
      </c>
      <c r="B4" s="42">
        <v>955599</v>
      </c>
      <c r="C4" s="42">
        <v>941458</v>
      </c>
      <c r="D4" s="42">
        <v>923864</v>
      </c>
      <c r="E4" s="42">
        <v>919005</v>
      </c>
      <c r="F4" s="42">
        <v>929647</v>
      </c>
      <c r="G4" s="42">
        <v>977816</v>
      </c>
      <c r="H4" s="42">
        <v>1019370</v>
      </c>
      <c r="I4" s="42">
        <v>1068282</v>
      </c>
      <c r="J4" s="42">
        <v>1096919</v>
      </c>
      <c r="K4" s="42">
        <v>1031919</v>
      </c>
      <c r="L4" s="42">
        <v>1049004</v>
      </c>
      <c r="M4" s="42">
        <v>1097128</v>
      </c>
      <c r="N4" s="42">
        <v>1114154</v>
      </c>
      <c r="O4" s="42">
        <v>1102287</v>
      </c>
      <c r="P4" s="42">
        <v>14226452</v>
      </c>
      <c r="V4" s="5" t="s">
        <v>164</v>
      </c>
      <c r="W4" s="6">
        <f>B4/1000</f>
        <v>955.59900000000005</v>
      </c>
      <c r="X4" s="6">
        <f t="shared" ref="X4:AJ8" si="0">C4/1000</f>
        <v>941.45799999999997</v>
      </c>
      <c r="Y4" s="6">
        <f t="shared" si="0"/>
        <v>923.86400000000003</v>
      </c>
      <c r="Z4" s="6">
        <f t="shared" si="0"/>
        <v>919.005</v>
      </c>
      <c r="AA4" s="6">
        <f t="shared" si="0"/>
        <v>929.64700000000005</v>
      </c>
      <c r="AB4" s="6">
        <f t="shared" si="0"/>
        <v>977.81600000000003</v>
      </c>
      <c r="AC4" s="6">
        <f t="shared" si="0"/>
        <v>1019.37</v>
      </c>
      <c r="AD4" s="6">
        <f t="shared" si="0"/>
        <v>1068.2819999999999</v>
      </c>
      <c r="AE4" s="6">
        <f t="shared" si="0"/>
        <v>1096.9190000000001</v>
      </c>
      <c r="AF4" s="6">
        <f t="shared" si="0"/>
        <v>1031.9190000000001</v>
      </c>
      <c r="AG4" s="6">
        <f t="shared" si="0"/>
        <v>1049.0039999999999</v>
      </c>
      <c r="AH4" s="6">
        <f t="shared" si="0"/>
        <v>1097.1279999999999</v>
      </c>
      <c r="AI4" s="6">
        <f t="shared" si="0"/>
        <v>1114.154</v>
      </c>
      <c r="AJ4" s="6">
        <f t="shared" si="0"/>
        <v>1102.287</v>
      </c>
    </row>
    <row r="5" spans="1:36" ht="12.5" x14ac:dyDescent="0.25">
      <c r="A5" s="1" t="s">
        <v>48</v>
      </c>
      <c r="B5" s="42">
        <v>1792442</v>
      </c>
      <c r="C5" s="42">
        <v>1881062</v>
      </c>
      <c r="D5" s="42">
        <v>1982171</v>
      </c>
      <c r="E5" s="42">
        <v>2007412</v>
      </c>
      <c r="F5" s="42">
        <v>2065699</v>
      </c>
      <c r="G5" s="42">
        <v>2172154</v>
      </c>
      <c r="H5" s="42">
        <v>2286551</v>
      </c>
      <c r="I5" s="42">
        <v>2368697</v>
      </c>
      <c r="J5" s="42">
        <v>2434668</v>
      </c>
      <c r="K5" s="42">
        <v>2464033</v>
      </c>
      <c r="L5" s="42">
        <v>2578062</v>
      </c>
      <c r="M5" s="42">
        <v>2604257</v>
      </c>
      <c r="N5" s="42">
        <v>2618333</v>
      </c>
      <c r="O5" s="42">
        <v>2637730</v>
      </c>
      <c r="P5" s="42">
        <v>31893271</v>
      </c>
      <c r="V5" s="5" t="s">
        <v>165</v>
      </c>
      <c r="W5" s="6">
        <f t="shared" ref="W5:W8" si="1">B5/1000</f>
        <v>1792.442</v>
      </c>
      <c r="X5" s="6">
        <f t="shared" si="0"/>
        <v>1881.0619999999999</v>
      </c>
      <c r="Y5" s="6">
        <f t="shared" si="0"/>
        <v>1982.171</v>
      </c>
      <c r="Z5" s="6">
        <f t="shared" si="0"/>
        <v>2007.412</v>
      </c>
      <c r="AA5" s="6">
        <f t="shared" si="0"/>
        <v>2065.6990000000001</v>
      </c>
      <c r="AB5" s="6">
        <f t="shared" si="0"/>
        <v>2172.154</v>
      </c>
      <c r="AC5" s="6">
        <f t="shared" si="0"/>
        <v>2286.5509999999999</v>
      </c>
      <c r="AD5" s="6">
        <f t="shared" si="0"/>
        <v>2368.6970000000001</v>
      </c>
      <c r="AE5" s="6">
        <f t="shared" si="0"/>
        <v>2434.6680000000001</v>
      </c>
      <c r="AF5" s="6">
        <f t="shared" si="0"/>
        <v>2464.0329999999999</v>
      </c>
      <c r="AG5" s="6">
        <f t="shared" si="0"/>
        <v>2578.0619999999999</v>
      </c>
      <c r="AH5" s="6">
        <f t="shared" si="0"/>
        <v>2604.2570000000001</v>
      </c>
      <c r="AI5" s="6">
        <f t="shared" si="0"/>
        <v>2618.3330000000001</v>
      </c>
      <c r="AJ5" s="6">
        <f t="shared" si="0"/>
        <v>2637.73</v>
      </c>
    </row>
    <row r="6" spans="1:36" ht="12.5" x14ac:dyDescent="0.25">
      <c r="A6" s="1" t="s">
        <v>49</v>
      </c>
      <c r="B6" s="42">
        <v>873292</v>
      </c>
      <c r="C6" s="42">
        <v>908801</v>
      </c>
      <c r="D6" s="42">
        <v>1063967</v>
      </c>
      <c r="E6" s="42">
        <v>1083482</v>
      </c>
      <c r="F6" s="42">
        <v>1121771</v>
      </c>
      <c r="G6" s="42">
        <v>1170844</v>
      </c>
      <c r="H6" s="42">
        <v>1240399</v>
      </c>
      <c r="I6" s="42">
        <v>1317929</v>
      </c>
      <c r="J6" s="42">
        <v>1369607</v>
      </c>
      <c r="K6" s="42">
        <v>1405119</v>
      </c>
      <c r="L6" s="42">
        <v>1454222</v>
      </c>
      <c r="M6" s="42">
        <v>1501112</v>
      </c>
      <c r="N6" s="42">
        <v>1479340</v>
      </c>
      <c r="O6" s="42">
        <v>1514023</v>
      </c>
      <c r="P6" s="42">
        <v>17503908</v>
      </c>
      <c r="V6" s="5" t="s">
        <v>167</v>
      </c>
      <c r="W6" s="6">
        <f t="shared" si="1"/>
        <v>873.29200000000003</v>
      </c>
      <c r="X6" s="6">
        <f t="shared" si="0"/>
        <v>908.80100000000004</v>
      </c>
      <c r="Y6" s="6">
        <f t="shared" si="0"/>
        <v>1063.9670000000001</v>
      </c>
      <c r="Z6" s="6">
        <f t="shared" si="0"/>
        <v>1083.482</v>
      </c>
      <c r="AA6" s="6">
        <f t="shared" si="0"/>
        <v>1121.771</v>
      </c>
      <c r="AB6" s="6">
        <f t="shared" si="0"/>
        <v>1170.8440000000001</v>
      </c>
      <c r="AC6" s="6">
        <f t="shared" si="0"/>
        <v>1240.3989999999999</v>
      </c>
      <c r="AD6" s="6">
        <f t="shared" si="0"/>
        <v>1317.9290000000001</v>
      </c>
      <c r="AE6" s="6">
        <f t="shared" si="0"/>
        <v>1369.607</v>
      </c>
      <c r="AF6" s="6">
        <f t="shared" si="0"/>
        <v>1405.1189999999999</v>
      </c>
      <c r="AG6" s="6">
        <f t="shared" si="0"/>
        <v>1454.222</v>
      </c>
      <c r="AH6" s="6">
        <f t="shared" si="0"/>
        <v>1501.1120000000001</v>
      </c>
      <c r="AI6" s="6">
        <f t="shared" si="0"/>
        <v>1479.34</v>
      </c>
      <c r="AJ6" s="6">
        <f t="shared" si="0"/>
        <v>1514.0229999999999</v>
      </c>
    </row>
    <row r="7" spans="1:36" ht="12.5" x14ac:dyDescent="0.25">
      <c r="A7" s="1" t="s">
        <v>50</v>
      </c>
      <c r="B7" s="42">
        <v>450382</v>
      </c>
      <c r="C7" s="42">
        <v>474445</v>
      </c>
      <c r="D7" s="42">
        <v>602890</v>
      </c>
      <c r="E7" s="42">
        <v>633155</v>
      </c>
      <c r="F7" s="42">
        <v>660238</v>
      </c>
      <c r="G7" s="42">
        <v>689592</v>
      </c>
      <c r="H7" s="42">
        <v>723145</v>
      </c>
      <c r="I7" s="42">
        <v>754142</v>
      </c>
      <c r="J7" s="42">
        <v>794064</v>
      </c>
      <c r="K7" s="42">
        <v>829354</v>
      </c>
      <c r="L7" s="42">
        <v>877356</v>
      </c>
      <c r="M7" s="42">
        <v>920881</v>
      </c>
      <c r="N7" s="42">
        <v>1007265</v>
      </c>
      <c r="O7" s="42">
        <v>1027186</v>
      </c>
      <c r="P7" s="42">
        <v>10444095</v>
      </c>
      <c r="V7" s="5" t="s">
        <v>166</v>
      </c>
      <c r="W7" s="6">
        <f t="shared" si="1"/>
        <v>450.38200000000001</v>
      </c>
      <c r="X7" s="6">
        <f t="shared" si="0"/>
        <v>474.44499999999999</v>
      </c>
      <c r="Y7" s="6">
        <f t="shared" si="0"/>
        <v>602.89</v>
      </c>
      <c r="Z7" s="6">
        <f t="shared" si="0"/>
        <v>633.15499999999997</v>
      </c>
      <c r="AA7" s="6">
        <f t="shared" si="0"/>
        <v>660.23800000000006</v>
      </c>
      <c r="AB7" s="6">
        <f t="shared" si="0"/>
        <v>689.59199999999998</v>
      </c>
      <c r="AC7" s="6">
        <f t="shared" si="0"/>
        <v>723.14499999999998</v>
      </c>
      <c r="AD7" s="6">
        <f t="shared" si="0"/>
        <v>754.14200000000005</v>
      </c>
      <c r="AE7" s="6">
        <f t="shared" si="0"/>
        <v>794.06399999999996</v>
      </c>
      <c r="AF7" s="6">
        <f t="shared" si="0"/>
        <v>829.35400000000004</v>
      </c>
      <c r="AG7" s="6">
        <f t="shared" si="0"/>
        <v>877.35599999999999</v>
      </c>
      <c r="AH7" s="6">
        <f t="shared" si="0"/>
        <v>920.88099999999997</v>
      </c>
      <c r="AI7" s="6">
        <f t="shared" si="0"/>
        <v>1007.265</v>
      </c>
      <c r="AJ7" s="6">
        <f t="shared" si="0"/>
        <v>1027.1859999999999</v>
      </c>
    </row>
    <row r="8" spans="1:36" ht="12.5" x14ac:dyDescent="0.25">
      <c r="B8" s="42">
        <v>3020644</v>
      </c>
      <c r="C8" s="42">
        <v>2813306</v>
      </c>
      <c r="D8" s="42">
        <v>2336073</v>
      </c>
      <c r="E8" s="42">
        <v>2250490</v>
      </c>
      <c r="F8" s="42">
        <v>2176606</v>
      </c>
      <c r="G8" s="42">
        <v>2064129</v>
      </c>
      <c r="H8" s="42">
        <v>1986411</v>
      </c>
      <c r="I8" s="42">
        <v>2161387</v>
      </c>
      <c r="J8" s="42">
        <v>2070669</v>
      </c>
      <c r="K8" s="42">
        <v>1935640</v>
      </c>
      <c r="L8" s="42">
        <v>1979641</v>
      </c>
      <c r="M8" s="42">
        <v>2020459</v>
      </c>
      <c r="N8" s="42">
        <v>2000123</v>
      </c>
      <c r="O8" s="42">
        <v>1980565</v>
      </c>
      <c r="P8" s="42">
        <v>30796143</v>
      </c>
      <c r="V8" s="44" t="s">
        <v>51</v>
      </c>
      <c r="W8" s="45">
        <f t="shared" si="1"/>
        <v>3020.6439999999998</v>
      </c>
      <c r="X8" s="45">
        <f t="shared" si="0"/>
        <v>2813.306</v>
      </c>
      <c r="Y8" s="45">
        <f t="shared" si="0"/>
        <v>2336.0729999999999</v>
      </c>
      <c r="Z8" s="45">
        <f t="shared" si="0"/>
        <v>2250.4899999999998</v>
      </c>
      <c r="AA8" s="45">
        <f t="shared" si="0"/>
        <v>2176.6060000000002</v>
      </c>
      <c r="AB8" s="45">
        <f t="shared" si="0"/>
        <v>2064.1289999999999</v>
      </c>
      <c r="AC8" s="45">
        <f t="shared" si="0"/>
        <v>1986.4110000000001</v>
      </c>
      <c r="AD8" s="45">
        <f t="shared" si="0"/>
        <v>2161.3870000000002</v>
      </c>
      <c r="AE8" s="45">
        <f t="shared" si="0"/>
        <v>2070.6689999999999</v>
      </c>
      <c r="AF8" s="45">
        <f t="shared" si="0"/>
        <v>1935.64</v>
      </c>
      <c r="AG8" s="45">
        <f t="shared" si="0"/>
        <v>1979.6410000000001</v>
      </c>
      <c r="AH8" s="45">
        <f t="shared" si="0"/>
        <v>2020.4590000000001</v>
      </c>
      <c r="AI8" s="45">
        <f t="shared" si="0"/>
        <v>2000.123</v>
      </c>
      <c r="AJ8" s="45">
        <f t="shared" si="0"/>
        <v>1980.5650000000001</v>
      </c>
    </row>
    <row r="9" spans="1:36" ht="12.5" x14ac:dyDescent="0.25">
      <c r="B9" s="42"/>
      <c r="C9" s="42"/>
      <c r="D9" s="42"/>
      <c r="E9" s="42"/>
      <c r="F9" s="42"/>
      <c r="G9" s="42"/>
      <c r="H9" s="42"/>
      <c r="I9" s="42"/>
      <c r="J9" s="42"/>
      <c r="K9" s="42"/>
      <c r="L9" s="42"/>
      <c r="M9" s="42"/>
      <c r="N9" s="42"/>
      <c r="O9" s="42"/>
      <c r="P9" s="42"/>
      <c r="V9" s="5"/>
      <c r="W9" s="5"/>
      <c r="X9" s="5"/>
      <c r="Y9" s="5"/>
      <c r="Z9" s="5"/>
      <c r="AA9" s="5"/>
      <c r="AB9" s="5"/>
      <c r="AC9" s="5"/>
      <c r="AD9" s="5"/>
      <c r="AE9" s="5"/>
      <c r="AF9" s="5"/>
      <c r="AG9" s="5"/>
      <c r="AH9" s="5"/>
      <c r="AI9" s="5"/>
      <c r="AJ9" s="5"/>
    </row>
    <row r="10" spans="1:36" ht="12.75" customHeight="1" x14ac:dyDescent="0.25">
      <c r="A10" s="1" t="s">
        <v>2</v>
      </c>
      <c r="B10" s="42">
        <v>7092359</v>
      </c>
      <c r="C10" s="42">
        <v>7019072</v>
      </c>
      <c r="D10" s="42">
        <v>6908965</v>
      </c>
      <c r="E10" s="42">
        <v>6893544</v>
      </c>
      <c r="F10" s="42">
        <v>6953961</v>
      </c>
      <c r="G10" s="42">
        <v>7074535</v>
      </c>
      <c r="H10" s="42">
        <v>7255876</v>
      </c>
      <c r="I10" s="42">
        <v>7670437</v>
      </c>
      <c r="J10" s="42">
        <v>7765927</v>
      </c>
      <c r="K10" s="42">
        <v>7666065</v>
      </c>
      <c r="L10" s="42">
        <v>7938285</v>
      </c>
      <c r="M10" s="42">
        <v>8143837</v>
      </c>
      <c r="N10" s="42">
        <v>8219215</v>
      </c>
      <c r="O10" s="42">
        <v>8261791</v>
      </c>
      <c r="P10" s="42">
        <v>104863869</v>
      </c>
      <c r="V10" s="5" t="s">
        <v>52</v>
      </c>
      <c r="W10" s="6">
        <f t="shared" ref="W10:AJ10" si="2">B10/1000</f>
        <v>7092.3590000000004</v>
      </c>
      <c r="X10" s="6">
        <f t="shared" si="2"/>
        <v>7019.0720000000001</v>
      </c>
      <c r="Y10" s="6">
        <f t="shared" si="2"/>
        <v>6908.9650000000001</v>
      </c>
      <c r="Z10" s="6">
        <f t="shared" si="2"/>
        <v>6893.5439999999999</v>
      </c>
      <c r="AA10" s="6">
        <f t="shared" si="2"/>
        <v>6953.9610000000002</v>
      </c>
      <c r="AB10" s="6">
        <f t="shared" si="2"/>
        <v>7074.5349999999999</v>
      </c>
      <c r="AC10" s="6">
        <f t="shared" si="2"/>
        <v>7255.8760000000002</v>
      </c>
      <c r="AD10" s="6">
        <f t="shared" si="2"/>
        <v>7670.4369999999999</v>
      </c>
      <c r="AE10" s="6">
        <f t="shared" si="2"/>
        <v>7765.9269999999997</v>
      </c>
      <c r="AF10" s="6">
        <f t="shared" si="2"/>
        <v>7666.0649999999996</v>
      </c>
      <c r="AG10" s="6">
        <f t="shared" si="2"/>
        <v>7938.2849999999999</v>
      </c>
      <c r="AH10" s="6">
        <f t="shared" si="2"/>
        <v>8143.8370000000004</v>
      </c>
      <c r="AI10" s="6">
        <f t="shared" si="2"/>
        <v>8219.2150000000001</v>
      </c>
      <c r="AJ10" s="6">
        <f t="shared" si="2"/>
        <v>8261.7909999999993</v>
      </c>
    </row>
    <row r="11" spans="1:36" ht="12.75" customHeight="1" x14ac:dyDescent="0.3">
      <c r="B11" s="42"/>
      <c r="C11" s="42"/>
      <c r="D11" s="42"/>
      <c r="E11" s="42"/>
      <c r="F11" s="42"/>
      <c r="G11" s="42"/>
      <c r="H11" s="42"/>
      <c r="I11" s="42"/>
      <c r="J11" s="42"/>
      <c r="K11" s="42"/>
      <c r="L11" s="42"/>
      <c r="M11" s="42"/>
      <c r="N11" s="42"/>
      <c r="O11" s="42"/>
      <c r="P11" s="42"/>
      <c r="V11" s="43" t="s">
        <v>52</v>
      </c>
      <c r="W11" s="3" t="e">
        <f>#REF!</f>
        <v>#REF!</v>
      </c>
      <c r="X11" s="3" t="e">
        <f>#REF!</f>
        <v>#REF!</v>
      </c>
      <c r="Y11" s="3" t="e">
        <f>#REF!</f>
        <v>#REF!</v>
      </c>
      <c r="Z11" s="3" t="e">
        <f>#REF!</f>
        <v>#REF!</v>
      </c>
      <c r="AA11" s="3" t="e">
        <f>#REF!</f>
        <v>#REF!</v>
      </c>
      <c r="AB11" s="3" t="e">
        <f>#REF!</f>
        <v>#REF!</v>
      </c>
      <c r="AC11" s="3" t="e">
        <f>#REF!</f>
        <v>#REF!</v>
      </c>
      <c r="AD11" s="3" t="e">
        <f>#REF!</f>
        <v>#REF!</v>
      </c>
      <c r="AE11" s="3" t="e">
        <f>#REF!</f>
        <v>#REF!</v>
      </c>
      <c r="AF11" s="3" t="e">
        <f>#REF!</f>
        <v>#REF!</v>
      </c>
      <c r="AG11" s="3" t="e">
        <f>#REF!</f>
        <v>#REF!</v>
      </c>
      <c r="AH11" s="3" t="e">
        <f>#REF!</f>
        <v>#REF!</v>
      </c>
      <c r="AI11" s="3" t="e">
        <f>#REF!</f>
        <v>#REF!</v>
      </c>
      <c r="AJ11" s="3" t="e">
        <f>#REF!</f>
        <v>#REF!</v>
      </c>
    </row>
    <row r="12" spans="1:36" ht="13" x14ac:dyDescent="0.3">
      <c r="A12" s="1" t="s">
        <v>36</v>
      </c>
      <c r="B12" s="1" t="s">
        <v>0</v>
      </c>
      <c r="V12" s="43"/>
      <c r="W12" s="3"/>
      <c r="X12" s="3"/>
      <c r="Y12" s="3"/>
      <c r="Z12" s="3"/>
      <c r="AA12" s="3"/>
      <c r="AB12" s="3"/>
      <c r="AC12" s="3"/>
      <c r="AD12" s="3"/>
      <c r="AE12" s="3"/>
      <c r="AF12" s="3"/>
      <c r="AG12" s="3"/>
      <c r="AH12" s="3"/>
      <c r="AI12" s="3"/>
      <c r="AJ12" s="3"/>
    </row>
    <row r="13" spans="1:36" ht="13" x14ac:dyDescent="0.3">
      <c r="A13" s="1" t="s">
        <v>46</v>
      </c>
      <c r="B13" s="1">
        <v>2011</v>
      </c>
      <c r="C13" s="1">
        <v>2012</v>
      </c>
      <c r="D13" s="1">
        <v>2013</v>
      </c>
      <c r="E13" s="1">
        <v>2014</v>
      </c>
      <c r="F13" s="1">
        <v>2015</v>
      </c>
      <c r="G13" s="1">
        <v>2016</v>
      </c>
      <c r="H13" s="1">
        <v>2017</v>
      </c>
      <c r="I13" s="1">
        <v>2018</v>
      </c>
      <c r="J13" s="1">
        <v>2019</v>
      </c>
      <c r="K13" s="1">
        <v>2020</v>
      </c>
      <c r="L13" s="1">
        <v>2021</v>
      </c>
      <c r="M13" s="1">
        <v>2022</v>
      </c>
      <c r="N13" s="1">
        <v>2023</v>
      </c>
      <c r="O13" s="1">
        <v>2024</v>
      </c>
      <c r="P13" s="1" t="s">
        <v>2</v>
      </c>
      <c r="V13" s="4" t="s">
        <v>38</v>
      </c>
      <c r="W13" s="5"/>
      <c r="X13" s="5"/>
      <c r="Y13" s="5"/>
      <c r="Z13" s="5"/>
      <c r="AA13" s="5"/>
      <c r="AB13" s="5"/>
      <c r="AC13" s="5"/>
      <c r="AD13" s="5"/>
      <c r="AE13" s="5"/>
      <c r="AF13" s="5"/>
      <c r="AG13" s="5"/>
      <c r="AH13" s="5"/>
      <c r="AI13" s="5"/>
      <c r="AJ13" s="5"/>
    </row>
    <row r="14" spans="1:36" ht="13" x14ac:dyDescent="0.3">
      <c r="V14" s="5"/>
      <c r="W14" s="13">
        <v>2011</v>
      </c>
      <c r="X14" s="13">
        <v>2012</v>
      </c>
      <c r="Y14" s="13">
        <v>2013</v>
      </c>
      <c r="Z14" s="13">
        <v>2014</v>
      </c>
      <c r="AA14" s="13">
        <v>2015</v>
      </c>
      <c r="AB14" s="13">
        <v>2016</v>
      </c>
      <c r="AC14" s="13">
        <v>2017</v>
      </c>
      <c r="AD14" s="13">
        <v>2018</v>
      </c>
      <c r="AE14" s="13">
        <v>2019</v>
      </c>
      <c r="AF14" s="13">
        <v>2020</v>
      </c>
      <c r="AG14" s="13">
        <v>2021</v>
      </c>
      <c r="AH14" s="13">
        <v>2022</v>
      </c>
      <c r="AI14" s="13">
        <v>2023</v>
      </c>
      <c r="AJ14" s="13">
        <v>2024</v>
      </c>
    </row>
    <row r="15" spans="1:36" ht="12.5" x14ac:dyDescent="0.25">
      <c r="A15" s="1" t="s">
        <v>47</v>
      </c>
      <c r="B15" s="1">
        <v>221550</v>
      </c>
      <c r="C15" s="1">
        <v>200760</v>
      </c>
      <c r="D15" s="1">
        <v>191827</v>
      </c>
      <c r="E15" s="1">
        <v>212568</v>
      </c>
      <c r="F15" s="1">
        <v>232287</v>
      </c>
      <c r="G15" s="1">
        <v>249604</v>
      </c>
      <c r="H15" s="1">
        <v>268829</v>
      </c>
      <c r="I15" s="1">
        <v>281122</v>
      </c>
      <c r="J15" s="1">
        <v>256787</v>
      </c>
      <c r="K15" s="1">
        <v>247979</v>
      </c>
      <c r="L15" s="1">
        <v>285696</v>
      </c>
      <c r="M15" s="1">
        <v>286855</v>
      </c>
      <c r="N15" s="1">
        <v>281227</v>
      </c>
      <c r="O15" s="1">
        <v>266132</v>
      </c>
      <c r="P15" s="1">
        <v>3483223</v>
      </c>
      <c r="V15" s="5" t="s">
        <v>164</v>
      </c>
      <c r="W15" s="8">
        <f>B15/(W4*1000)</f>
        <v>0.23184411034335531</v>
      </c>
      <c r="X15" s="8">
        <f t="shared" ref="X15:AJ19" si="3">C15/(X4*1000)</f>
        <v>0.21324371347420704</v>
      </c>
      <c r="Y15" s="8">
        <f t="shared" si="3"/>
        <v>0.20763553943004598</v>
      </c>
      <c r="Z15" s="8">
        <f t="shared" si="3"/>
        <v>0.23130233241386064</v>
      </c>
      <c r="AA15" s="8">
        <f t="shared" si="3"/>
        <v>0.24986580928029672</v>
      </c>
      <c r="AB15" s="8">
        <f t="shared" si="3"/>
        <v>0.25526683956899865</v>
      </c>
      <c r="AC15" s="8">
        <f t="shared" si="3"/>
        <v>0.26372072947016295</v>
      </c>
      <c r="AD15" s="8">
        <f t="shared" si="3"/>
        <v>0.26315336212722856</v>
      </c>
      <c r="AE15" s="8">
        <f t="shared" si="3"/>
        <v>0.234098415653298</v>
      </c>
      <c r="AF15" s="8">
        <f t="shared" si="3"/>
        <v>0.2403085901122084</v>
      </c>
      <c r="AG15" s="8">
        <f t="shared" si="3"/>
        <v>0.27234977178352038</v>
      </c>
      <c r="AH15" s="8">
        <f t="shared" si="3"/>
        <v>0.26145992081142766</v>
      </c>
      <c r="AI15" s="8">
        <f t="shared" si="3"/>
        <v>0.25241304164415335</v>
      </c>
      <c r="AJ15" s="8">
        <f t="shared" si="3"/>
        <v>0.2414362139805695</v>
      </c>
    </row>
    <row r="16" spans="1:36" ht="12.5" x14ac:dyDescent="0.25">
      <c r="A16" s="1" t="s">
        <v>48</v>
      </c>
      <c r="B16" s="1">
        <v>368267</v>
      </c>
      <c r="C16" s="1">
        <v>348115</v>
      </c>
      <c r="D16" s="1">
        <v>395935</v>
      </c>
      <c r="E16" s="1">
        <v>431947</v>
      </c>
      <c r="F16" s="1">
        <v>468744</v>
      </c>
      <c r="G16" s="1">
        <v>487958</v>
      </c>
      <c r="H16" s="1">
        <v>516537</v>
      </c>
      <c r="I16" s="1">
        <v>519668</v>
      </c>
      <c r="J16" s="1">
        <v>461881</v>
      </c>
      <c r="K16" s="1">
        <v>477427</v>
      </c>
      <c r="L16" s="1">
        <v>549345</v>
      </c>
      <c r="M16" s="1">
        <v>522529</v>
      </c>
      <c r="N16" s="1">
        <v>498846</v>
      </c>
      <c r="O16" s="1">
        <v>469014</v>
      </c>
      <c r="P16" s="1">
        <v>6516213</v>
      </c>
      <c r="V16" s="5" t="s">
        <v>165</v>
      </c>
      <c r="W16" s="8">
        <f t="shared" ref="W16:AJ21" si="4">B16/(W5*1000)</f>
        <v>0.2054554624361625</v>
      </c>
      <c r="X16" s="8">
        <f t="shared" si="3"/>
        <v>0.18506301227710728</v>
      </c>
      <c r="Y16" s="8">
        <f t="shared" si="3"/>
        <v>0.1997481549270976</v>
      </c>
      <c r="Z16" s="8">
        <f t="shared" si="3"/>
        <v>0.21517605753079089</v>
      </c>
      <c r="AA16" s="8">
        <f t="shared" si="3"/>
        <v>0.2269178617020195</v>
      </c>
      <c r="AB16" s="8">
        <f t="shared" si="3"/>
        <v>0.22464245168620642</v>
      </c>
      <c r="AC16" s="8">
        <f t="shared" si="3"/>
        <v>0.2259022431601132</v>
      </c>
      <c r="AD16" s="8">
        <f t="shared" si="3"/>
        <v>0.21938981642649946</v>
      </c>
      <c r="AE16" s="8">
        <f t="shared" si="3"/>
        <v>0.18971005492329959</v>
      </c>
      <c r="AF16" s="8">
        <f t="shared" si="3"/>
        <v>0.19375836281413439</v>
      </c>
      <c r="AG16" s="8">
        <f t="shared" si="3"/>
        <v>0.21308447973710484</v>
      </c>
      <c r="AH16" s="8">
        <f t="shared" si="3"/>
        <v>0.20064417605482102</v>
      </c>
      <c r="AI16" s="8">
        <f t="shared" si="3"/>
        <v>0.19052045709999454</v>
      </c>
      <c r="AJ16" s="8">
        <f t="shared" si="3"/>
        <v>0.17780970758948034</v>
      </c>
    </row>
    <row r="17" spans="1:36" ht="12.5" x14ac:dyDescent="0.25">
      <c r="A17" s="1" t="s">
        <v>49</v>
      </c>
      <c r="B17" s="1">
        <v>142608</v>
      </c>
      <c r="C17" s="1">
        <v>130055</v>
      </c>
      <c r="D17" s="1">
        <v>163596</v>
      </c>
      <c r="E17" s="1">
        <v>185118</v>
      </c>
      <c r="F17" s="1">
        <v>200792</v>
      </c>
      <c r="G17" s="1">
        <v>211443</v>
      </c>
      <c r="H17" s="1">
        <v>222683</v>
      </c>
      <c r="I17" s="1">
        <v>243142</v>
      </c>
      <c r="J17" s="1">
        <v>209595</v>
      </c>
      <c r="K17" s="1">
        <v>222348</v>
      </c>
      <c r="L17" s="1">
        <v>249825</v>
      </c>
      <c r="M17" s="1">
        <v>244007</v>
      </c>
      <c r="N17" s="1">
        <v>226787</v>
      </c>
      <c r="O17" s="1">
        <v>214745</v>
      </c>
      <c r="P17" s="1">
        <v>2866744</v>
      </c>
      <c r="V17" s="5" t="s">
        <v>167</v>
      </c>
      <c r="W17" s="8">
        <f t="shared" si="4"/>
        <v>0.16329933172409686</v>
      </c>
      <c r="X17" s="8">
        <f t="shared" si="3"/>
        <v>0.14310613654694482</v>
      </c>
      <c r="Y17" s="8">
        <f t="shared" si="3"/>
        <v>0.1537604079825784</v>
      </c>
      <c r="Z17" s="8">
        <f t="shared" si="3"/>
        <v>0.17085470732324118</v>
      </c>
      <c r="AA17" s="8">
        <f t="shared" si="3"/>
        <v>0.17899553473926497</v>
      </c>
      <c r="AB17" s="8">
        <f t="shared" si="3"/>
        <v>0.18059024088606168</v>
      </c>
      <c r="AC17" s="8">
        <f t="shared" si="3"/>
        <v>0.17952529790817309</v>
      </c>
      <c r="AD17" s="8">
        <f t="shared" si="3"/>
        <v>0.18448793523778595</v>
      </c>
      <c r="AE17" s="8">
        <f t="shared" si="3"/>
        <v>0.15303295032808681</v>
      </c>
      <c r="AF17" s="8">
        <f t="shared" si="3"/>
        <v>0.15824140161794126</v>
      </c>
      <c r="AG17" s="8">
        <f t="shared" si="3"/>
        <v>0.17179288994390127</v>
      </c>
      <c r="AH17" s="8">
        <f t="shared" si="3"/>
        <v>0.16255082898544546</v>
      </c>
      <c r="AI17" s="8">
        <f t="shared" si="3"/>
        <v>0.15330282423242797</v>
      </c>
      <c r="AJ17" s="8">
        <f t="shared" si="3"/>
        <v>0.14183734329002928</v>
      </c>
    </row>
    <row r="18" spans="1:36" ht="12.5" x14ac:dyDescent="0.25">
      <c r="A18" s="1" t="s">
        <v>50</v>
      </c>
      <c r="B18" s="1">
        <v>73979</v>
      </c>
      <c r="C18" s="1">
        <v>66487</v>
      </c>
      <c r="D18" s="1">
        <v>86789</v>
      </c>
      <c r="E18" s="1">
        <v>100765</v>
      </c>
      <c r="F18" s="1">
        <v>106936</v>
      </c>
      <c r="G18" s="1">
        <v>119753</v>
      </c>
      <c r="H18" s="1">
        <v>118437</v>
      </c>
      <c r="I18" s="1">
        <v>131533</v>
      </c>
      <c r="J18" s="1">
        <v>115487</v>
      </c>
      <c r="K18" s="1">
        <v>124485</v>
      </c>
      <c r="L18" s="1">
        <v>136870</v>
      </c>
      <c r="M18" s="1">
        <v>135937</v>
      </c>
      <c r="N18" s="1">
        <v>138680</v>
      </c>
      <c r="O18" s="1">
        <v>133583</v>
      </c>
      <c r="P18" s="1">
        <v>1589721</v>
      </c>
      <c r="V18" s="5" t="s">
        <v>166</v>
      </c>
      <c r="W18" s="8">
        <f t="shared" si="4"/>
        <v>0.16425834069745238</v>
      </c>
      <c r="X18" s="8">
        <f t="shared" si="3"/>
        <v>0.14013636986373551</v>
      </c>
      <c r="Y18" s="8">
        <f t="shared" si="3"/>
        <v>0.14395495032261274</v>
      </c>
      <c r="Z18" s="8">
        <f t="shared" si="3"/>
        <v>0.15914744414874715</v>
      </c>
      <c r="AA18" s="8">
        <f t="shared" si="3"/>
        <v>0.16196583656196706</v>
      </c>
      <c r="AB18" s="8">
        <f t="shared" si="3"/>
        <v>0.17365775705054584</v>
      </c>
      <c r="AC18" s="8">
        <f t="shared" si="3"/>
        <v>0.16378043131045641</v>
      </c>
      <c r="AD18" s="8">
        <f t="shared" si="3"/>
        <v>0.17441410238390118</v>
      </c>
      <c r="AE18" s="8">
        <f t="shared" si="3"/>
        <v>0.14543789921215419</v>
      </c>
      <c r="AF18" s="8">
        <f t="shared" si="3"/>
        <v>0.15009875155844188</v>
      </c>
      <c r="AG18" s="8">
        <f t="shared" si="3"/>
        <v>0.15600280843807987</v>
      </c>
      <c r="AH18" s="8">
        <f t="shared" si="3"/>
        <v>0.14761625009094551</v>
      </c>
      <c r="AI18" s="8">
        <f t="shared" si="3"/>
        <v>0.13767975656852963</v>
      </c>
      <c r="AJ18" s="8">
        <f t="shared" si="3"/>
        <v>0.13004752790633831</v>
      </c>
    </row>
    <row r="19" spans="1:36" ht="12.5" x14ac:dyDescent="0.25">
      <c r="B19" s="1">
        <v>316534</v>
      </c>
      <c r="C19" s="1">
        <v>256233</v>
      </c>
      <c r="D19" s="1">
        <v>199445</v>
      </c>
      <c r="E19" s="1">
        <v>187567</v>
      </c>
      <c r="F19" s="1">
        <v>166785</v>
      </c>
      <c r="G19" s="1">
        <v>181259</v>
      </c>
      <c r="H19" s="1">
        <v>179489</v>
      </c>
      <c r="I19" s="1">
        <v>239538</v>
      </c>
      <c r="J19" s="1">
        <v>197588</v>
      </c>
      <c r="K19" s="1">
        <v>191270</v>
      </c>
      <c r="L19" s="1">
        <v>231196</v>
      </c>
      <c r="M19" s="1">
        <v>243239</v>
      </c>
      <c r="N19" s="1">
        <v>240624</v>
      </c>
      <c r="O19" s="1">
        <v>233001</v>
      </c>
      <c r="P19" s="1">
        <v>3063768</v>
      </c>
      <c r="V19" s="44" t="s">
        <v>51</v>
      </c>
      <c r="W19" s="8">
        <f t="shared" si="4"/>
        <v>0.10479023678394409</v>
      </c>
      <c r="X19" s="8">
        <f t="shared" si="3"/>
        <v>9.1078965459143083E-2</v>
      </c>
      <c r="Y19" s="8">
        <f t="shared" si="3"/>
        <v>8.5376184733953087E-2</v>
      </c>
      <c r="Z19" s="8">
        <f t="shared" si="3"/>
        <v>8.3344960430839513E-2</v>
      </c>
      <c r="AA19" s="8">
        <f t="shared" si="3"/>
        <v>7.6626178555053145E-2</v>
      </c>
      <c r="AB19" s="8">
        <f t="shared" si="3"/>
        <v>8.7813794583574967E-2</v>
      </c>
      <c r="AC19" s="8">
        <f t="shared" si="3"/>
        <v>9.0358440423457184E-2</v>
      </c>
      <c r="AD19" s="8">
        <f t="shared" si="3"/>
        <v>0.11082605752694913</v>
      </c>
      <c r="AE19" s="8">
        <f t="shared" si="3"/>
        <v>9.5422300715372679E-2</v>
      </c>
      <c r="AF19" s="8">
        <f t="shared" si="3"/>
        <v>9.8814862267777068E-2</v>
      </c>
      <c r="AG19" s="8">
        <f t="shared" si="3"/>
        <v>0.11678683155178136</v>
      </c>
      <c r="AH19" s="8">
        <f t="shared" si="3"/>
        <v>0.12038799104559904</v>
      </c>
      <c r="AI19" s="8">
        <f t="shared" si="3"/>
        <v>0.12030460126702208</v>
      </c>
      <c r="AJ19" s="8">
        <f t="shared" si="3"/>
        <v>0.11764370268080068</v>
      </c>
    </row>
    <row r="20" spans="1:36" ht="12.5" x14ac:dyDescent="0.25">
      <c r="A20" s="1" t="s">
        <v>2</v>
      </c>
      <c r="V20" s="5"/>
      <c r="W20" s="8"/>
      <c r="X20" s="8"/>
      <c r="Y20" s="8"/>
      <c r="Z20" s="8"/>
      <c r="AA20" s="8"/>
      <c r="AB20" s="8"/>
      <c r="AC20" s="8"/>
      <c r="AD20" s="8"/>
      <c r="AE20" s="8"/>
      <c r="AF20" s="8"/>
      <c r="AG20" s="8"/>
      <c r="AH20" s="8"/>
      <c r="AI20" s="8"/>
      <c r="AJ20" s="8"/>
    </row>
    <row r="21" spans="1:36" ht="12.75" customHeight="1" x14ac:dyDescent="0.25">
      <c r="B21" s="1">
        <v>1122938</v>
      </c>
      <c r="C21" s="1">
        <v>1001650</v>
      </c>
      <c r="D21" s="1">
        <v>1037592</v>
      </c>
      <c r="E21" s="1">
        <v>1117965</v>
      </c>
      <c r="F21" s="1">
        <v>1175544</v>
      </c>
      <c r="G21" s="1">
        <v>1250017</v>
      </c>
      <c r="H21" s="1">
        <v>1305975</v>
      </c>
      <c r="I21" s="1">
        <v>1415003</v>
      </c>
      <c r="J21" s="1">
        <v>1241338</v>
      </c>
      <c r="K21" s="1">
        <v>1263509</v>
      </c>
      <c r="L21" s="1">
        <v>1452932</v>
      </c>
      <c r="M21" s="1">
        <v>1432567</v>
      </c>
      <c r="N21" s="1">
        <v>1386164</v>
      </c>
      <c r="O21" s="1">
        <v>1316475</v>
      </c>
      <c r="P21" s="1">
        <v>17519669</v>
      </c>
      <c r="V21" s="5" t="s">
        <v>52</v>
      </c>
      <c r="W21" s="12">
        <f t="shared" si="4"/>
        <v>0.1583306767184233</v>
      </c>
      <c r="X21" s="12">
        <f t="shared" si="4"/>
        <v>0.14270404976612294</v>
      </c>
      <c r="Y21" s="12">
        <f t="shared" si="4"/>
        <v>0.15018052631617038</v>
      </c>
      <c r="Z21" s="12">
        <f t="shared" si="4"/>
        <v>0.16217565304580633</v>
      </c>
      <c r="AA21" s="12">
        <f t="shared" si="4"/>
        <v>0.16904667713839638</v>
      </c>
      <c r="AB21" s="12">
        <f t="shared" si="4"/>
        <v>0.17669246105927811</v>
      </c>
      <c r="AC21" s="12">
        <f t="shared" si="4"/>
        <v>0.17998860509744102</v>
      </c>
      <c r="AD21" s="12">
        <f t="shared" si="4"/>
        <v>0.18447488715440855</v>
      </c>
      <c r="AE21" s="12">
        <f t="shared" si="4"/>
        <v>0.15984414996432492</v>
      </c>
      <c r="AF21" s="12">
        <f t="shared" si="4"/>
        <v>0.1648184564049483</v>
      </c>
      <c r="AG21" s="12">
        <f t="shared" si="4"/>
        <v>0.18302845009973817</v>
      </c>
      <c r="AH21" s="12">
        <f t="shared" si="4"/>
        <v>0.17590811309214563</v>
      </c>
      <c r="AI21" s="12">
        <f t="shared" si="4"/>
        <v>0.16864919581736212</v>
      </c>
      <c r="AJ21" s="12">
        <f t="shared" si="4"/>
        <v>0.15934498948230477</v>
      </c>
    </row>
    <row r="22" spans="1:36" ht="13" x14ac:dyDescent="0.3">
      <c r="V22" s="43" t="s">
        <v>52</v>
      </c>
      <c r="W22" s="15" t="e">
        <f>#REF!</f>
        <v>#REF!</v>
      </c>
      <c r="X22" s="15" t="e">
        <f>#REF!</f>
        <v>#REF!</v>
      </c>
      <c r="Y22" s="15" t="e">
        <f>#REF!</f>
        <v>#REF!</v>
      </c>
      <c r="Z22" s="15" t="e">
        <f>#REF!</f>
        <v>#REF!</v>
      </c>
      <c r="AA22" s="15" t="e">
        <f>#REF!</f>
        <v>#REF!</v>
      </c>
      <c r="AB22" s="15" t="e">
        <f>#REF!</f>
        <v>#REF!</v>
      </c>
      <c r="AC22" s="15" t="e">
        <f>#REF!</f>
        <v>#REF!</v>
      </c>
      <c r="AD22" s="15" t="e">
        <f>#REF!</f>
        <v>#REF!</v>
      </c>
      <c r="AE22" s="15" t="e">
        <f>#REF!</f>
        <v>#REF!</v>
      </c>
      <c r="AF22" s="15" t="e">
        <f>#REF!</f>
        <v>#REF!</v>
      </c>
      <c r="AG22" s="15" t="e">
        <f>#REF!</f>
        <v>#REF!</v>
      </c>
      <c r="AH22" s="15" t="e">
        <f>#REF!</f>
        <v>#REF!</v>
      </c>
      <c r="AI22" s="15" t="e">
        <f>#REF!</f>
        <v>#REF!</v>
      </c>
      <c r="AJ22" s="15" t="e">
        <f>#REF!</f>
        <v>#REF!</v>
      </c>
    </row>
    <row r="23" spans="1:36" ht="12.5" x14ac:dyDescent="0.25"/>
    <row r="24" spans="1:36" ht="12.5" x14ac:dyDescent="0.25"/>
    <row r="25" spans="1:36" ht="12.5" x14ac:dyDescent="0.25"/>
    <row r="26" spans="1:36" ht="12.5" x14ac:dyDescent="0.25"/>
    <row r="27" spans="1:36" ht="12.5" x14ac:dyDescent="0.25"/>
    <row r="28" spans="1:36" ht="12.5" x14ac:dyDescent="0.25"/>
    <row r="29" spans="1:36" ht="12.5" x14ac:dyDescent="0.25"/>
    <row r="31" spans="1:36" ht="12.5" x14ac:dyDescent="0.25"/>
    <row r="32" spans="1:36" ht="12.5" x14ac:dyDescent="0.25"/>
    <row r="33" ht="12.5" x14ac:dyDescent="0.25"/>
    <row r="34" ht="12.5" x14ac:dyDescent="0.25"/>
    <row r="35" ht="12.5" x14ac:dyDescent="0.25"/>
    <row r="36" ht="12.5" x14ac:dyDescent="0.25"/>
    <row r="37" ht="12.5" x14ac:dyDescent="0.25"/>
    <row r="38" ht="12.5" x14ac:dyDescent="0.25"/>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1AE43-2D85-42B0-9443-085FAE74D61B}">
  <dimension ref="A1:AI37"/>
  <sheetViews>
    <sheetView topLeftCell="F1" zoomScale="75" zoomScaleNormal="75" workbookViewId="0">
      <selection activeCell="AH90" sqref="AH90"/>
    </sheetView>
  </sheetViews>
  <sheetFormatPr defaultColWidth="11.54296875" defaultRowHeight="12.75" customHeight="1" x14ac:dyDescent="0.25"/>
  <cols>
    <col min="1" max="16384" width="11.54296875" style="1"/>
  </cols>
  <sheetData>
    <row r="1" spans="1:35" ht="12.5" x14ac:dyDescent="0.25">
      <c r="A1" s="1" t="s">
        <v>32</v>
      </c>
      <c r="B1" s="1" t="s">
        <v>0</v>
      </c>
    </row>
    <row r="2" spans="1:35" ht="13" x14ac:dyDescent="0.3">
      <c r="A2" s="1" t="s">
        <v>53</v>
      </c>
      <c r="B2" s="1">
        <v>2011</v>
      </c>
      <c r="C2" s="1">
        <v>2012</v>
      </c>
      <c r="D2" s="1">
        <v>2013</v>
      </c>
      <c r="E2" s="1">
        <v>2014</v>
      </c>
      <c r="F2" s="1">
        <v>2015</v>
      </c>
      <c r="G2" s="1">
        <v>2016</v>
      </c>
      <c r="H2" s="1">
        <v>2017</v>
      </c>
      <c r="I2" s="1">
        <v>2018</v>
      </c>
      <c r="J2" s="1">
        <v>2019</v>
      </c>
      <c r="K2" s="1">
        <v>2020</v>
      </c>
      <c r="L2" s="1">
        <v>2021</v>
      </c>
      <c r="M2" s="1">
        <v>2022</v>
      </c>
      <c r="N2" s="1">
        <v>2023</v>
      </c>
      <c r="O2" s="1">
        <v>2024</v>
      </c>
      <c r="P2" s="1" t="s">
        <v>2</v>
      </c>
      <c r="U2" s="4" t="s">
        <v>37</v>
      </c>
      <c r="V2" s="5"/>
      <c r="W2" s="5"/>
      <c r="X2" s="5"/>
      <c r="Y2" s="5"/>
      <c r="Z2" s="5"/>
      <c r="AA2" s="5"/>
      <c r="AB2" s="5"/>
      <c r="AC2" s="5"/>
      <c r="AD2" s="5"/>
      <c r="AE2" s="5"/>
      <c r="AF2" s="5"/>
      <c r="AG2" s="5"/>
      <c r="AH2" s="5"/>
      <c r="AI2" s="5"/>
    </row>
    <row r="3" spans="1:35" ht="13" x14ac:dyDescent="0.3">
      <c r="U3" s="5"/>
      <c r="V3" s="13">
        <v>2011</v>
      </c>
      <c r="W3" s="13">
        <v>2012</v>
      </c>
      <c r="X3" s="13">
        <v>2013</v>
      </c>
      <c r="Y3" s="13">
        <v>2014</v>
      </c>
      <c r="Z3" s="13">
        <v>2015</v>
      </c>
      <c r="AA3" s="13">
        <v>2016</v>
      </c>
      <c r="AB3" s="13">
        <v>2017</v>
      </c>
      <c r="AC3" s="13">
        <v>2018</v>
      </c>
      <c r="AD3" s="13">
        <v>2019</v>
      </c>
      <c r="AE3" s="13">
        <v>2020</v>
      </c>
      <c r="AF3" s="13">
        <v>2021</v>
      </c>
      <c r="AG3" s="13">
        <v>2022</v>
      </c>
      <c r="AH3" s="13">
        <v>2023</v>
      </c>
      <c r="AI3" s="13">
        <v>2024</v>
      </c>
    </row>
    <row r="4" spans="1:35" ht="12.5" x14ac:dyDescent="0.25">
      <c r="A4" s="1" t="s">
        <v>54</v>
      </c>
      <c r="B4" s="1">
        <v>4879788</v>
      </c>
      <c r="C4" s="1">
        <v>4791139</v>
      </c>
      <c r="D4" s="1">
        <v>4676980</v>
      </c>
      <c r="E4" s="1">
        <v>4579158</v>
      </c>
      <c r="F4" s="1">
        <v>4492097</v>
      </c>
      <c r="G4" s="1">
        <v>4504087</v>
      </c>
      <c r="H4" s="1">
        <v>4535536</v>
      </c>
      <c r="I4" s="1">
        <v>4674091</v>
      </c>
      <c r="J4" s="1">
        <v>4781800</v>
      </c>
      <c r="K4" s="1">
        <v>5121134</v>
      </c>
      <c r="L4" s="1">
        <v>5118247</v>
      </c>
      <c r="M4" s="1">
        <v>5184282</v>
      </c>
      <c r="N4" s="1">
        <v>5291011</v>
      </c>
      <c r="O4" s="1">
        <v>5386420</v>
      </c>
      <c r="P4" s="1">
        <v>68015770</v>
      </c>
      <c r="U4" s="5" t="s">
        <v>58</v>
      </c>
      <c r="V4" s="6">
        <f>B4/1000</f>
        <v>4879.7879999999996</v>
      </c>
      <c r="W4" s="6">
        <f t="shared" ref="W4:AI7" si="0">C4/1000</f>
        <v>4791.1390000000001</v>
      </c>
      <c r="X4" s="6">
        <f t="shared" si="0"/>
        <v>4676.9799999999996</v>
      </c>
      <c r="Y4" s="6">
        <f t="shared" si="0"/>
        <v>4579.1580000000004</v>
      </c>
      <c r="Z4" s="6">
        <f t="shared" si="0"/>
        <v>4492.0969999999998</v>
      </c>
      <c r="AA4" s="6">
        <f t="shared" si="0"/>
        <v>4504.0870000000004</v>
      </c>
      <c r="AB4" s="6">
        <f t="shared" si="0"/>
        <v>4535.5360000000001</v>
      </c>
      <c r="AC4" s="6">
        <f t="shared" si="0"/>
        <v>4674.0910000000003</v>
      </c>
      <c r="AD4" s="6">
        <f t="shared" si="0"/>
        <v>4781.8</v>
      </c>
      <c r="AE4" s="6">
        <f t="shared" si="0"/>
        <v>5121.134</v>
      </c>
      <c r="AF4" s="6">
        <f t="shared" si="0"/>
        <v>5118.2470000000003</v>
      </c>
      <c r="AG4" s="6">
        <f t="shared" si="0"/>
        <v>5184.2820000000002</v>
      </c>
      <c r="AH4" s="6">
        <f t="shared" si="0"/>
        <v>5291.0110000000004</v>
      </c>
      <c r="AI4" s="6">
        <f t="shared" si="0"/>
        <v>5386.42</v>
      </c>
    </row>
    <row r="5" spans="1:35" ht="12.5" x14ac:dyDescent="0.25">
      <c r="A5" s="1" t="s">
        <v>55</v>
      </c>
      <c r="B5" s="1">
        <v>1484993</v>
      </c>
      <c r="C5" s="1">
        <v>1456740</v>
      </c>
      <c r="D5" s="1">
        <v>1449269</v>
      </c>
      <c r="E5" s="1">
        <v>1479141</v>
      </c>
      <c r="F5" s="1">
        <v>1586130</v>
      </c>
      <c r="G5" s="1">
        <v>1649168</v>
      </c>
      <c r="H5" s="1">
        <v>1693022</v>
      </c>
      <c r="I5" s="1">
        <v>1854706</v>
      </c>
      <c r="J5" s="1">
        <v>1865676</v>
      </c>
      <c r="K5" s="1">
        <v>1292028</v>
      </c>
      <c r="L5" s="1">
        <v>1413506</v>
      </c>
      <c r="M5" s="1">
        <v>1534052</v>
      </c>
      <c r="N5" s="1">
        <v>1555810</v>
      </c>
      <c r="O5" s="1">
        <v>1529226</v>
      </c>
      <c r="P5" s="1">
        <v>21843467</v>
      </c>
      <c r="U5" s="5" t="s">
        <v>59</v>
      </c>
      <c r="V5" s="6">
        <f t="shared" ref="V5:AI9" si="1">B5/1000</f>
        <v>1484.9929999999999</v>
      </c>
      <c r="W5" s="6">
        <f t="shared" si="0"/>
        <v>1456.74</v>
      </c>
      <c r="X5" s="6">
        <f t="shared" si="0"/>
        <v>1449.269</v>
      </c>
      <c r="Y5" s="6">
        <f t="shared" si="0"/>
        <v>1479.1410000000001</v>
      </c>
      <c r="Z5" s="6">
        <f t="shared" si="0"/>
        <v>1586.13</v>
      </c>
      <c r="AA5" s="6">
        <f t="shared" si="0"/>
        <v>1649.1679999999999</v>
      </c>
      <c r="AB5" s="6">
        <f t="shared" si="0"/>
        <v>1693.0219999999999</v>
      </c>
      <c r="AC5" s="6">
        <f t="shared" si="0"/>
        <v>1854.7059999999999</v>
      </c>
      <c r="AD5" s="6">
        <f t="shared" si="0"/>
        <v>1865.6759999999999</v>
      </c>
      <c r="AE5" s="6">
        <f t="shared" si="0"/>
        <v>1292.028</v>
      </c>
      <c r="AF5" s="6">
        <f t="shared" si="0"/>
        <v>1413.5060000000001</v>
      </c>
      <c r="AG5" s="6">
        <f t="shared" si="0"/>
        <v>1534.0519999999999</v>
      </c>
      <c r="AH5" s="6">
        <f t="shared" si="0"/>
        <v>1555.81</v>
      </c>
      <c r="AI5" s="6">
        <f t="shared" si="0"/>
        <v>1529.2260000000001</v>
      </c>
    </row>
    <row r="6" spans="1:35" ht="12.5" x14ac:dyDescent="0.25">
      <c r="A6" s="1" t="s">
        <v>56</v>
      </c>
      <c r="B6" s="1">
        <v>335711</v>
      </c>
      <c r="C6" s="1">
        <v>332899</v>
      </c>
      <c r="D6" s="1">
        <v>331457</v>
      </c>
      <c r="E6" s="1">
        <v>354512</v>
      </c>
      <c r="F6" s="1">
        <v>395686</v>
      </c>
      <c r="G6" s="1">
        <v>427467</v>
      </c>
      <c r="H6" s="1">
        <v>470685</v>
      </c>
      <c r="I6" s="1">
        <v>596373</v>
      </c>
      <c r="J6" s="1">
        <v>547048</v>
      </c>
      <c r="K6" s="1">
        <v>414180</v>
      </c>
      <c r="L6" s="1">
        <v>513560</v>
      </c>
      <c r="M6" s="1">
        <v>514069</v>
      </c>
      <c r="N6" s="1">
        <v>460375</v>
      </c>
      <c r="O6" s="1">
        <v>436721</v>
      </c>
      <c r="P6" s="1">
        <v>6130743</v>
      </c>
      <c r="U6" s="5" t="s">
        <v>60</v>
      </c>
      <c r="V6" s="6">
        <f t="shared" si="1"/>
        <v>335.71100000000001</v>
      </c>
      <c r="W6" s="6">
        <f t="shared" si="0"/>
        <v>332.899</v>
      </c>
      <c r="X6" s="6">
        <f t="shared" si="0"/>
        <v>331.45699999999999</v>
      </c>
      <c r="Y6" s="6">
        <f t="shared" si="0"/>
        <v>354.512</v>
      </c>
      <c r="Z6" s="6">
        <f t="shared" si="0"/>
        <v>395.68599999999998</v>
      </c>
      <c r="AA6" s="6">
        <f t="shared" si="0"/>
        <v>427.46699999999998</v>
      </c>
      <c r="AB6" s="6">
        <f t="shared" si="0"/>
        <v>470.685</v>
      </c>
      <c r="AC6" s="6">
        <f t="shared" si="0"/>
        <v>596.37300000000005</v>
      </c>
      <c r="AD6" s="6">
        <f t="shared" si="0"/>
        <v>547.048</v>
      </c>
      <c r="AE6" s="6">
        <f t="shared" si="0"/>
        <v>414.18</v>
      </c>
      <c r="AF6" s="6">
        <f t="shared" si="0"/>
        <v>513.55999999999995</v>
      </c>
      <c r="AG6" s="6">
        <f t="shared" si="0"/>
        <v>514.06899999999996</v>
      </c>
      <c r="AH6" s="6">
        <f t="shared" si="0"/>
        <v>460.375</v>
      </c>
      <c r="AI6" s="6">
        <f t="shared" si="0"/>
        <v>436.721</v>
      </c>
    </row>
    <row r="7" spans="1:35" ht="12.5" x14ac:dyDescent="0.25">
      <c r="A7" s="1" t="s">
        <v>57</v>
      </c>
      <c r="B7" s="1">
        <v>391867</v>
      </c>
      <c r="C7" s="1">
        <v>438294</v>
      </c>
      <c r="D7" s="1">
        <v>451259</v>
      </c>
      <c r="E7" s="1">
        <v>480733</v>
      </c>
      <c r="F7" s="1">
        <v>480048</v>
      </c>
      <c r="G7" s="1">
        <v>493813</v>
      </c>
      <c r="H7" s="1">
        <v>556633</v>
      </c>
      <c r="I7" s="1">
        <v>545267</v>
      </c>
      <c r="J7" s="1">
        <v>571403</v>
      </c>
      <c r="K7" s="1">
        <v>838723</v>
      </c>
      <c r="L7" s="1">
        <v>892972</v>
      </c>
      <c r="M7" s="1">
        <v>911434</v>
      </c>
      <c r="N7" s="1">
        <v>912019</v>
      </c>
      <c r="O7" s="1">
        <v>909424</v>
      </c>
      <c r="P7" s="1">
        <v>8873889</v>
      </c>
      <c r="U7" s="5" t="s">
        <v>61</v>
      </c>
      <c r="V7" s="6">
        <f t="shared" si="1"/>
        <v>391.86700000000002</v>
      </c>
      <c r="W7" s="6">
        <f t="shared" si="0"/>
        <v>438.29399999999998</v>
      </c>
      <c r="X7" s="6">
        <f t="shared" si="0"/>
        <v>451.25900000000001</v>
      </c>
      <c r="Y7" s="6">
        <f t="shared" si="0"/>
        <v>480.733</v>
      </c>
      <c r="Z7" s="6">
        <f t="shared" si="0"/>
        <v>480.048</v>
      </c>
      <c r="AA7" s="6">
        <f t="shared" si="0"/>
        <v>493.81299999999999</v>
      </c>
      <c r="AB7" s="6">
        <f t="shared" si="0"/>
        <v>556.63300000000004</v>
      </c>
      <c r="AC7" s="6">
        <f t="shared" si="0"/>
        <v>545.26700000000005</v>
      </c>
      <c r="AD7" s="6">
        <f t="shared" si="0"/>
        <v>571.40300000000002</v>
      </c>
      <c r="AE7" s="6">
        <f t="shared" si="0"/>
        <v>838.72299999999996</v>
      </c>
      <c r="AF7" s="6">
        <f t="shared" si="0"/>
        <v>892.97199999999998</v>
      </c>
      <c r="AG7" s="6">
        <f t="shared" si="0"/>
        <v>911.43399999999997</v>
      </c>
      <c r="AH7" s="6">
        <f t="shared" si="0"/>
        <v>912.01900000000001</v>
      </c>
      <c r="AI7" s="6">
        <f t="shared" si="0"/>
        <v>909.42399999999998</v>
      </c>
    </row>
    <row r="8" spans="1:35" ht="12.5" x14ac:dyDescent="0.25">
      <c r="U8" s="5"/>
      <c r="V8" s="6"/>
      <c r="W8" s="6"/>
      <c r="X8" s="6"/>
      <c r="Y8" s="6"/>
      <c r="Z8" s="6"/>
      <c r="AA8" s="6"/>
      <c r="AB8" s="6"/>
      <c r="AC8" s="6"/>
      <c r="AD8" s="6"/>
      <c r="AE8" s="6"/>
      <c r="AF8" s="6"/>
      <c r="AG8" s="6"/>
      <c r="AH8" s="6"/>
      <c r="AI8" s="6"/>
    </row>
    <row r="9" spans="1:35" ht="12.5" x14ac:dyDescent="0.25">
      <c r="A9" s="1" t="s">
        <v>2</v>
      </c>
      <c r="B9" s="1">
        <v>7092359</v>
      </c>
      <c r="C9" s="1">
        <v>7019072</v>
      </c>
      <c r="D9" s="1">
        <v>6908965</v>
      </c>
      <c r="E9" s="1">
        <v>6893544</v>
      </c>
      <c r="F9" s="1">
        <v>6953961</v>
      </c>
      <c r="G9" s="1">
        <v>7074535</v>
      </c>
      <c r="H9" s="1">
        <v>7255876</v>
      </c>
      <c r="I9" s="1">
        <v>7670437</v>
      </c>
      <c r="J9" s="1">
        <v>7765927</v>
      </c>
      <c r="K9" s="1">
        <v>7666065</v>
      </c>
      <c r="L9" s="1">
        <v>7938285</v>
      </c>
      <c r="M9" s="1">
        <v>8143837</v>
      </c>
      <c r="N9" s="1">
        <v>8219215</v>
      </c>
      <c r="O9" s="1">
        <v>8261791</v>
      </c>
      <c r="P9" s="1">
        <v>104863869</v>
      </c>
      <c r="U9" s="5" t="s">
        <v>52</v>
      </c>
      <c r="V9" s="6">
        <f t="shared" si="1"/>
        <v>7092.3590000000004</v>
      </c>
      <c r="W9" s="6">
        <f t="shared" si="1"/>
        <v>7019.0720000000001</v>
      </c>
      <c r="X9" s="6">
        <f t="shared" si="1"/>
        <v>6908.9650000000001</v>
      </c>
      <c r="Y9" s="6">
        <f t="shared" si="1"/>
        <v>6893.5439999999999</v>
      </c>
      <c r="Z9" s="6">
        <f t="shared" si="1"/>
        <v>6953.9610000000002</v>
      </c>
      <c r="AA9" s="6">
        <f t="shared" si="1"/>
        <v>7074.5349999999999</v>
      </c>
      <c r="AB9" s="6">
        <f t="shared" si="1"/>
        <v>7255.8760000000002</v>
      </c>
      <c r="AC9" s="6">
        <f t="shared" si="1"/>
        <v>7670.4369999999999</v>
      </c>
      <c r="AD9" s="6">
        <f t="shared" si="1"/>
        <v>7765.9269999999997</v>
      </c>
      <c r="AE9" s="6">
        <f t="shared" si="1"/>
        <v>7666.0649999999996</v>
      </c>
      <c r="AF9" s="6">
        <f t="shared" si="1"/>
        <v>7938.2849999999999</v>
      </c>
      <c r="AG9" s="6">
        <f t="shared" si="1"/>
        <v>8143.8370000000004</v>
      </c>
      <c r="AH9" s="6">
        <f t="shared" si="1"/>
        <v>8219.2150000000001</v>
      </c>
      <c r="AI9" s="6">
        <f t="shared" si="1"/>
        <v>8261.7909999999993</v>
      </c>
    </row>
    <row r="10" spans="1:35" ht="12.75" customHeight="1" x14ac:dyDescent="0.3">
      <c r="U10" s="43" t="s">
        <v>52</v>
      </c>
      <c r="V10" s="3" t="e">
        <f>#REF!</f>
        <v>#REF!</v>
      </c>
      <c r="W10" s="3" t="e">
        <f>#REF!</f>
        <v>#REF!</v>
      </c>
      <c r="X10" s="3" t="e">
        <f>#REF!</f>
        <v>#REF!</v>
      </c>
      <c r="Y10" s="3" t="e">
        <f>#REF!</f>
        <v>#REF!</v>
      </c>
      <c r="Z10" s="3" t="e">
        <f>#REF!</f>
        <v>#REF!</v>
      </c>
      <c r="AA10" s="3" t="e">
        <f>#REF!</f>
        <v>#REF!</v>
      </c>
      <c r="AB10" s="3" t="e">
        <f>#REF!</f>
        <v>#REF!</v>
      </c>
      <c r="AC10" s="3" t="e">
        <f>#REF!</f>
        <v>#REF!</v>
      </c>
      <c r="AD10" s="3" t="e">
        <f>#REF!</f>
        <v>#REF!</v>
      </c>
      <c r="AE10" s="3" t="e">
        <f>#REF!</f>
        <v>#REF!</v>
      </c>
      <c r="AF10" s="3" t="e">
        <f>#REF!</f>
        <v>#REF!</v>
      </c>
      <c r="AG10" s="3" t="e">
        <f>#REF!</f>
        <v>#REF!</v>
      </c>
      <c r="AH10" s="3" t="e">
        <f>#REF!</f>
        <v>#REF!</v>
      </c>
      <c r="AI10" s="3" t="e">
        <f>#REF!</f>
        <v>#REF!</v>
      </c>
    </row>
    <row r="11" spans="1:35" ht="12.5" x14ac:dyDescent="0.25">
      <c r="A11" s="1" t="s">
        <v>36</v>
      </c>
      <c r="B11" s="1" t="s">
        <v>0</v>
      </c>
    </row>
    <row r="12" spans="1:35" ht="13" x14ac:dyDescent="0.3">
      <c r="A12" s="1" t="s">
        <v>53</v>
      </c>
      <c r="B12" s="42">
        <v>2011</v>
      </c>
      <c r="C12" s="42">
        <v>2012</v>
      </c>
      <c r="D12" s="42">
        <v>2013</v>
      </c>
      <c r="E12" s="42">
        <v>2014</v>
      </c>
      <c r="F12" s="42">
        <v>2015</v>
      </c>
      <c r="G12" s="42">
        <v>2016</v>
      </c>
      <c r="H12" s="42">
        <v>2017</v>
      </c>
      <c r="I12" s="42">
        <v>2018</v>
      </c>
      <c r="J12" s="42">
        <v>2019</v>
      </c>
      <c r="K12" s="42">
        <v>2020</v>
      </c>
      <c r="L12" s="42">
        <v>2021</v>
      </c>
      <c r="M12" s="42">
        <v>2022</v>
      </c>
      <c r="N12" s="42">
        <v>2023</v>
      </c>
      <c r="O12" s="42">
        <v>2024</v>
      </c>
      <c r="P12" s="42" t="s">
        <v>2</v>
      </c>
      <c r="U12" s="4" t="s">
        <v>38</v>
      </c>
      <c r="V12" s="5"/>
      <c r="W12" s="5"/>
      <c r="X12" s="5"/>
      <c r="Y12" s="5"/>
      <c r="Z12" s="5"/>
      <c r="AA12" s="5"/>
      <c r="AB12" s="5"/>
      <c r="AC12" s="5"/>
      <c r="AD12" s="5"/>
      <c r="AE12" s="5"/>
      <c r="AF12" s="5"/>
      <c r="AG12" s="5"/>
      <c r="AH12" s="5"/>
      <c r="AI12" s="5"/>
    </row>
    <row r="13" spans="1:35" ht="13" x14ac:dyDescent="0.3">
      <c r="B13" s="42"/>
      <c r="C13" s="42"/>
      <c r="D13" s="42"/>
      <c r="E13" s="42"/>
      <c r="F13" s="42"/>
      <c r="G13" s="42"/>
      <c r="H13" s="42"/>
      <c r="I13" s="42"/>
      <c r="J13" s="42"/>
      <c r="K13" s="42"/>
      <c r="L13" s="42"/>
      <c r="M13" s="42"/>
      <c r="N13" s="42"/>
      <c r="O13" s="42"/>
      <c r="P13" s="42"/>
      <c r="U13" s="5"/>
      <c r="V13" s="13">
        <v>2011</v>
      </c>
      <c r="W13" s="13">
        <v>2012</v>
      </c>
      <c r="X13" s="13">
        <v>2013</v>
      </c>
      <c r="Y13" s="13">
        <v>2014</v>
      </c>
      <c r="Z13" s="13">
        <v>2015</v>
      </c>
      <c r="AA13" s="13">
        <v>2016</v>
      </c>
      <c r="AB13" s="13">
        <v>2017</v>
      </c>
      <c r="AC13" s="13">
        <v>2018</v>
      </c>
      <c r="AD13" s="13">
        <v>2019</v>
      </c>
      <c r="AE13" s="13">
        <v>2020</v>
      </c>
      <c r="AF13" s="13">
        <v>2021</v>
      </c>
      <c r="AG13" s="13">
        <v>2022</v>
      </c>
      <c r="AH13" s="13">
        <v>2023</v>
      </c>
      <c r="AI13" s="13">
        <v>2024</v>
      </c>
    </row>
    <row r="14" spans="1:35" ht="12.5" x14ac:dyDescent="0.25">
      <c r="A14" s="1" t="s">
        <v>54</v>
      </c>
      <c r="B14" s="42">
        <v>549714</v>
      </c>
      <c r="C14" s="42">
        <v>461335</v>
      </c>
      <c r="D14" s="42">
        <v>471467</v>
      </c>
      <c r="E14" s="42">
        <v>484428</v>
      </c>
      <c r="F14" s="42">
        <v>430169</v>
      </c>
      <c r="G14" s="42">
        <v>482886</v>
      </c>
      <c r="H14" s="42">
        <v>481777</v>
      </c>
      <c r="I14" s="42">
        <v>534554</v>
      </c>
      <c r="J14" s="42">
        <v>438533</v>
      </c>
      <c r="K14" s="42">
        <v>494504</v>
      </c>
      <c r="L14" s="42">
        <v>561042</v>
      </c>
      <c r="M14" s="42">
        <v>556869</v>
      </c>
      <c r="N14" s="42">
        <v>554413</v>
      </c>
      <c r="O14" s="42">
        <v>510425</v>
      </c>
      <c r="P14" s="42">
        <v>7012116</v>
      </c>
      <c r="U14" s="5" t="s">
        <v>58</v>
      </c>
      <c r="V14" s="8">
        <f>B14/(V4*1000)</f>
        <v>0.11265120533924834</v>
      </c>
      <c r="W14" s="8">
        <f t="shared" ref="W14:AI17" si="2">C14/(W4*1000)</f>
        <v>9.6289212231162574E-2</v>
      </c>
      <c r="X14" s="8">
        <f t="shared" si="2"/>
        <v>0.10080586190233869</v>
      </c>
      <c r="Y14" s="8">
        <f t="shared" si="2"/>
        <v>0.10578975436095457</v>
      </c>
      <c r="Z14" s="8">
        <f t="shared" si="2"/>
        <v>9.5761289215259601E-2</v>
      </c>
      <c r="AA14" s="8">
        <f t="shared" si="2"/>
        <v>0.10721062892435249</v>
      </c>
      <c r="AB14" s="8">
        <f t="shared" si="2"/>
        <v>0.10622272648701278</v>
      </c>
      <c r="AC14" s="8">
        <f t="shared" si="2"/>
        <v>0.11436533862947897</v>
      </c>
      <c r="AD14" s="8">
        <f t="shared" si="2"/>
        <v>9.1708770755782335E-2</v>
      </c>
      <c r="AE14" s="8">
        <f t="shared" si="2"/>
        <v>9.656142565299014E-2</v>
      </c>
      <c r="AF14" s="8">
        <f t="shared" si="2"/>
        <v>0.10961604627521884</v>
      </c>
      <c r="AG14" s="8">
        <f t="shared" si="2"/>
        <v>0.10741487442234045</v>
      </c>
      <c r="AH14" s="8">
        <f t="shared" si="2"/>
        <v>0.10478394393812449</v>
      </c>
      <c r="AI14" s="8">
        <f t="shared" si="2"/>
        <v>9.4761455660717142E-2</v>
      </c>
    </row>
    <row r="15" spans="1:35" ht="12.5" x14ac:dyDescent="0.25">
      <c r="A15" s="1" t="s">
        <v>55</v>
      </c>
      <c r="B15" s="42">
        <v>335035</v>
      </c>
      <c r="C15" s="42">
        <v>309934</v>
      </c>
      <c r="D15" s="42">
        <v>324611</v>
      </c>
      <c r="E15" s="42">
        <v>352875</v>
      </c>
      <c r="F15" s="42">
        <v>402251</v>
      </c>
      <c r="G15" s="42">
        <v>434093</v>
      </c>
      <c r="H15" s="42">
        <v>446452</v>
      </c>
      <c r="I15" s="42">
        <v>475330</v>
      </c>
      <c r="J15" s="42">
        <v>422698</v>
      </c>
      <c r="K15" s="42">
        <v>325945</v>
      </c>
      <c r="L15" s="42">
        <v>374009</v>
      </c>
      <c r="M15" s="42">
        <v>380614</v>
      </c>
      <c r="N15" s="42">
        <v>376236</v>
      </c>
      <c r="O15" s="42">
        <v>358863</v>
      </c>
      <c r="P15" s="42">
        <v>5318946</v>
      </c>
      <c r="U15" s="5" t="s">
        <v>59</v>
      </c>
      <c r="V15" s="8">
        <f t="shared" ref="V15:AI19" si="3">B15/(V5*1000)</f>
        <v>0.22561385811246248</v>
      </c>
      <c r="W15" s="8">
        <f t="shared" si="2"/>
        <v>0.21275862542389171</v>
      </c>
      <c r="X15" s="8">
        <f t="shared" si="2"/>
        <v>0.22398257328349672</v>
      </c>
      <c r="Y15" s="8">
        <f t="shared" si="2"/>
        <v>0.23856751993217684</v>
      </c>
      <c r="Z15" s="8">
        <f t="shared" si="2"/>
        <v>0.25360531608380144</v>
      </c>
      <c r="AA15" s="8">
        <f t="shared" si="2"/>
        <v>0.26321939305152658</v>
      </c>
      <c r="AB15" s="8">
        <f t="shared" si="2"/>
        <v>0.26370123955861174</v>
      </c>
      <c r="AC15" s="8">
        <f t="shared" si="2"/>
        <v>0.25628320607147442</v>
      </c>
      <c r="AD15" s="8">
        <f t="shared" si="2"/>
        <v>0.22656559874276133</v>
      </c>
      <c r="AE15" s="8">
        <f t="shared" si="2"/>
        <v>0.252273944527518</v>
      </c>
      <c r="AF15" s="8">
        <f t="shared" si="2"/>
        <v>0.26459668370703771</v>
      </c>
      <c r="AG15" s="8">
        <f t="shared" si="2"/>
        <v>0.24811023355140505</v>
      </c>
      <c r="AH15" s="8">
        <f t="shared" si="2"/>
        <v>0.24182644410307172</v>
      </c>
      <c r="AI15" s="8">
        <f t="shared" si="2"/>
        <v>0.23466969564995624</v>
      </c>
    </row>
    <row r="16" spans="1:35" ht="12.5" x14ac:dyDescent="0.25">
      <c r="A16" s="1" t="s">
        <v>56</v>
      </c>
      <c r="B16" s="42">
        <v>143069</v>
      </c>
      <c r="C16" s="42">
        <v>128941</v>
      </c>
      <c r="D16" s="42">
        <v>132331</v>
      </c>
      <c r="E16" s="42">
        <v>152521</v>
      </c>
      <c r="F16" s="42">
        <v>209215</v>
      </c>
      <c r="G16" s="42">
        <v>192444</v>
      </c>
      <c r="H16" s="42">
        <v>211690</v>
      </c>
      <c r="I16" s="42">
        <v>237066</v>
      </c>
      <c r="J16" s="42">
        <v>223968</v>
      </c>
      <c r="K16" s="42">
        <v>171571</v>
      </c>
      <c r="L16" s="42">
        <v>208985</v>
      </c>
      <c r="M16" s="42">
        <v>194249</v>
      </c>
      <c r="N16" s="42">
        <v>167980</v>
      </c>
      <c r="O16" s="42">
        <v>160816</v>
      </c>
      <c r="P16" s="42">
        <v>2534846</v>
      </c>
      <c r="U16" s="5" t="s">
        <v>60</v>
      </c>
      <c r="V16" s="8">
        <f t="shared" si="3"/>
        <v>0.42616714972103981</v>
      </c>
      <c r="W16" s="8">
        <f t="shared" si="2"/>
        <v>0.38732768797743461</v>
      </c>
      <c r="X16" s="8">
        <f t="shared" si="2"/>
        <v>0.39924032378257207</v>
      </c>
      <c r="Y16" s="8">
        <f t="shared" si="2"/>
        <v>0.43022803177325453</v>
      </c>
      <c r="Z16" s="8">
        <f t="shared" si="2"/>
        <v>0.52873996047370897</v>
      </c>
      <c r="AA16" s="8">
        <f t="shared" si="2"/>
        <v>0.4501961554927047</v>
      </c>
      <c r="AB16" s="8">
        <f t="shared" si="2"/>
        <v>0.44974877040908462</v>
      </c>
      <c r="AC16" s="8">
        <f t="shared" si="2"/>
        <v>0.39751296587873697</v>
      </c>
      <c r="AD16" s="8">
        <f t="shared" si="2"/>
        <v>0.40941197116157996</v>
      </c>
      <c r="AE16" s="8">
        <f t="shared" si="2"/>
        <v>0.41424259983582018</v>
      </c>
      <c r="AF16" s="8">
        <f t="shared" si="2"/>
        <v>0.40693395124230863</v>
      </c>
      <c r="AG16" s="8">
        <f t="shared" si="2"/>
        <v>0.37786561726149609</v>
      </c>
      <c r="AH16" s="8">
        <f t="shared" si="2"/>
        <v>0.36487645940809121</v>
      </c>
      <c r="AI16" s="8">
        <f t="shared" si="2"/>
        <v>0.36823509746497191</v>
      </c>
    </row>
    <row r="17" spans="1:35" ht="12.5" x14ac:dyDescent="0.25">
      <c r="A17" s="1" t="s">
        <v>57</v>
      </c>
      <c r="B17" s="42">
        <v>95120</v>
      </c>
      <c r="C17" s="42">
        <v>101440</v>
      </c>
      <c r="D17" s="42">
        <v>109183</v>
      </c>
      <c r="E17" s="42">
        <v>128141</v>
      </c>
      <c r="F17" s="42">
        <v>133909</v>
      </c>
      <c r="G17" s="42">
        <v>140594</v>
      </c>
      <c r="H17" s="42">
        <v>166056</v>
      </c>
      <c r="I17" s="42">
        <v>168053</v>
      </c>
      <c r="J17" s="42">
        <v>156139</v>
      </c>
      <c r="K17" s="42">
        <v>271489</v>
      </c>
      <c r="L17" s="42">
        <v>308896</v>
      </c>
      <c r="M17" s="42">
        <v>300835</v>
      </c>
      <c r="N17" s="42">
        <v>287535</v>
      </c>
      <c r="O17" s="42">
        <v>286371</v>
      </c>
      <c r="P17" s="42">
        <v>2653761</v>
      </c>
      <c r="U17" s="5" t="s">
        <v>61</v>
      </c>
      <c r="V17" s="8">
        <f t="shared" si="3"/>
        <v>0.24273541788412906</v>
      </c>
      <c r="W17" s="8">
        <f t="shared" si="2"/>
        <v>0.23144282148512185</v>
      </c>
      <c r="X17" s="8">
        <f t="shared" si="2"/>
        <v>0.2419519610689205</v>
      </c>
      <c r="Y17" s="8">
        <f t="shared" si="2"/>
        <v>0.26655336746177194</v>
      </c>
      <c r="Z17" s="8">
        <f t="shared" si="2"/>
        <v>0.2789491884144919</v>
      </c>
      <c r="AA17" s="8">
        <f t="shared" si="2"/>
        <v>0.284711014088329</v>
      </c>
      <c r="AB17" s="8">
        <f t="shared" si="2"/>
        <v>0.29832223385965256</v>
      </c>
      <c r="AC17" s="8">
        <f t="shared" si="2"/>
        <v>0.3082031371786666</v>
      </c>
      <c r="AD17" s="8">
        <f t="shared" si="2"/>
        <v>0.27325547818264867</v>
      </c>
      <c r="AE17" s="8">
        <f t="shared" si="2"/>
        <v>0.3236932813336465</v>
      </c>
      <c r="AF17" s="8">
        <f t="shared" si="2"/>
        <v>0.3459190209771415</v>
      </c>
      <c r="AG17" s="8">
        <f t="shared" si="2"/>
        <v>0.33006778329533459</v>
      </c>
      <c r="AH17" s="8">
        <f t="shared" si="2"/>
        <v>0.31527303707488552</v>
      </c>
      <c r="AI17" s="8">
        <f t="shared" si="2"/>
        <v>0.31489272330618062</v>
      </c>
    </row>
    <row r="18" spans="1:35" ht="12.5" x14ac:dyDescent="0.25">
      <c r="B18" s="42"/>
      <c r="C18" s="42"/>
      <c r="D18" s="42"/>
      <c r="E18" s="42"/>
      <c r="F18" s="42"/>
      <c r="G18" s="42"/>
      <c r="H18" s="42"/>
      <c r="I18" s="42"/>
      <c r="J18" s="42"/>
      <c r="K18" s="42"/>
      <c r="L18" s="42"/>
      <c r="M18" s="42"/>
      <c r="N18" s="42"/>
      <c r="O18" s="42"/>
      <c r="P18" s="42"/>
      <c r="U18" s="5"/>
      <c r="V18" s="8"/>
      <c r="W18" s="8"/>
      <c r="X18" s="8"/>
      <c r="Y18" s="8"/>
      <c r="Z18" s="8"/>
      <c r="AA18" s="8"/>
      <c r="AB18" s="8"/>
      <c r="AC18" s="8"/>
      <c r="AD18" s="8"/>
      <c r="AE18" s="8"/>
      <c r="AF18" s="8"/>
      <c r="AG18" s="8"/>
      <c r="AH18" s="8"/>
      <c r="AI18" s="8"/>
    </row>
    <row r="19" spans="1:35" ht="12.5" x14ac:dyDescent="0.25">
      <c r="A19" s="1" t="s">
        <v>2</v>
      </c>
      <c r="B19" s="42">
        <v>1122938</v>
      </c>
      <c r="C19" s="42">
        <v>1001650</v>
      </c>
      <c r="D19" s="42">
        <v>1037592</v>
      </c>
      <c r="E19" s="42">
        <v>1117965</v>
      </c>
      <c r="F19" s="42">
        <v>1175544</v>
      </c>
      <c r="G19" s="42">
        <v>1250017</v>
      </c>
      <c r="H19" s="42">
        <v>1305975</v>
      </c>
      <c r="I19" s="42">
        <v>1415003</v>
      </c>
      <c r="J19" s="42">
        <v>1241338</v>
      </c>
      <c r="K19" s="42">
        <v>1263509</v>
      </c>
      <c r="L19" s="42">
        <v>1452932</v>
      </c>
      <c r="M19" s="42">
        <v>1432567</v>
      </c>
      <c r="N19" s="42">
        <v>1386164</v>
      </c>
      <c r="O19" s="42">
        <v>1316475</v>
      </c>
      <c r="P19" s="42">
        <v>17519669</v>
      </c>
      <c r="U19" s="5" t="s">
        <v>52</v>
      </c>
      <c r="V19" s="12">
        <f t="shared" si="3"/>
        <v>0.1583306767184233</v>
      </c>
      <c r="W19" s="12">
        <f t="shared" si="3"/>
        <v>0.14270404976612294</v>
      </c>
      <c r="X19" s="12">
        <f t="shared" si="3"/>
        <v>0.15018052631617038</v>
      </c>
      <c r="Y19" s="12">
        <f t="shared" si="3"/>
        <v>0.16217565304580633</v>
      </c>
      <c r="Z19" s="12">
        <f t="shared" si="3"/>
        <v>0.16904667713839638</v>
      </c>
      <c r="AA19" s="12">
        <f t="shared" si="3"/>
        <v>0.17669246105927811</v>
      </c>
      <c r="AB19" s="12">
        <f t="shared" si="3"/>
        <v>0.17998860509744102</v>
      </c>
      <c r="AC19" s="12">
        <f t="shared" si="3"/>
        <v>0.18447488715440855</v>
      </c>
      <c r="AD19" s="12">
        <f t="shared" si="3"/>
        <v>0.15984414996432492</v>
      </c>
      <c r="AE19" s="12">
        <f t="shared" si="3"/>
        <v>0.1648184564049483</v>
      </c>
      <c r="AF19" s="12">
        <f t="shared" si="3"/>
        <v>0.18302845009973817</v>
      </c>
      <c r="AG19" s="12">
        <f t="shared" si="3"/>
        <v>0.17590811309214563</v>
      </c>
      <c r="AH19" s="12">
        <f t="shared" si="3"/>
        <v>0.16864919581736212</v>
      </c>
      <c r="AI19" s="12">
        <f t="shared" si="3"/>
        <v>0.15934498948230477</v>
      </c>
    </row>
    <row r="20" spans="1:35" ht="12.75" customHeight="1" x14ac:dyDescent="0.3">
      <c r="V20" s="15" t="e">
        <f>#REF!</f>
        <v>#REF!</v>
      </c>
      <c r="W20" s="15" t="e">
        <f>#REF!</f>
        <v>#REF!</v>
      </c>
      <c r="X20" s="15" t="e">
        <f>#REF!</f>
        <v>#REF!</v>
      </c>
      <c r="Y20" s="15" t="e">
        <f>#REF!</f>
        <v>#REF!</v>
      </c>
      <c r="Z20" s="15" t="e">
        <f>#REF!</f>
        <v>#REF!</v>
      </c>
      <c r="AA20" s="15" t="e">
        <f>#REF!</f>
        <v>#REF!</v>
      </c>
      <c r="AB20" s="15" t="e">
        <f>#REF!</f>
        <v>#REF!</v>
      </c>
      <c r="AC20" s="15" t="e">
        <f>#REF!</f>
        <v>#REF!</v>
      </c>
      <c r="AD20" s="15" t="e">
        <f>#REF!</f>
        <v>#REF!</v>
      </c>
      <c r="AE20" s="15" t="e">
        <f>#REF!</f>
        <v>#REF!</v>
      </c>
      <c r="AF20" s="15" t="e">
        <f>#REF!</f>
        <v>#REF!</v>
      </c>
      <c r="AG20" s="15" t="e">
        <f>#REF!</f>
        <v>#REF!</v>
      </c>
      <c r="AH20" s="15" t="e">
        <f>#REF!</f>
        <v>#REF!</v>
      </c>
      <c r="AI20" s="15" t="e">
        <f>#REF!</f>
        <v>#REF!</v>
      </c>
    </row>
    <row r="21" spans="1:35" ht="12.5" x14ac:dyDescent="0.25"/>
    <row r="22" spans="1:35" ht="12.5" x14ac:dyDescent="0.25"/>
    <row r="23" spans="1:35" ht="12.5" x14ac:dyDescent="0.25"/>
    <row r="24" spans="1:35" ht="12.5" x14ac:dyDescent="0.25"/>
    <row r="25" spans="1:35" ht="12.5" x14ac:dyDescent="0.25"/>
    <row r="26" spans="1:35" ht="12.5" x14ac:dyDescent="0.25"/>
    <row r="27" spans="1:35" ht="12.5" x14ac:dyDescent="0.25"/>
    <row r="28" spans="1:35" ht="12.5" x14ac:dyDescent="0.25"/>
    <row r="30" spans="1:35" ht="12.5" x14ac:dyDescent="0.25"/>
    <row r="31" spans="1:35" ht="12.5" x14ac:dyDescent="0.25"/>
    <row r="32" spans="1:35" ht="12.5" x14ac:dyDescent="0.25"/>
    <row r="33" ht="12.5" x14ac:dyDescent="0.25"/>
    <row r="34" ht="12.5" x14ac:dyDescent="0.25"/>
    <row r="35" ht="12.5" x14ac:dyDescent="0.25"/>
    <row r="36" ht="12.5" x14ac:dyDescent="0.25"/>
    <row r="37" ht="12.5" x14ac:dyDescent="0.25"/>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D2177-42B6-44B3-9180-6C14A4FDA3CE}">
  <dimension ref="A1:AI45"/>
  <sheetViews>
    <sheetView zoomScale="75" zoomScaleNormal="75" workbookViewId="0">
      <selection activeCell="AH90" sqref="AH90"/>
    </sheetView>
  </sheetViews>
  <sheetFormatPr defaultColWidth="11.54296875" defaultRowHeight="12.75" customHeight="1" x14ac:dyDescent="0.25"/>
  <cols>
    <col min="1" max="16384" width="11.54296875" style="1"/>
  </cols>
  <sheetData>
    <row r="1" spans="1:35" ht="12.5" x14ac:dyDescent="0.25">
      <c r="A1" s="1" t="s">
        <v>32</v>
      </c>
      <c r="B1" s="1" t="s">
        <v>0</v>
      </c>
    </row>
    <row r="2" spans="1:35" ht="13" x14ac:dyDescent="0.3">
      <c r="A2" s="1" t="s">
        <v>62</v>
      </c>
      <c r="B2" s="1">
        <v>2011</v>
      </c>
      <c r="C2" s="1">
        <v>2012</v>
      </c>
      <c r="D2" s="1">
        <v>2013</v>
      </c>
      <c r="E2" s="1">
        <v>2014</v>
      </c>
      <c r="F2" s="1">
        <v>2015</v>
      </c>
      <c r="G2" s="1">
        <v>2016</v>
      </c>
      <c r="H2" s="1">
        <v>2017</v>
      </c>
      <c r="I2" s="1">
        <v>2018</v>
      </c>
      <c r="J2" s="1">
        <v>2019</v>
      </c>
      <c r="K2" s="1">
        <v>2020</v>
      </c>
      <c r="L2" s="1">
        <v>2021</v>
      </c>
      <c r="M2" s="1">
        <v>2022</v>
      </c>
      <c r="N2" s="1">
        <v>2023</v>
      </c>
      <c r="O2" s="1">
        <v>2024</v>
      </c>
      <c r="P2" s="1" t="s">
        <v>2</v>
      </c>
      <c r="U2" s="4" t="s">
        <v>37</v>
      </c>
      <c r="V2" s="5"/>
      <c r="W2" s="5"/>
      <c r="X2" s="5"/>
      <c r="Y2" s="5"/>
      <c r="Z2" s="5"/>
      <c r="AA2" s="5"/>
      <c r="AB2" s="5"/>
      <c r="AC2" s="5"/>
      <c r="AD2" s="5"/>
      <c r="AE2" s="5"/>
      <c r="AF2" s="5"/>
      <c r="AG2" s="5"/>
      <c r="AH2" s="5"/>
      <c r="AI2" s="5"/>
    </row>
    <row r="3" spans="1:35" ht="13" x14ac:dyDescent="0.3">
      <c r="U3" s="5"/>
      <c r="V3" s="13">
        <v>2011</v>
      </c>
      <c r="W3" s="13">
        <v>2012</v>
      </c>
      <c r="X3" s="13">
        <v>2013</v>
      </c>
      <c r="Y3" s="13">
        <v>2014</v>
      </c>
      <c r="Z3" s="13">
        <v>2015</v>
      </c>
      <c r="AA3" s="13">
        <v>2016</v>
      </c>
      <c r="AB3" s="13">
        <v>2017</v>
      </c>
      <c r="AC3" s="13">
        <v>2018</v>
      </c>
      <c r="AD3" s="13">
        <v>2019</v>
      </c>
      <c r="AE3" s="13">
        <v>2020</v>
      </c>
      <c r="AF3" s="13">
        <v>2021</v>
      </c>
      <c r="AG3" s="13">
        <v>2022</v>
      </c>
      <c r="AH3" s="13">
        <v>2023</v>
      </c>
      <c r="AI3" s="13">
        <v>2024</v>
      </c>
    </row>
    <row r="4" spans="1:35" ht="12.5" x14ac:dyDescent="0.25">
      <c r="A4" s="1" t="s">
        <v>63</v>
      </c>
      <c r="B4" s="1">
        <v>844684</v>
      </c>
      <c r="C4" s="1">
        <v>866053</v>
      </c>
      <c r="D4" s="1">
        <v>882638</v>
      </c>
      <c r="E4" s="1">
        <v>881294</v>
      </c>
      <c r="F4" s="1">
        <v>888834</v>
      </c>
      <c r="G4" s="1">
        <v>831817</v>
      </c>
      <c r="H4" s="1">
        <v>843859</v>
      </c>
      <c r="I4" s="1">
        <v>865356</v>
      </c>
      <c r="J4" s="1">
        <v>877432</v>
      </c>
      <c r="K4" s="1">
        <v>824079</v>
      </c>
      <c r="L4" s="1">
        <v>796236</v>
      </c>
      <c r="M4" s="1">
        <v>831125</v>
      </c>
      <c r="N4" s="1">
        <v>825874</v>
      </c>
      <c r="O4" s="1">
        <v>854071</v>
      </c>
      <c r="P4" s="1">
        <v>11913352</v>
      </c>
      <c r="U4" s="16" t="s">
        <v>69</v>
      </c>
      <c r="V4" s="6">
        <f>B4/1000</f>
        <v>844.68399999999997</v>
      </c>
      <c r="W4" s="6">
        <f t="shared" ref="W4:AI9" si="0">C4/1000</f>
        <v>866.053</v>
      </c>
      <c r="X4" s="6">
        <f t="shared" si="0"/>
        <v>882.63800000000003</v>
      </c>
      <c r="Y4" s="6">
        <f t="shared" si="0"/>
        <v>881.29399999999998</v>
      </c>
      <c r="Z4" s="6">
        <f t="shared" si="0"/>
        <v>888.83399999999995</v>
      </c>
      <c r="AA4" s="6">
        <f t="shared" si="0"/>
        <v>831.81700000000001</v>
      </c>
      <c r="AB4" s="6">
        <f t="shared" si="0"/>
        <v>843.85900000000004</v>
      </c>
      <c r="AC4" s="6">
        <f t="shared" si="0"/>
        <v>865.35599999999999</v>
      </c>
      <c r="AD4" s="6">
        <f t="shared" si="0"/>
        <v>877.43200000000002</v>
      </c>
      <c r="AE4" s="6">
        <f t="shared" si="0"/>
        <v>824.07899999999995</v>
      </c>
      <c r="AF4" s="6">
        <f t="shared" si="0"/>
        <v>796.23599999999999</v>
      </c>
      <c r="AG4" s="6">
        <f t="shared" si="0"/>
        <v>831.125</v>
      </c>
      <c r="AH4" s="6">
        <f t="shared" si="0"/>
        <v>825.87400000000002</v>
      </c>
      <c r="AI4" s="6">
        <f t="shared" si="0"/>
        <v>854.07100000000003</v>
      </c>
    </row>
    <row r="5" spans="1:35" ht="12.5" x14ac:dyDescent="0.25">
      <c r="A5" s="1" t="s">
        <v>64</v>
      </c>
      <c r="B5" s="1">
        <v>768537</v>
      </c>
      <c r="C5" s="1">
        <v>793029</v>
      </c>
      <c r="D5" s="1">
        <v>725601</v>
      </c>
      <c r="E5" s="1">
        <v>710874</v>
      </c>
      <c r="F5" s="1">
        <v>693791</v>
      </c>
      <c r="G5" s="1">
        <v>721401</v>
      </c>
      <c r="H5" s="1">
        <v>685278</v>
      </c>
      <c r="I5" s="1">
        <v>694326</v>
      </c>
      <c r="J5" s="1">
        <v>684980</v>
      </c>
      <c r="K5" s="1">
        <v>663783</v>
      </c>
      <c r="L5" s="1">
        <v>683672</v>
      </c>
      <c r="M5" s="1">
        <v>677106</v>
      </c>
      <c r="N5" s="1">
        <v>663057</v>
      </c>
      <c r="O5" s="1">
        <v>648187</v>
      </c>
      <c r="P5" s="1">
        <v>9813622</v>
      </c>
      <c r="U5" s="5" t="s">
        <v>64</v>
      </c>
      <c r="V5" s="6">
        <f t="shared" ref="V5:AI11" si="1">B5/1000</f>
        <v>768.53700000000003</v>
      </c>
      <c r="W5" s="6">
        <f t="shared" si="0"/>
        <v>793.029</v>
      </c>
      <c r="X5" s="6">
        <f t="shared" si="0"/>
        <v>725.601</v>
      </c>
      <c r="Y5" s="6">
        <f t="shared" si="0"/>
        <v>710.87400000000002</v>
      </c>
      <c r="Z5" s="6">
        <f t="shared" si="0"/>
        <v>693.79100000000005</v>
      </c>
      <c r="AA5" s="6">
        <f t="shared" si="0"/>
        <v>721.40099999999995</v>
      </c>
      <c r="AB5" s="6">
        <f t="shared" si="0"/>
        <v>685.27800000000002</v>
      </c>
      <c r="AC5" s="6">
        <f t="shared" si="0"/>
        <v>694.32600000000002</v>
      </c>
      <c r="AD5" s="6">
        <f t="shared" si="0"/>
        <v>684.98</v>
      </c>
      <c r="AE5" s="6">
        <f t="shared" si="0"/>
        <v>663.78300000000002</v>
      </c>
      <c r="AF5" s="6">
        <f t="shared" si="0"/>
        <v>683.67200000000003</v>
      </c>
      <c r="AG5" s="6">
        <f t="shared" si="0"/>
        <v>677.10599999999999</v>
      </c>
      <c r="AH5" s="6">
        <f t="shared" si="0"/>
        <v>663.05700000000002</v>
      </c>
      <c r="AI5" s="6">
        <f t="shared" si="0"/>
        <v>648.18700000000001</v>
      </c>
    </row>
    <row r="6" spans="1:35" ht="12.5" x14ac:dyDescent="0.25">
      <c r="A6" s="1" t="s">
        <v>65</v>
      </c>
      <c r="B6" s="1">
        <v>755257</v>
      </c>
      <c r="C6" s="1">
        <v>746273</v>
      </c>
      <c r="D6" s="1">
        <v>737702</v>
      </c>
      <c r="E6" s="1">
        <v>725321</v>
      </c>
      <c r="F6" s="1">
        <v>738863</v>
      </c>
      <c r="G6" s="1">
        <v>770041</v>
      </c>
      <c r="H6" s="1">
        <v>831293</v>
      </c>
      <c r="I6" s="1">
        <v>858873</v>
      </c>
      <c r="J6" s="1">
        <v>880058</v>
      </c>
      <c r="K6" s="1">
        <v>881188</v>
      </c>
      <c r="L6" s="1">
        <v>903841</v>
      </c>
      <c r="M6" s="1">
        <v>912927</v>
      </c>
      <c r="N6" s="1">
        <v>919940</v>
      </c>
      <c r="O6" s="1">
        <v>921942</v>
      </c>
      <c r="P6" s="1">
        <v>11583519</v>
      </c>
      <c r="U6" s="5" t="s">
        <v>65</v>
      </c>
      <c r="V6" s="6">
        <f t="shared" si="1"/>
        <v>755.25699999999995</v>
      </c>
      <c r="W6" s="6">
        <f t="shared" si="0"/>
        <v>746.27300000000002</v>
      </c>
      <c r="X6" s="6">
        <f t="shared" si="0"/>
        <v>737.702</v>
      </c>
      <c r="Y6" s="6">
        <f t="shared" si="0"/>
        <v>725.32100000000003</v>
      </c>
      <c r="Z6" s="6">
        <f t="shared" si="0"/>
        <v>738.86300000000006</v>
      </c>
      <c r="AA6" s="6">
        <f t="shared" si="0"/>
        <v>770.04100000000005</v>
      </c>
      <c r="AB6" s="6">
        <f t="shared" si="0"/>
        <v>831.29300000000001</v>
      </c>
      <c r="AC6" s="6">
        <f t="shared" si="0"/>
        <v>858.87300000000005</v>
      </c>
      <c r="AD6" s="6">
        <f t="shared" si="0"/>
        <v>880.05799999999999</v>
      </c>
      <c r="AE6" s="6">
        <f t="shared" si="0"/>
        <v>881.18799999999999</v>
      </c>
      <c r="AF6" s="6">
        <f t="shared" si="0"/>
        <v>903.84100000000001</v>
      </c>
      <c r="AG6" s="6">
        <f t="shared" si="0"/>
        <v>912.92700000000002</v>
      </c>
      <c r="AH6" s="6">
        <f t="shared" si="0"/>
        <v>919.94</v>
      </c>
      <c r="AI6" s="6">
        <f t="shared" si="0"/>
        <v>921.94200000000001</v>
      </c>
    </row>
    <row r="7" spans="1:35" ht="12.5" x14ac:dyDescent="0.25">
      <c r="A7" s="1" t="s">
        <v>66</v>
      </c>
      <c r="B7" s="1">
        <v>478045</v>
      </c>
      <c r="C7" s="1">
        <v>582329</v>
      </c>
      <c r="D7" s="1">
        <v>521136</v>
      </c>
      <c r="E7" s="1">
        <v>544185</v>
      </c>
      <c r="F7" s="1">
        <v>552433</v>
      </c>
      <c r="G7" s="1">
        <v>574118</v>
      </c>
      <c r="H7" s="1">
        <v>602195</v>
      </c>
      <c r="I7" s="1">
        <v>647156</v>
      </c>
      <c r="J7" s="1">
        <v>663456</v>
      </c>
      <c r="K7" s="1">
        <v>663918</v>
      </c>
      <c r="L7" s="1">
        <v>696992</v>
      </c>
      <c r="M7" s="1">
        <v>719777</v>
      </c>
      <c r="N7" s="1">
        <v>729947</v>
      </c>
      <c r="O7" s="1">
        <v>732785</v>
      </c>
      <c r="P7" s="1">
        <v>8708472</v>
      </c>
      <c r="U7" s="5" t="s">
        <v>66</v>
      </c>
      <c r="V7" s="6">
        <f t="shared" si="1"/>
        <v>478.04500000000002</v>
      </c>
      <c r="W7" s="6">
        <f t="shared" si="0"/>
        <v>582.32899999999995</v>
      </c>
      <c r="X7" s="6">
        <f t="shared" si="0"/>
        <v>521.13599999999997</v>
      </c>
      <c r="Y7" s="6">
        <f t="shared" si="0"/>
        <v>544.18499999999995</v>
      </c>
      <c r="Z7" s="6">
        <f t="shared" si="0"/>
        <v>552.43299999999999</v>
      </c>
      <c r="AA7" s="6">
        <f t="shared" si="0"/>
        <v>574.11800000000005</v>
      </c>
      <c r="AB7" s="6">
        <f t="shared" si="0"/>
        <v>602.19500000000005</v>
      </c>
      <c r="AC7" s="6">
        <f t="shared" si="0"/>
        <v>647.15599999999995</v>
      </c>
      <c r="AD7" s="6">
        <f t="shared" si="0"/>
        <v>663.45600000000002</v>
      </c>
      <c r="AE7" s="6">
        <f t="shared" si="0"/>
        <v>663.91800000000001</v>
      </c>
      <c r="AF7" s="6">
        <f t="shared" si="0"/>
        <v>696.99199999999996</v>
      </c>
      <c r="AG7" s="6">
        <f t="shared" si="0"/>
        <v>719.77700000000004</v>
      </c>
      <c r="AH7" s="6">
        <f t="shared" si="0"/>
        <v>729.947</v>
      </c>
      <c r="AI7" s="6">
        <f t="shared" si="0"/>
        <v>732.78499999999997</v>
      </c>
    </row>
    <row r="8" spans="1:35" ht="12.5" x14ac:dyDescent="0.25">
      <c r="A8" s="1" t="s">
        <v>67</v>
      </c>
      <c r="B8" s="1">
        <v>813667</v>
      </c>
      <c r="C8" s="1">
        <v>851519</v>
      </c>
      <c r="D8" s="1">
        <v>753315</v>
      </c>
      <c r="E8" s="1">
        <v>777539</v>
      </c>
      <c r="F8" s="1">
        <v>788436</v>
      </c>
      <c r="G8" s="1">
        <v>826906</v>
      </c>
      <c r="H8" s="1">
        <v>859966</v>
      </c>
      <c r="I8" s="1">
        <v>924283</v>
      </c>
      <c r="J8" s="1">
        <v>967295</v>
      </c>
      <c r="K8" s="1">
        <v>973016</v>
      </c>
      <c r="L8" s="1">
        <v>1035830</v>
      </c>
      <c r="M8" s="1">
        <v>1084261</v>
      </c>
      <c r="N8" s="1">
        <v>1124957</v>
      </c>
      <c r="O8" s="1">
        <v>1162240</v>
      </c>
      <c r="P8" s="1">
        <v>12943230</v>
      </c>
      <c r="U8" s="5" t="s">
        <v>67</v>
      </c>
      <c r="V8" s="6">
        <f t="shared" si="1"/>
        <v>813.66700000000003</v>
      </c>
      <c r="W8" s="6">
        <f t="shared" si="0"/>
        <v>851.51900000000001</v>
      </c>
      <c r="X8" s="6">
        <f t="shared" si="0"/>
        <v>753.31500000000005</v>
      </c>
      <c r="Y8" s="6">
        <f t="shared" si="0"/>
        <v>777.53899999999999</v>
      </c>
      <c r="Z8" s="6">
        <f t="shared" si="0"/>
        <v>788.43600000000004</v>
      </c>
      <c r="AA8" s="6">
        <f t="shared" si="0"/>
        <v>826.90599999999995</v>
      </c>
      <c r="AB8" s="6">
        <f t="shared" si="0"/>
        <v>859.96600000000001</v>
      </c>
      <c r="AC8" s="6">
        <f t="shared" si="0"/>
        <v>924.28300000000002</v>
      </c>
      <c r="AD8" s="6">
        <f t="shared" si="0"/>
        <v>967.29499999999996</v>
      </c>
      <c r="AE8" s="6">
        <f t="shared" si="0"/>
        <v>973.01599999999996</v>
      </c>
      <c r="AF8" s="6">
        <f t="shared" si="0"/>
        <v>1035.83</v>
      </c>
      <c r="AG8" s="6">
        <f t="shared" si="0"/>
        <v>1084.261</v>
      </c>
      <c r="AH8" s="6">
        <f t="shared" si="0"/>
        <v>1124.9570000000001</v>
      </c>
      <c r="AI8" s="6">
        <f t="shared" si="0"/>
        <v>1162.24</v>
      </c>
    </row>
    <row r="9" spans="1:35" ht="12.5" x14ac:dyDescent="0.25">
      <c r="A9" s="1" t="s">
        <v>68</v>
      </c>
      <c r="B9" s="1">
        <v>3432169</v>
      </c>
      <c r="C9" s="1">
        <v>3179869</v>
      </c>
      <c r="D9" s="1">
        <v>3288573</v>
      </c>
      <c r="E9" s="1">
        <v>3254331</v>
      </c>
      <c r="F9" s="1">
        <v>3291604</v>
      </c>
      <c r="G9" s="1">
        <v>3350252</v>
      </c>
      <c r="H9" s="1">
        <v>3433285</v>
      </c>
      <c r="I9" s="1">
        <v>3680443</v>
      </c>
      <c r="J9" s="1">
        <v>3692706</v>
      </c>
      <c r="K9" s="1">
        <v>3660081</v>
      </c>
      <c r="L9" s="1">
        <v>3821714</v>
      </c>
      <c r="M9" s="1">
        <v>3918641</v>
      </c>
      <c r="N9" s="1">
        <v>3955440</v>
      </c>
      <c r="O9" s="1">
        <v>3942566</v>
      </c>
      <c r="P9" s="1">
        <v>49901674</v>
      </c>
      <c r="U9" s="5" t="s">
        <v>70</v>
      </c>
      <c r="V9" s="6">
        <f t="shared" si="1"/>
        <v>3432.1689999999999</v>
      </c>
      <c r="W9" s="6">
        <f t="shared" si="0"/>
        <v>3179.8690000000001</v>
      </c>
      <c r="X9" s="6">
        <f t="shared" si="0"/>
        <v>3288.5729999999999</v>
      </c>
      <c r="Y9" s="6">
        <f t="shared" si="0"/>
        <v>3254.3310000000001</v>
      </c>
      <c r="Z9" s="6">
        <f t="shared" si="0"/>
        <v>3291.6039999999998</v>
      </c>
      <c r="AA9" s="6">
        <f t="shared" si="0"/>
        <v>3350.252</v>
      </c>
      <c r="AB9" s="6">
        <f t="shared" si="0"/>
        <v>3433.2849999999999</v>
      </c>
      <c r="AC9" s="6">
        <f t="shared" si="0"/>
        <v>3680.4430000000002</v>
      </c>
      <c r="AD9" s="6">
        <f t="shared" si="0"/>
        <v>3692.7060000000001</v>
      </c>
      <c r="AE9" s="6">
        <f t="shared" si="0"/>
        <v>3660.0810000000001</v>
      </c>
      <c r="AF9" s="6">
        <f t="shared" si="0"/>
        <v>3821.7139999999999</v>
      </c>
      <c r="AG9" s="6">
        <f t="shared" si="0"/>
        <v>3918.6410000000001</v>
      </c>
      <c r="AH9" s="6">
        <f t="shared" si="0"/>
        <v>3955.44</v>
      </c>
      <c r="AI9" s="6">
        <f t="shared" si="0"/>
        <v>3942.5659999999998</v>
      </c>
    </row>
    <row r="10" spans="1:35" ht="12.5" x14ac:dyDescent="0.25">
      <c r="U10" s="5"/>
      <c r="V10" s="6"/>
      <c r="W10" s="6"/>
      <c r="X10" s="6"/>
      <c r="Y10" s="6"/>
      <c r="Z10" s="6"/>
      <c r="AA10" s="6"/>
      <c r="AB10" s="6"/>
      <c r="AC10" s="6"/>
      <c r="AD10" s="6"/>
      <c r="AE10" s="6"/>
      <c r="AF10" s="6"/>
      <c r="AG10" s="6"/>
      <c r="AH10" s="6"/>
      <c r="AI10" s="6"/>
    </row>
    <row r="11" spans="1:35" ht="12.5" x14ac:dyDescent="0.25">
      <c r="A11" s="1" t="s">
        <v>2</v>
      </c>
      <c r="B11" s="1">
        <v>7092359</v>
      </c>
      <c r="C11" s="1">
        <v>7019072</v>
      </c>
      <c r="D11" s="1">
        <v>6908965</v>
      </c>
      <c r="E11" s="1">
        <v>6893544</v>
      </c>
      <c r="F11" s="1">
        <v>6953961</v>
      </c>
      <c r="G11" s="1">
        <v>7074535</v>
      </c>
      <c r="H11" s="1">
        <v>7255876</v>
      </c>
      <c r="I11" s="1">
        <v>7670437</v>
      </c>
      <c r="J11" s="1">
        <v>7765927</v>
      </c>
      <c r="K11" s="1">
        <v>7666065</v>
      </c>
      <c r="L11" s="1">
        <v>7938285</v>
      </c>
      <c r="M11" s="1">
        <v>8143837</v>
      </c>
      <c r="N11" s="1">
        <v>8219215</v>
      </c>
      <c r="O11" s="1">
        <v>8261791</v>
      </c>
      <c r="P11" s="1">
        <v>104863869</v>
      </c>
      <c r="U11" s="5" t="s">
        <v>2</v>
      </c>
      <c r="V11" s="6">
        <f t="shared" si="1"/>
        <v>7092.3590000000004</v>
      </c>
      <c r="W11" s="6">
        <f t="shared" si="1"/>
        <v>7019.0720000000001</v>
      </c>
      <c r="X11" s="6">
        <f t="shared" si="1"/>
        <v>6908.9650000000001</v>
      </c>
      <c r="Y11" s="6">
        <f t="shared" si="1"/>
        <v>6893.5439999999999</v>
      </c>
      <c r="Z11" s="6">
        <f t="shared" si="1"/>
        <v>6953.9610000000002</v>
      </c>
      <c r="AA11" s="6">
        <f t="shared" si="1"/>
        <v>7074.5349999999999</v>
      </c>
      <c r="AB11" s="6">
        <f t="shared" si="1"/>
        <v>7255.8760000000002</v>
      </c>
      <c r="AC11" s="6">
        <f t="shared" si="1"/>
        <v>7670.4369999999999</v>
      </c>
      <c r="AD11" s="6">
        <f t="shared" si="1"/>
        <v>7765.9269999999997</v>
      </c>
      <c r="AE11" s="6">
        <f t="shared" si="1"/>
        <v>7666.0649999999996</v>
      </c>
      <c r="AF11" s="6">
        <f t="shared" si="1"/>
        <v>7938.2849999999999</v>
      </c>
      <c r="AG11" s="6">
        <f t="shared" si="1"/>
        <v>8143.8370000000004</v>
      </c>
      <c r="AH11" s="6">
        <f t="shared" si="1"/>
        <v>8219.2150000000001</v>
      </c>
      <c r="AI11" s="6">
        <f t="shared" si="1"/>
        <v>8261.7909999999993</v>
      </c>
    </row>
    <row r="12" spans="1:35" ht="12.75" customHeight="1" x14ac:dyDescent="0.3">
      <c r="V12" s="3" t="e">
        <f>#REF!</f>
        <v>#REF!</v>
      </c>
      <c r="W12" s="3" t="e">
        <f>#REF!</f>
        <v>#REF!</v>
      </c>
      <c r="X12" s="3" t="e">
        <f>#REF!</f>
        <v>#REF!</v>
      </c>
      <c r="Y12" s="3" t="e">
        <f>#REF!</f>
        <v>#REF!</v>
      </c>
      <c r="Z12" s="3" t="e">
        <f>#REF!</f>
        <v>#REF!</v>
      </c>
      <c r="AA12" s="3" t="e">
        <f>#REF!</f>
        <v>#REF!</v>
      </c>
      <c r="AB12" s="3" t="e">
        <f>#REF!</f>
        <v>#REF!</v>
      </c>
      <c r="AC12" s="3" t="e">
        <f>#REF!</f>
        <v>#REF!</v>
      </c>
      <c r="AD12" s="3" t="e">
        <f>#REF!</f>
        <v>#REF!</v>
      </c>
      <c r="AE12" s="3" t="e">
        <f>#REF!</f>
        <v>#REF!</v>
      </c>
      <c r="AF12" s="3" t="e">
        <f>#REF!</f>
        <v>#REF!</v>
      </c>
      <c r="AG12" s="3" t="e">
        <f>#REF!</f>
        <v>#REF!</v>
      </c>
      <c r="AH12" s="3" t="e">
        <f>#REF!</f>
        <v>#REF!</v>
      </c>
      <c r="AI12" s="3" t="e">
        <f>#REF!</f>
        <v>#REF!</v>
      </c>
    </row>
    <row r="13" spans="1:35" ht="12.5" x14ac:dyDescent="0.25">
      <c r="A13" s="1" t="s">
        <v>36</v>
      </c>
      <c r="B13" s="1" t="s">
        <v>0</v>
      </c>
    </row>
    <row r="14" spans="1:35" ht="13" x14ac:dyDescent="0.3">
      <c r="A14" s="1" t="s">
        <v>62</v>
      </c>
      <c r="B14" s="1">
        <v>2011</v>
      </c>
      <c r="C14" s="1">
        <v>2012</v>
      </c>
      <c r="D14" s="1">
        <v>2013</v>
      </c>
      <c r="E14" s="1">
        <v>2014</v>
      </c>
      <c r="F14" s="1">
        <v>2015</v>
      </c>
      <c r="G14" s="1">
        <v>2016</v>
      </c>
      <c r="H14" s="1">
        <v>2017</v>
      </c>
      <c r="I14" s="1">
        <v>2018</v>
      </c>
      <c r="J14" s="1">
        <v>2019</v>
      </c>
      <c r="K14" s="1">
        <v>2020</v>
      </c>
      <c r="L14" s="1">
        <v>2021</v>
      </c>
      <c r="M14" s="1">
        <v>2022</v>
      </c>
      <c r="N14" s="1">
        <v>2023</v>
      </c>
      <c r="O14" s="1">
        <v>2024</v>
      </c>
      <c r="P14" s="1" t="s">
        <v>2</v>
      </c>
      <c r="U14" s="4" t="s">
        <v>38</v>
      </c>
      <c r="V14" s="5"/>
      <c r="W14" s="5"/>
      <c r="X14" s="5"/>
      <c r="Y14" s="5"/>
      <c r="Z14" s="5"/>
      <c r="AA14" s="5"/>
      <c r="AB14" s="5"/>
      <c r="AC14" s="5"/>
      <c r="AD14" s="5"/>
      <c r="AE14" s="5"/>
      <c r="AF14" s="5"/>
      <c r="AG14" s="5"/>
      <c r="AH14" s="5"/>
      <c r="AI14" s="5"/>
    </row>
    <row r="15" spans="1:35" ht="13" x14ac:dyDescent="0.3">
      <c r="U15" s="5"/>
      <c r="V15" s="13">
        <v>2011</v>
      </c>
      <c r="W15" s="13">
        <v>2012</v>
      </c>
      <c r="X15" s="13">
        <v>2013</v>
      </c>
      <c r="Y15" s="13">
        <v>2014</v>
      </c>
      <c r="Z15" s="13">
        <v>2015</v>
      </c>
      <c r="AA15" s="13">
        <v>2016</v>
      </c>
      <c r="AB15" s="13">
        <v>2017</v>
      </c>
      <c r="AC15" s="13">
        <v>2018</v>
      </c>
      <c r="AD15" s="13">
        <v>2019</v>
      </c>
      <c r="AE15" s="13">
        <v>2020</v>
      </c>
      <c r="AF15" s="13">
        <v>2021</v>
      </c>
      <c r="AG15" s="13">
        <v>2022</v>
      </c>
      <c r="AH15" s="13">
        <v>2023</v>
      </c>
      <c r="AI15" s="13">
        <v>2024</v>
      </c>
    </row>
    <row r="16" spans="1:35" ht="12.5" x14ac:dyDescent="0.25">
      <c r="A16" s="1" t="s">
        <v>63</v>
      </c>
      <c r="B16" s="1">
        <v>217664</v>
      </c>
      <c r="C16" s="1">
        <v>212938</v>
      </c>
      <c r="D16" s="1">
        <v>216650</v>
      </c>
      <c r="E16" s="1">
        <v>241582</v>
      </c>
      <c r="F16" s="1">
        <v>263542</v>
      </c>
      <c r="G16" s="1">
        <v>248201</v>
      </c>
      <c r="H16" s="1">
        <v>255753</v>
      </c>
      <c r="I16" s="1">
        <v>257471</v>
      </c>
      <c r="J16" s="1">
        <v>241478</v>
      </c>
      <c r="K16" s="1">
        <v>244837</v>
      </c>
      <c r="L16" s="1">
        <v>252439</v>
      </c>
      <c r="M16" s="1">
        <v>252225</v>
      </c>
      <c r="N16" s="1">
        <v>245129</v>
      </c>
      <c r="O16" s="1">
        <v>250600</v>
      </c>
      <c r="P16" s="1">
        <v>3400509</v>
      </c>
      <c r="U16" s="16" t="s">
        <v>76</v>
      </c>
      <c r="V16" s="8">
        <f>B16/(V4*1000)</f>
        <v>0.25768689829569402</v>
      </c>
      <c r="W16" s="8">
        <f t="shared" ref="W16:AI21" si="2">C16/(W4*1000)</f>
        <v>0.24587178844712737</v>
      </c>
      <c r="X16" s="8">
        <f t="shared" si="2"/>
        <v>0.24545736757311604</v>
      </c>
      <c r="Y16" s="8">
        <f t="shared" si="2"/>
        <v>0.27412191618234094</v>
      </c>
      <c r="Z16" s="8">
        <f t="shared" si="2"/>
        <v>0.29650305906389718</v>
      </c>
      <c r="AA16" s="8">
        <f t="shared" si="2"/>
        <v>0.29838413978074502</v>
      </c>
      <c r="AB16" s="8">
        <f t="shared" si="2"/>
        <v>0.3030755138002913</v>
      </c>
      <c r="AC16" s="8">
        <f t="shared" si="2"/>
        <v>0.29753188283203674</v>
      </c>
      <c r="AD16" s="8">
        <f t="shared" si="2"/>
        <v>0.27520993079805617</v>
      </c>
      <c r="AE16" s="8">
        <f t="shared" si="2"/>
        <v>0.29710379708741519</v>
      </c>
      <c r="AF16" s="8">
        <f t="shared" si="2"/>
        <v>0.31704042520056869</v>
      </c>
      <c r="AG16" s="8">
        <f t="shared" si="2"/>
        <v>0.30347420664761621</v>
      </c>
      <c r="AH16" s="8">
        <f t="shared" si="2"/>
        <v>0.29681162017450602</v>
      </c>
      <c r="AI16" s="8">
        <f t="shared" si="2"/>
        <v>0.2934182286952724</v>
      </c>
    </row>
    <row r="17" spans="1:35" ht="12.5" x14ac:dyDescent="0.25">
      <c r="A17" s="1" t="s">
        <v>64</v>
      </c>
      <c r="B17" s="1">
        <v>133799</v>
      </c>
      <c r="C17" s="1">
        <v>126848</v>
      </c>
      <c r="D17" s="1">
        <v>120417</v>
      </c>
      <c r="E17" s="1">
        <v>135092</v>
      </c>
      <c r="F17" s="1">
        <v>141967</v>
      </c>
      <c r="G17" s="1">
        <v>149826</v>
      </c>
      <c r="H17" s="1">
        <v>150745</v>
      </c>
      <c r="I17" s="1">
        <v>153962</v>
      </c>
      <c r="J17" s="1">
        <v>136706</v>
      </c>
      <c r="K17" s="1">
        <v>138638</v>
      </c>
      <c r="L17" s="1">
        <v>159888</v>
      </c>
      <c r="M17" s="1">
        <v>151551</v>
      </c>
      <c r="N17" s="1">
        <v>148532</v>
      </c>
      <c r="O17" s="1">
        <v>133800</v>
      </c>
      <c r="P17" s="1">
        <v>1981771</v>
      </c>
      <c r="U17" s="5" t="s">
        <v>71</v>
      </c>
      <c r="V17" s="8">
        <f t="shared" ref="V17:AI23" si="3">B17/(V5*1000)</f>
        <v>0.17409571692709655</v>
      </c>
      <c r="W17" s="8">
        <f t="shared" si="2"/>
        <v>0.15995379740211266</v>
      </c>
      <c r="X17" s="8">
        <f t="shared" si="2"/>
        <v>0.16595484295087795</v>
      </c>
      <c r="Y17" s="8">
        <f t="shared" si="2"/>
        <v>0.19003649029223182</v>
      </c>
      <c r="Z17" s="8">
        <f t="shared" si="2"/>
        <v>0.20462502396254781</v>
      </c>
      <c r="AA17" s="8">
        <f t="shared" si="2"/>
        <v>0.20768754132583681</v>
      </c>
      <c r="AB17" s="8">
        <f t="shared" si="2"/>
        <v>0.21997641832949547</v>
      </c>
      <c r="AC17" s="8">
        <f t="shared" si="2"/>
        <v>0.22174310050322182</v>
      </c>
      <c r="AD17" s="8">
        <f t="shared" si="2"/>
        <v>0.1995766299745978</v>
      </c>
      <c r="AE17" s="8">
        <f t="shared" si="2"/>
        <v>0.20886042577167538</v>
      </c>
      <c r="AF17" s="8">
        <f t="shared" si="2"/>
        <v>0.23386653248926387</v>
      </c>
      <c r="AG17" s="8">
        <f t="shared" si="2"/>
        <v>0.22382167636972644</v>
      </c>
      <c r="AH17" s="8">
        <f t="shared" si="2"/>
        <v>0.22401090705625609</v>
      </c>
      <c r="AI17" s="8">
        <f t="shared" si="2"/>
        <v>0.20642191219509184</v>
      </c>
    </row>
    <row r="18" spans="1:35" ht="12.5" x14ac:dyDescent="0.25">
      <c r="A18" s="1" t="s">
        <v>65</v>
      </c>
      <c r="B18" s="1">
        <v>106120</v>
      </c>
      <c r="C18" s="1">
        <v>89420</v>
      </c>
      <c r="D18" s="1">
        <v>91869</v>
      </c>
      <c r="E18" s="1">
        <v>107876</v>
      </c>
      <c r="F18" s="1">
        <v>109825</v>
      </c>
      <c r="G18" s="1">
        <v>120323</v>
      </c>
      <c r="H18" s="1">
        <v>131267</v>
      </c>
      <c r="I18" s="1">
        <v>139623</v>
      </c>
      <c r="J18" s="1">
        <v>122741</v>
      </c>
      <c r="K18" s="1">
        <v>126685</v>
      </c>
      <c r="L18" s="1">
        <v>148715</v>
      </c>
      <c r="M18" s="1">
        <v>144850</v>
      </c>
      <c r="N18" s="1">
        <v>145661</v>
      </c>
      <c r="O18" s="1">
        <v>126880</v>
      </c>
      <c r="P18" s="1">
        <v>1711855</v>
      </c>
      <c r="U18" s="5" t="s">
        <v>72</v>
      </c>
      <c r="V18" s="8">
        <f t="shared" si="3"/>
        <v>0.14050846268223929</v>
      </c>
      <c r="W18" s="8">
        <f t="shared" si="2"/>
        <v>0.11982210263536267</v>
      </c>
      <c r="X18" s="8">
        <f t="shared" si="2"/>
        <v>0.12453402593459148</v>
      </c>
      <c r="Y18" s="8">
        <f t="shared" si="2"/>
        <v>0.14872863187471477</v>
      </c>
      <c r="Z18" s="8">
        <f t="shared" si="2"/>
        <v>0.14864054635297749</v>
      </c>
      <c r="AA18" s="8">
        <f t="shared" si="2"/>
        <v>0.15625531627536715</v>
      </c>
      <c r="AB18" s="8">
        <f t="shared" si="2"/>
        <v>0.15790701954665803</v>
      </c>
      <c r="AC18" s="8">
        <f t="shared" si="2"/>
        <v>0.16256536181717204</v>
      </c>
      <c r="AD18" s="8">
        <f t="shared" si="2"/>
        <v>0.13946921680161989</v>
      </c>
      <c r="AE18" s="8">
        <f t="shared" si="2"/>
        <v>0.14376614297970466</v>
      </c>
      <c r="AF18" s="8">
        <f t="shared" si="2"/>
        <v>0.16453668289002157</v>
      </c>
      <c r="AG18" s="8">
        <f t="shared" si="2"/>
        <v>0.15866547927709446</v>
      </c>
      <c r="AH18" s="8">
        <f t="shared" si="2"/>
        <v>0.15833750027175686</v>
      </c>
      <c r="AI18" s="8">
        <f t="shared" si="2"/>
        <v>0.13762254024656648</v>
      </c>
    </row>
    <row r="19" spans="1:35" ht="12.5" x14ac:dyDescent="0.25">
      <c r="A19" s="1" t="s">
        <v>66</v>
      </c>
      <c r="B19" s="1">
        <v>70404</v>
      </c>
      <c r="C19" s="1">
        <v>75003</v>
      </c>
      <c r="D19" s="1">
        <v>68244</v>
      </c>
      <c r="E19" s="1">
        <v>81233</v>
      </c>
      <c r="F19" s="1">
        <v>85646</v>
      </c>
      <c r="G19" s="1">
        <v>92186</v>
      </c>
      <c r="H19" s="1">
        <v>98681</v>
      </c>
      <c r="I19" s="1">
        <v>108253</v>
      </c>
      <c r="J19" s="1">
        <v>96009</v>
      </c>
      <c r="K19" s="1">
        <v>95640</v>
      </c>
      <c r="L19" s="1">
        <v>115511</v>
      </c>
      <c r="M19" s="1">
        <v>115064</v>
      </c>
      <c r="N19" s="1">
        <v>114626</v>
      </c>
      <c r="O19" s="1">
        <v>100996</v>
      </c>
      <c r="P19" s="1">
        <v>1317496</v>
      </c>
      <c r="U19" s="5" t="s">
        <v>73</v>
      </c>
      <c r="V19" s="8">
        <f t="shared" si="3"/>
        <v>0.14727483814285267</v>
      </c>
      <c r="W19" s="8">
        <f t="shared" si="2"/>
        <v>0.12879832534529451</v>
      </c>
      <c r="X19" s="8">
        <f t="shared" si="2"/>
        <v>0.13095238095238096</v>
      </c>
      <c r="Y19" s="8">
        <f t="shared" si="2"/>
        <v>0.14927460330586106</v>
      </c>
      <c r="Z19" s="8">
        <f t="shared" si="2"/>
        <v>0.15503418514100353</v>
      </c>
      <c r="AA19" s="8">
        <f t="shared" si="2"/>
        <v>0.16056977833825103</v>
      </c>
      <c r="AB19" s="8">
        <f t="shared" si="2"/>
        <v>0.16386884646999725</v>
      </c>
      <c r="AC19" s="8">
        <f t="shared" si="2"/>
        <v>0.16727496925007262</v>
      </c>
      <c r="AD19" s="8">
        <f t="shared" si="2"/>
        <v>0.14471042540876863</v>
      </c>
      <c r="AE19" s="8">
        <f t="shared" si="2"/>
        <v>0.14405393437141334</v>
      </c>
      <c r="AF19" s="8">
        <f t="shared" si="2"/>
        <v>0.1657278706211836</v>
      </c>
      <c r="AG19" s="8">
        <f t="shared" si="2"/>
        <v>0.15986062349866695</v>
      </c>
      <c r="AH19" s="8">
        <f t="shared" si="2"/>
        <v>0.15703331885739649</v>
      </c>
      <c r="AI19" s="8">
        <f t="shared" si="2"/>
        <v>0.1378248735986681</v>
      </c>
    </row>
    <row r="20" spans="1:35" ht="12.5" x14ac:dyDescent="0.25">
      <c r="A20" s="1" t="s">
        <v>67</v>
      </c>
      <c r="B20" s="1">
        <v>118740</v>
      </c>
      <c r="C20" s="1">
        <v>102890</v>
      </c>
      <c r="D20" s="1">
        <v>101941</v>
      </c>
      <c r="E20" s="1">
        <v>117863</v>
      </c>
      <c r="F20" s="1">
        <v>122740</v>
      </c>
      <c r="G20" s="1">
        <v>135367</v>
      </c>
      <c r="H20" s="1">
        <v>143806</v>
      </c>
      <c r="I20" s="1">
        <v>160300</v>
      </c>
      <c r="J20" s="1">
        <v>145086</v>
      </c>
      <c r="K20" s="1">
        <v>145628</v>
      </c>
      <c r="L20" s="1">
        <v>176733</v>
      </c>
      <c r="M20" s="1">
        <v>181680</v>
      </c>
      <c r="N20" s="1">
        <v>177805</v>
      </c>
      <c r="O20" s="1">
        <v>166014</v>
      </c>
      <c r="P20" s="1">
        <v>1996593</v>
      </c>
      <c r="U20" s="5" t="s">
        <v>74</v>
      </c>
      <c r="V20" s="8">
        <f t="shared" si="3"/>
        <v>0.14593193530031329</v>
      </c>
      <c r="W20" s="8">
        <f t="shared" si="2"/>
        <v>0.1208311264927735</v>
      </c>
      <c r="X20" s="8">
        <f t="shared" si="2"/>
        <v>0.13532320476825763</v>
      </c>
      <c r="Y20" s="8">
        <f t="shared" si="2"/>
        <v>0.15158467935370445</v>
      </c>
      <c r="Z20" s="8">
        <f t="shared" si="2"/>
        <v>0.15567528626293067</v>
      </c>
      <c r="AA20" s="8">
        <f t="shared" si="2"/>
        <v>0.16370300856445594</v>
      </c>
      <c r="AB20" s="8">
        <f t="shared" si="2"/>
        <v>0.16722289020728726</v>
      </c>
      <c r="AC20" s="8">
        <f t="shared" si="2"/>
        <v>0.17343173032501949</v>
      </c>
      <c r="AD20" s="8">
        <f t="shared" si="2"/>
        <v>0.14999147106105171</v>
      </c>
      <c r="AE20" s="8">
        <f t="shared" si="2"/>
        <v>0.14966660363241716</v>
      </c>
      <c r="AF20" s="8">
        <f t="shared" si="2"/>
        <v>0.17061969628220849</v>
      </c>
      <c r="AG20" s="8">
        <f t="shared" si="2"/>
        <v>0.16756113149878119</v>
      </c>
      <c r="AH20" s="8">
        <f t="shared" si="2"/>
        <v>0.15805493009955046</v>
      </c>
      <c r="AI20" s="8">
        <f t="shared" si="2"/>
        <v>0.14283968887665199</v>
      </c>
    </row>
    <row r="21" spans="1:35" ht="12.5" x14ac:dyDescent="0.25">
      <c r="A21" s="1" t="s">
        <v>68</v>
      </c>
      <c r="B21" s="1">
        <v>476211</v>
      </c>
      <c r="C21" s="1">
        <v>394551</v>
      </c>
      <c r="D21" s="1">
        <v>438471</v>
      </c>
      <c r="E21" s="1">
        <v>434319</v>
      </c>
      <c r="F21" s="1">
        <v>451824</v>
      </c>
      <c r="G21" s="1">
        <v>504114</v>
      </c>
      <c r="H21" s="1">
        <v>525723</v>
      </c>
      <c r="I21" s="1">
        <v>595394</v>
      </c>
      <c r="J21" s="1">
        <v>499318</v>
      </c>
      <c r="K21" s="1">
        <v>512081</v>
      </c>
      <c r="L21" s="1">
        <v>599646</v>
      </c>
      <c r="M21" s="1">
        <v>587197</v>
      </c>
      <c r="N21" s="1">
        <v>554411</v>
      </c>
      <c r="O21" s="1">
        <v>538185</v>
      </c>
      <c r="P21" s="1">
        <v>7111445</v>
      </c>
      <c r="U21" s="5" t="s">
        <v>75</v>
      </c>
      <c r="V21" s="8">
        <f t="shared" si="3"/>
        <v>0.13874928652988824</v>
      </c>
      <c r="W21" s="8">
        <f t="shared" si="2"/>
        <v>0.12407775288856239</v>
      </c>
      <c r="X21" s="8">
        <f t="shared" si="2"/>
        <v>0.13333169128372702</v>
      </c>
      <c r="Y21" s="8">
        <f t="shared" si="2"/>
        <v>0.13345876617959268</v>
      </c>
      <c r="Z21" s="8">
        <f t="shared" si="2"/>
        <v>0.13726560060080131</v>
      </c>
      <c r="AA21" s="8">
        <f t="shared" si="2"/>
        <v>0.15047047207195161</v>
      </c>
      <c r="AB21" s="8">
        <f t="shared" si="2"/>
        <v>0.1531253595317604</v>
      </c>
      <c r="AC21" s="8">
        <f t="shared" si="2"/>
        <v>0.16177237359741747</v>
      </c>
      <c r="AD21" s="8">
        <f t="shared" si="2"/>
        <v>0.1352173717593548</v>
      </c>
      <c r="AE21" s="8">
        <f t="shared" si="2"/>
        <v>0.13990974516684193</v>
      </c>
      <c r="AF21" s="8">
        <f t="shared" si="2"/>
        <v>0.15690499079732287</v>
      </c>
      <c r="AG21" s="8">
        <f t="shared" si="2"/>
        <v>0.14984710260521442</v>
      </c>
      <c r="AH21" s="8">
        <f t="shared" si="2"/>
        <v>0.14016417895354247</v>
      </c>
      <c r="AI21" s="8">
        <f t="shared" si="2"/>
        <v>0.13650627535468018</v>
      </c>
    </row>
    <row r="22" spans="1:35" ht="12.5" x14ac:dyDescent="0.25">
      <c r="U22" s="5"/>
      <c r="V22" s="8"/>
      <c r="W22" s="8"/>
      <c r="X22" s="8"/>
      <c r="Y22" s="8"/>
      <c r="Z22" s="8"/>
      <c r="AA22" s="8"/>
      <c r="AB22" s="8"/>
      <c r="AC22" s="8"/>
      <c r="AD22" s="8"/>
      <c r="AE22" s="8"/>
      <c r="AF22" s="8"/>
      <c r="AG22" s="8"/>
      <c r="AH22" s="8"/>
      <c r="AI22" s="8"/>
    </row>
    <row r="23" spans="1:35" ht="12.5" x14ac:dyDescent="0.25">
      <c r="A23" s="1" t="s">
        <v>2</v>
      </c>
      <c r="B23" s="1">
        <v>1122938</v>
      </c>
      <c r="C23" s="1">
        <v>1001650</v>
      </c>
      <c r="D23" s="1">
        <v>1037592</v>
      </c>
      <c r="E23" s="1">
        <v>1117965</v>
      </c>
      <c r="F23" s="1">
        <v>1175544</v>
      </c>
      <c r="G23" s="1">
        <v>1250017</v>
      </c>
      <c r="H23" s="1">
        <v>1305975</v>
      </c>
      <c r="I23" s="1">
        <v>1415003</v>
      </c>
      <c r="J23" s="1">
        <v>1241338</v>
      </c>
      <c r="K23" s="1">
        <v>1263509</v>
      </c>
      <c r="L23" s="1">
        <v>1452932</v>
      </c>
      <c r="M23" s="1">
        <v>1432567</v>
      </c>
      <c r="N23" s="1">
        <v>1386164</v>
      </c>
      <c r="O23" s="1">
        <v>1316475</v>
      </c>
      <c r="P23" s="1">
        <v>17519669</v>
      </c>
      <c r="U23" s="5" t="s">
        <v>2</v>
      </c>
      <c r="V23" s="12">
        <f t="shared" si="3"/>
        <v>0.1583306767184233</v>
      </c>
      <c r="W23" s="12">
        <f t="shared" si="3"/>
        <v>0.14270404976612294</v>
      </c>
      <c r="X23" s="12">
        <f t="shared" si="3"/>
        <v>0.15018052631617038</v>
      </c>
      <c r="Y23" s="12">
        <f t="shared" si="3"/>
        <v>0.16217565304580633</v>
      </c>
      <c r="Z23" s="12">
        <f t="shared" si="3"/>
        <v>0.16904667713839638</v>
      </c>
      <c r="AA23" s="12">
        <f t="shared" si="3"/>
        <v>0.17669246105927811</v>
      </c>
      <c r="AB23" s="12">
        <f t="shared" si="3"/>
        <v>0.17998860509744102</v>
      </c>
      <c r="AC23" s="12">
        <f t="shared" si="3"/>
        <v>0.18447488715440855</v>
      </c>
      <c r="AD23" s="12">
        <f t="shared" si="3"/>
        <v>0.15984414996432492</v>
      </c>
      <c r="AE23" s="12">
        <f t="shared" si="3"/>
        <v>0.1648184564049483</v>
      </c>
      <c r="AF23" s="12">
        <f t="shared" si="3"/>
        <v>0.18302845009973817</v>
      </c>
      <c r="AG23" s="12">
        <f t="shared" si="3"/>
        <v>0.17590811309214563</v>
      </c>
      <c r="AH23" s="12">
        <f t="shared" si="3"/>
        <v>0.16864919581736212</v>
      </c>
      <c r="AI23" s="12">
        <f t="shared" si="3"/>
        <v>0.15934498948230477</v>
      </c>
    </row>
    <row r="24" spans="1:35" ht="12.75" customHeight="1" x14ac:dyDescent="0.3">
      <c r="V24" s="15" t="e">
        <f>#REF!</f>
        <v>#REF!</v>
      </c>
      <c r="W24" s="15" t="e">
        <f>#REF!</f>
        <v>#REF!</v>
      </c>
      <c r="X24" s="15" t="e">
        <f>#REF!</f>
        <v>#REF!</v>
      </c>
      <c r="Y24" s="15" t="e">
        <f>#REF!</f>
        <v>#REF!</v>
      </c>
      <c r="Z24" s="15" t="e">
        <f>#REF!</f>
        <v>#REF!</v>
      </c>
      <c r="AA24" s="15" t="e">
        <f>#REF!</f>
        <v>#REF!</v>
      </c>
      <c r="AB24" s="15" t="e">
        <f>#REF!</f>
        <v>#REF!</v>
      </c>
      <c r="AC24" s="15" t="e">
        <f>#REF!</f>
        <v>#REF!</v>
      </c>
      <c r="AD24" s="15" t="e">
        <f>#REF!</f>
        <v>#REF!</v>
      </c>
      <c r="AE24" s="15" t="e">
        <f>#REF!</f>
        <v>#REF!</v>
      </c>
      <c r="AF24" s="15" t="e">
        <f>#REF!</f>
        <v>#REF!</v>
      </c>
      <c r="AG24" s="15" t="e">
        <f>#REF!</f>
        <v>#REF!</v>
      </c>
      <c r="AH24" s="15" t="e">
        <f>#REF!</f>
        <v>#REF!</v>
      </c>
      <c r="AI24" s="15" t="e">
        <f>#REF!</f>
        <v>#REF!</v>
      </c>
    </row>
    <row r="25" spans="1:35" ht="12.5" x14ac:dyDescent="0.25"/>
    <row r="26" spans="1:35" ht="12.5" x14ac:dyDescent="0.25"/>
    <row r="27" spans="1:35" ht="12.5" x14ac:dyDescent="0.25"/>
    <row r="28" spans="1:35" ht="12.5" x14ac:dyDescent="0.25"/>
    <row r="29" spans="1:35" ht="12.5" x14ac:dyDescent="0.25"/>
    <row r="30" spans="1:35" ht="12.5" x14ac:dyDescent="0.25"/>
    <row r="31" spans="1:35" ht="12.5" x14ac:dyDescent="0.25"/>
    <row r="32" spans="1:35" ht="12.5" x14ac:dyDescent="0.25"/>
    <row r="33" ht="12.5" x14ac:dyDescent="0.25"/>
    <row r="34" ht="12.5" x14ac:dyDescent="0.25"/>
    <row r="36" ht="12.5" x14ac:dyDescent="0.25"/>
    <row r="37" ht="12.5" x14ac:dyDescent="0.25"/>
    <row r="38" ht="12.5" x14ac:dyDescent="0.25"/>
    <row r="39" ht="12.5" x14ac:dyDescent="0.25"/>
    <row r="40" ht="12.5" x14ac:dyDescent="0.25"/>
    <row r="41" ht="12.5" x14ac:dyDescent="0.25"/>
    <row r="42" ht="12.5" x14ac:dyDescent="0.25"/>
    <row r="43" ht="12.5" x14ac:dyDescent="0.25"/>
    <row r="44" ht="12.5" x14ac:dyDescent="0.25"/>
    <row r="45" ht="12.5" x14ac:dyDescent="0.25"/>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A35E-771F-4103-B7CA-1FD3D2C8552C}">
  <dimension ref="A1:AI35"/>
  <sheetViews>
    <sheetView zoomScale="55" zoomScaleNormal="55" workbookViewId="0">
      <selection activeCell="R51" sqref="R51"/>
    </sheetView>
  </sheetViews>
  <sheetFormatPr defaultColWidth="11.54296875" defaultRowHeight="12.75" customHeight="1" x14ac:dyDescent="0.25"/>
  <cols>
    <col min="1" max="16384" width="11.54296875" style="1"/>
  </cols>
  <sheetData>
    <row r="1" spans="1:35" ht="12.5" x14ac:dyDescent="0.25">
      <c r="A1" s="1" t="s">
        <v>32</v>
      </c>
      <c r="B1" s="1" t="s">
        <v>0</v>
      </c>
    </row>
    <row r="2" spans="1:35" ht="13" x14ac:dyDescent="0.3">
      <c r="A2" s="1" t="s">
        <v>77</v>
      </c>
      <c r="B2" s="42">
        <v>2011</v>
      </c>
      <c r="C2" s="42">
        <v>2012</v>
      </c>
      <c r="D2" s="42">
        <v>2013</v>
      </c>
      <c r="E2" s="42">
        <v>2014</v>
      </c>
      <c r="F2" s="42">
        <v>2015</v>
      </c>
      <c r="G2" s="42">
        <v>2016</v>
      </c>
      <c r="H2" s="42">
        <v>2017</v>
      </c>
      <c r="I2" s="42">
        <v>2018</v>
      </c>
      <c r="J2" s="42">
        <v>2019</v>
      </c>
      <c r="K2" s="42">
        <v>2020</v>
      </c>
      <c r="L2" s="42">
        <v>2021</v>
      </c>
      <c r="M2" s="42">
        <v>2022</v>
      </c>
      <c r="N2" s="42">
        <v>2023</v>
      </c>
      <c r="O2" s="42">
        <v>2024</v>
      </c>
      <c r="P2" s="42" t="s">
        <v>2</v>
      </c>
      <c r="U2" s="4" t="s">
        <v>37</v>
      </c>
      <c r="V2" s="5"/>
      <c r="W2" s="5"/>
      <c r="X2" s="5"/>
      <c r="Y2" s="5"/>
      <c r="Z2" s="5"/>
      <c r="AA2" s="5"/>
      <c r="AB2" s="5"/>
      <c r="AC2" s="5"/>
      <c r="AD2" s="5"/>
      <c r="AE2" s="5"/>
      <c r="AF2" s="5"/>
      <c r="AG2" s="5"/>
      <c r="AH2" s="5"/>
      <c r="AI2" s="5"/>
    </row>
    <row r="3" spans="1:35" ht="13" x14ac:dyDescent="0.3">
      <c r="B3" s="42"/>
      <c r="C3" s="42"/>
      <c r="D3" s="42"/>
      <c r="E3" s="42"/>
      <c r="F3" s="42"/>
      <c r="G3" s="42"/>
      <c r="H3" s="42"/>
      <c r="I3" s="42"/>
      <c r="J3" s="42"/>
      <c r="K3" s="42"/>
      <c r="L3" s="42"/>
      <c r="M3" s="42"/>
      <c r="N3" s="42"/>
      <c r="O3" s="42"/>
      <c r="P3" s="42"/>
      <c r="U3" s="5"/>
      <c r="V3" s="13">
        <v>2011</v>
      </c>
      <c r="W3" s="13">
        <v>2012</v>
      </c>
      <c r="X3" s="13">
        <v>2013</v>
      </c>
      <c r="Y3" s="13">
        <v>2014</v>
      </c>
      <c r="Z3" s="13">
        <v>2015</v>
      </c>
      <c r="AA3" s="13">
        <v>2016</v>
      </c>
      <c r="AB3" s="13">
        <v>2017</v>
      </c>
      <c r="AC3" s="13">
        <v>2018</v>
      </c>
      <c r="AD3" s="13">
        <v>2019</v>
      </c>
      <c r="AE3" s="13">
        <v>2020</v>
      </c>
      <c r="AF3" s="13">
        <v>2021</v>
      </c>
      <c r="AG3" s="13">
        <v>2022</v>
      </c>
      <c r="AH3" s="13">
        <v>2023</v>
      </c>
      <c r="AI3" s="13">
        <v>2024</v>
      </c>
    </row>
    <row r="4" spans="1:35" ht="12.5" x14ac:dyDescent="0.25">
      <c r="A4" s="1" t="s">
        <v>78</v>
      </c>
      <c r="B4" s="42">
        <v>892433</v>
      </c>
      <c r="C4" s="42">
        <v>869972</v>
      </c>
      <c r="D4" s="42">
        <v>856478</v>
      </c>
      <c r="E4" s="42">
        <v>873846</v>
      </c>
      <c r="F4" s="42">
        <v>877171</v>
      </c>
      <c r="G4" s="42">
        <v>900375</v>
      </c>
      <c r="H4" s="42">
        <v>919410</v>
      </c>
      <c r="I4" s="42">
        <v>928780</v>
      </c>
      <c r="J4" s="42">
        <v>927935</v>
      </c>
      <c r="K4" s="42">
        <v>902985</v>
      </c>
      <c r="L4" s="42">
        <v>951206</v>
      </c>
      <c r="M4" s="42">
        <v>936946</v>
      </c>
      <c r="N4" s="42">
        <v>915863</v>
      </c>
      <c r="O4" s="42">
        <v>910298</v>
      </c>
      <c r="P4" s="42">
        <v>12663698</v>
      </c>
      <c r="U4" s="5" t="s">
        <v>84</v>
      </c>
      <c r="V4" s="6">
        <f>B4/1000</f>
        <v>892.43299999999999</v>
      </c>
      <c r="W4" s="6">
        <f t="shared" ref="W4:AI7" si="0">C4/1000</f>
        <v>869.97199999999998</v>
      </c>
      <c r="X4" s="6">
        <f t="shared" si="0"/>
        <v>856.47799999999995</v>
      </c>
      <c r="Y4" s="6">
        <f t="shared" si="0"/>
        <v>873.846</v>
      </c>
      <c r="Z4" s="6">
        <f t="shared" si="0"/>
        <v>877.17100000000005</v>
      </c>
      <c r="AA4" s="6">
        <f t="shared" si="0"/>
        <v>900.375</v>
      </c>
      <c r="AB4" s="6">
        <f t="shared" si="0"/>
        <v>919.41</v>
      </c>
      <c r="AC4" s="6">
        <f t="shared" si="0"/>
        <v>928.78</v>
      </c>
      <c r="AD4" s="6">
        <f t="shared" si="0"/>
        <v>927.93499999999995</v>
      </c>
      <c r="AE4" s="6">
        <f t="shared" si="0"/>
        <v>902.98500000000001</v>
      </c>
      <c r="AF4" s="6">
        <f t="shared" si="0"/>
        <v>951.20600000000002</v>
      </c>
      <c r="AG4" s="6">
        <f t="shared" si="0"/>
        <v>936.94600000000003</v>
      </c>
      <c r="AH4" s="6">
        <f t="shared" si="0"/>
        <v>915.86300000000006</v>
      </c>
      <c r="AI4" s="6">
        <f t="shared" si="0"/>
        <v>910.298</v>
      </c>
    </row>
    <row r="5" spans="1:35" ht="12.5" x14ac:dyDescent="0.25">
      <c r="A5" s="1" t="s">
        <v>79</v>
      </c>
      <c r="B5" s="42">
        <v>1209556</v>
      </c>
      <c r="C5" s="42">
        <v>1178127</v>
      </c>
      <c r="D5" s="42">
        <v>1141457</v>
      </c>
      <c r="E5" s="42">
        <v>1140283</v>
      </c>
      <c r="F5" s="42">
        <v>1155287</v>
      </c>
      <c r="G5" s="42">
        <v>1182669</v>
      </c>
      <c r="H5" s="42">
        <v>1223660</v>
      </c>
      <c r="I5" s="42">
        <v>1282490</v>
      </c>
      <c r="J5" s="42">
        <v>1293092</v>
      </c>
      <c r="K5" s="42">
        <v>1280223</v>
      </c>
      <c r="L5" s="42">
        <v>1318414</v>
      </c>
      <c r="M5" s="42">
        <v>1374084</v>
      </c>
      <c r="N5" s="42">
        <v>1362196</v>
      </c>
      <c r="O5" s="42">
        <v>1350701</v>
      </c>
      <c r="P5" s="42">
        <v>17492239</v>
      </c>
      <c r="U5" s="5" t="s">
        <v>83</v>
      </c>
      <c r="V5" s="6">
        <f t="shared" ref="V5:AI9" si="1">B5/1000</f>
        <v>1209.556</v>
      </c>
      <c r="W5" s="6">
        <f t="shared" si="0"/>
        <v>1178.127</v>
      </c>
      <c r="X5" s="6">
        <f t="shared" si="0"/>
        <v>1141.4570000000001</v>
      </c>
      <c r="Y5" s="6">
        <f t="shared" si="0"/>
        <v>1140.2829999999999</v>
      </c>
      <c r="Z5" s="6">
        <f t="shared" si="0"/>
        <v>1155.287</v>
      </c>
      <c r="AA5" s="6">
        <f t="shared" si="0"/>
        <v>1182.6690000000001</v>
      </c>
      <c r="AB5" s="6">
        <f t="shared" si="0"/>
        <v>1223.6600000000001</v>
      </c>
      <c r="AC5" s="6">
        <f t="shared" si="0"/>
        <v>1282.49</v>
      </c>
      <c r="AD5" s="6">
        <f t="shared" si="0"/>
        <v>1293.0920000000001</v>
      </c>
      <c r="AE5" s="6">
        <f t="shared" si="0"/>
        <v>1280.223</v>
      </c>
      <c r="AF5" s="6">
        <f t="shared" si="0"/>
        <v>1318.414</v>
      </c>
      <c r="AG5" s="6">
        <f t="shared" si="0"/>
        <v>1374.0840000000001</v>
      </c>
      <c r="AH5" s="6">
        <f t="shared" si="0"/>
        <v>1362.1959999999999</v>
      </c>
      <c r="AI5" s="6">
        <f t="shared" si="0"/>
        <v>1350.701</v>
      </c>
    </row>
    <row r="6" spans="1:35" ht="12.5" x14ac:dyDescent="0.25">
      <c r="A6" s="1" t="s">
        <v>80</v>
      </c>
      <c r="B6" s="42">
        <v>1356077</v>
      </c>
      <c r="C6" s="42">
        <v>1329641</v>
      </c>
      <c r="D6" s="42">
        <v>1292930</v>
      </c>
      <c r="E6" s="42">
        <v>1286057</v>
      </c>
      <c r="F6" s="42">
        <v>1309938</v>
      </c>
      <c r="G6" s="42">
        <v>1338219</v>
      </c>
      <c r="H6" s="42">
        <v>1377875</v>
      </c>
      <c r="I6" s="42">
        <v>1454576</v>
      </c>
      <c r="J6" s="42">
        <v>1476121</v>
      </c>
      <c r="K6" s="42">
        <v>1445256</v>
      </c>
      <c r="L6" s="42">
        <v>1492264</v>
      </c>
      <c r="M6" s="42">
        <v>1512389</v>
      </c>
      <c r="N6" s="42">
        <v>1506557</v>
      </c>
      <c r="O6" s="42">
        <v>1499154</v>
      </c>
      <c r="P6" s="42">
        <v>19677054</v>
      </c>
      <c r="U6" s="5" t="s">
        <v>85</v>
      </c>
      <c r="V6" s="6">
        <f t="shared" si="1"/>
        <v>1356.077</v>
      </c>
      <c r="W6" s="6">
        <f t="shared" si="0"/>
        <v>1329.6410000000001</v>
      </c>
      <c r="X6" s="6">
        <f t="shared" si="0"/>
        <v>1292.93</v>
      </c>
      <c r="Y6" s="6">
        <f t="shared" si="0"/>
        <v>1286.057</v>
      </c>
      <c r="Z6" s="6">
        <f t="shared" si="0"/>
        <v>1309.9380000000001</v>
      </c>
      <c r="AA6" s="6">
        <f t="shared" si="0"/>
        <v>1338.2190000000001</v>
      </c>
      <c r="AB6" s="6">
        <f t="shared" si="0"/>
        <v>1377.875</v>
      </c>
      <c r="AC6" s="6">
        <f t="shared" si="0"/>
        <v>1454.576</v>
      </c>
      <c r="AD6" s="6">
        <f t="shared" si="0"/>
        <v>1476.1210000000001</v>
      </c>
      <c r="AE6" s="6">
        <f t="shared" si="0"/>
        <v>1445.2560000000001</v>
      </c>
      <c r="AF6" s="6">
        <f t="shared" si="0"/>
        <v>1492.2639999999999</v>
      </c>
      <c r="AG6" s="6">
        <f t="shared" si="0"/>
        <v>1512.3889999999999</v>
      </c>
      <c r="AH6" s="6">
        <f t="shared" si="0"/>
        <v>1506.557</v>
      </c>
      <c r="AI6" s="6">
        <f t="shared" si="0"/>
        <v>1499.154</v>
      </c>
    </row>
    <row r="7" spans="1:35" ht="12.5" x14ac:dyDescent="0.25">
      <c r="A7" s="1" t="s">
        <v>81</v>
      </c>
      <c r="B7" s="42">
        <v>3634293</v>
      </c>
      <c r="C7" s="42">
        <v>3641332</v>
      </c>
      <c r="D7" s="42">
        <v>3618100</v>
      </c>
      <c r="E7" s="42">
        <v>3593358</v>
      </c>
      <c r="F7" s="42">
        <v>3611565</v>
      </c>
      <c r="G7" s="42">
        <v>3653272</v>
      </c>
      <c r="H7" s="42">
        <v>3734931</v>
      </c>
      <c r="I7" s="42">
        <v>4004591</v>
      </c>
      <c r="J7" s="42">
        <v>4068779</v>
      </c>
      <c r="K7" s="42">
        <v>4037601</v>
      </c>
      <c r="L7" s="42">
        <v>4176401</v>
      </c>
      <c r="M7" s="42">
        <v>4320418</v>
      </c>
      <c r="N7" s="42">
        <v>4434599</v>
      </c>
      <c r="O7" s="42">
        <v>4501638</v>
      </c>
      <c r="P7" s="42">
        <v>55030878</v>
      </c>
      <c r="U7" s="5" t="s">
        <v>86</v>
      </c>
      <c r="V7" s="6">
        <f t="shared" si="1"/>
        <v>3634.2930000000001</v>
      </c>
      <c r="W7" s="6">
        <f t="shared" si="0"/>
        <v>3641.3319999999999</v>
      </c>
      <c r="X7" s="6">
        <f t="shared" si="0"/>
        <v>3618.1</v>
      </c>
      <c r="Y7" s="6">
        <f t="shared" si="0"/>
        <v>3593.3580000000002</v>
      </c>
      <c r="Z7" s="6">
        <f t="shared" si="0"/>
        <v>3611.5650000000001</v>
      </c>
      <c r="AA7" s="6">
        <f t="shared" si="0"/>
        <v>3653.2719999999999</v>
      </c>
      <c r="AB7" s="6">
        <f t="shared" si="0"/>
        <v>3734.931</v>
      </c>
      <c r="AC7" s="6">
        <f t="shared" si="0"/>
        <v>4004.5909999999999</v>
      </c>
      <c r="AD7" s="6">
        <f t="shared" si="0"/>
        <v>4068.779</v>
      </c>
      <c r="AE7" s="6">
        <f t="shared" si="0"/>
        <v>4037.6010000000001</v>
      </c>
      <c r="AF7" s="6">
        <f t="shared" si="0"/>
        <v>4176.4009999999998</v>
      </c>
      <c r="AG7" s="6">
        <f t="shared" si="0"/>
        <v>4320.4179999999997</v>
      </c>
      <c r="AH7" s="6">
        <f t="shared" si="0"/>
        <v>4434.5990000000002</v>
      </c>
      <c r="AI7" s="6">
        <f t="shared" si="0"/>
        <v>4501.6379999999999</v>
      </c>
    </row>
    <row r="8" spans="1:35" ht="12.5" x14ac:dyDescent="0.25">
      <c r="A8" s="1" t="s">
        <v>2</v>
      </c>
      <c r="B8" s="42"/>
      <c r="C8" s="42"/>
      <c r="D8" s="42"/>
      <c r="E8" s="42"/>
      <c r="F8" s="42"/>
      <c r="G8" s="42"/>
      <c r="H8" s="42"/>
      <c r="I8" s="42"/>
      <c r="J8" s="42"/>
      <c r="K8" s="42"/>
      <c r="L8" s="42"/>
      <c r="M8" s="42"/>
      <c r="N8" s="42"/>
      <c r="O8" s="42"/>
      <c r="P8" s="42"/>
      <c r="U8" s="5"/>
      <c r="V8" s="6"/>
      <c r="W8" s="6"/>
      <c r="X8" s="6"/>
      <c r="Y8" s="6"/>
      <c r="Z8" s="6"/>
      <c r="AA8" s="6"/>
      <c r="AB8" s="6"/>
      <c r="AC8" s="6"/>
      <c r="AD8" s="6"/>
      <c r="AE8" s="6"/>
      <c r="AF8" s="6"/>
      <c r="AG8" s="6"/>
      <c r="AH8" s="6"/>
      <c r="AI8" s="6"/>
    </row>
    <row r="9" spans="1:35" ht="12.75" customHeight="1" x14ac:dyDescent="0.25">
      <c r="B9" s="42">
        <v>7092359</v>
      </c>
      <c r="C9" s="42">
        <v>7019072</v>
      </c>
      <c r="D9" s="42">
        <v>6908965</v>
      </c>
      <c r="E9" s="42">
        <v>6893544</v>
      </c>
      <c r="F9" s="42">
        <v>6953961</v>
      </c>
      <c r="G9" s="42">
        <v>7074535</v>
      </c>
      <c r="H9" s="42">
        <v>7255876</v>
      </c>
      <c r="I9" s="42">
        <v>7670437</v>
      </c>
      <c r="J9" s="42">
        <v>7765927</v>
      </c>
      <c r="K9" s="42">
        <v>7666065</v>
      </c>
      <c r="L9" s="42">
        <v>7938285</v>
      </c>
      <c r="M9" s="42">
        <v>8143837</v>
      </c>
      <c r="N9" s="42">
        <v>8219215</v>
      </c>
      <c r="O9" s="42">
        <v>8261791</v>
      </c>
      <c r="P9" s="42">
        <v>104863869</v>
      </c>
      <c r="U9" s="5" t="s">
        <v>52</v>
      </c>
      <c r="V9" s="6">
        <f t="shared" si="1"/>
        <v>7092.3590000000004</v>
      </c>
      <c r="W9" s="6">
        <f t="shared" si="1"/>
        <v>7019.0720000000001</v>
      </c>
      <c r="X9" s="6">
        <f t="shared" si="1"/>
        <v>6908.9650000000001</v>
      </c>
      <c r="Y9" s="6">
        <f t="shared" si="1"/>
        <v>6893.5439999999999</v>
      </c>
      <c r="Z9" s="6">
        <f t="shared" si="1"/>
        <v>6953.9610000000002</v>
      </c>
      <c r="AA9" s="6">
        <f t="shared" si="1"/>
        <v>7074.5349999999999</v>
      </c>
      <c r="AB9" s="6">
        <f t="shared" si="1"/>
        <v>7255.8760000000002</v>
      </c>
      <c r="AC9" s="6">
        <f t="shared" si="1"/>
        <v>7670.4369999999999</v>
      </c>
      <c r="AD9" s="6">
        <f t="shared" si="1"/>
        <v>7765.9269999999997</v>
      </c>
      <c r="AE9" s="6">
        <f t="shared" si="1"/>
        <v>7666.0649999999996</v>
      </c>
      <c r="AF9" s="6">
        <f t="shared" si="1"/>
        <v>7938.2849999999999</v>
      </c>
      <c r="AG9" s="6">
        <f t="shared" si="1"/>
        <v>8143.8370000000004</v>
      </c>
      <c r="AH9" s="6">
        <f t="shared" si="1"/>
        <v>8219.2150000000001</v>
      </c>
      <c r="AI9" s="6">
        <f t="shared" si="1"/>
        <v>8261.7909999999993</v>
      </c>
    </row>
    <row r="10" spans="1:35" ht="13" x14ac:dyDescent="0.3">
      <c r="A10" s="1" t="s">
        <v>36</v>
      </c>
      <c r="B10" s="1" t="s">
        <v>0</v>
      </c>
      <c r="V10" s="3" t="e">
        <f>#REF!</f>
        <v>#REF!</v>
      </c>
      <c r="W10" s="3" t="e">
        <f>#REF!</f>
        <v>#REF!</v>
      </c>
      <c r="X10" s="3" t="e">
        <f>#REF!</f>
        <v>#REF!</v>
      </c>
      <c r="Y10" s="3" t="e">
        <f>#REF!</f>
        <v>#REF!</v>
      </c>
      <c r="Z10" s="3" t="e">
        <f>#REF!</f>
        <v>#REF!</v>
      </c>
      <c r="AA10" s="3" t="e">
        <f>#REF!</f>
        <v>#REF!</v>
      </c>
      <c r="AB10" s="3" t="e">
        <f>#REF!</f>
        <v>#REF!</v>
      </c>
      <c r="AC10" s="3" t="e">
        <f>#REF!</f>
        <v>#REF!</v>
      </c>
      <c r="AD10" s="3" t="e">
        <f>#REF!</f>
        <v>#REF!</v>
      </c>
      <c r="AE10" s="3" t="e">
        <f>#REF!</f>
        <v>#REF!</v>
      </c>
      <c r="AF10" s="3" t="e">
        <f>#REF!</f>
        <v>#REF!</v>
      </c>
      <c r="AG10" s="3" t="e">
        <f>#REF!</f>
        <v>#REF!</v>
      </c>
      <c r="AH10" s="3" t="e">
        <f>#REF!</f>
        <v>#REF!</v>
      </c>
      <c r="AI10" s="3" t="e">
        <f>#REF!</f>
        <v>#REF!</v>
      </c>
    </row>
    <row r="11" spans="1:35" ht="12.5" x14ac:dyDescent="0.25">
      <c r="A11" s="1" t="s">
        <v>77</v>
      </c>
      <c r="B11" s="42">
        <v>2011</v>
      </c>
      <c r="C11" s="42">
        <v>2012</v>
      </c>
      <c r="D11" s="42">
        <v>2013</v>
      </c>
      <c r="E11" s="42">
        <v>2014</v>
      </c>
      <c r="F11" s="42">
        <v>2015</v>
      </c>
      <c r="G11" s="42">
        <v>2016</v>
      </c>
      <c r="H11" s="42">
        <v>2017</v>
      </c>
      <c r="I11" s="42">
        <v>2018</v>
      </c>
      <c r="J11" s="42">
        <v>2019</v>
      </c>
      <c r="K11" s="42">
        <v>2020</v>
      </c>
      <c r="L11" s="42">
        <v>2021</v>
      </c>
      <c r="M11" s="42">
        <v>2022</v>
      </c>
      <c r="N11" s="42">
        <v>2023</v>
      </c>
      <c r="O11" s="42">
        <v>2024</v>
      </c>
      <c r="P11" s="42" t="s">
        <v>2</v>
      </c>
    </row>
    <row r="12" spans="1:35" ht="13" x14ac:dyDescent="0.3">
      <c r="B12" s="42"/>
      <c r="C12" s="42"/>
      <c r="D12" s="42"/>
      <c r="E12" s="42"/>
      <c r="F12" s="42"/>
      <c r="G12" s="42"/>
      <c r="H12" s="42"/>
      <c r="I12" s="42"/>
      <c r="J12" s="42"/>
      <c r="K12" s="42"/>
      <c r="L12" s="42"/>
      <c r="M12" s="42"/>
      <c r="N12" s="42"/>
      <c r="O12" s="42"/>
      <c r="P12" s="42"/>
      <c r="U12" s="4" t="s">
        <v>38</v>
      </c>
      <c r="V12" s="5"/>
      <c r="W12" s="5"/>
      <c r="X12" s="5"/>
      <c r="Y12" s="5"/>
      <c r="Z12" s="5"/>
      <c r="AA12" s="5"/>
      <c r="AB12" s="5"/>
      <c r="AC12" s="5"/>
      <c r="AD12" s="5"/>
      <c r="AE12" s="5"/>
      <c r="AF12" s="5"/>
      <c r="AG12" s="5"/>
      <c r="AH12" s="5"/>
      <c r="AI12" s="5"/>
    </row>
    <row r="13" spans="1:35" ht="13" x14ac:dyDescent="0.3">
      <c r="A13" s="1" t="s">
        <v>78</v>
      </c>
      <c r="B13" s="42">
        <v>159494</v>
      </c>
      <c r="C13" s="42">
        <v>154592</v>
      </c>
      <c r="D13" s="42">
        <v>161718</v>
      </c>
      <c r="E13" s="42">
        <v>162318</v>
      </c>
      <c r="F13" s="42">
        <v>170123</v>
      </c>
      <c r="G13" s="42">
        <v>183812</v>
      </c>
      <c r="H13" s="42">
        <v>197520</v>
      </c>
      <c r="I13" s="42">
        <v>206799</v>
      </c>
      <c r="J13" s="42">
        <v>176981</v>
      </c>
      <c r="K13" s="42">
        <v>179732</v>
      </c>
      <c r="L13" s="42">
        <v>209346</v>
      </c>
      <c r="M13" s="42">
        <v>193462</v>
      </c>
      <c r="N13" s="42">
        <v>180318</v>
      </c>
      <c r="O13" s="42">
        <v>178386</v>
      </c>
      <c r="P13" s="42">
        <v>2514601</v>
      </c>
      <c r="U13" s="5"/>
      <c r="V13" s="13">
        <v>2011</v>
      </c>
      <c r="W13" s="13">
        <v>2012</v>
      </c>
      <c r="X13" s="13">
        <v>2013</v>
      </c>
      <c r="Y13" s="13">
        <v>2014</v>
      </c>
      <c r="Z13" s="13">
        <v>2015</v>
      </c>
      <c r="AA13" s="13">
        <v>2016</v>
      </c>
      <c r="AB13" s="13">
        <v>2017</v>
      </c>
      <c r="AC13" s="13">
        <v>2018</v>
      </c>
      <c r="AD13" s="13">
        <v>2019</v>
      </c>
      <c r="AE13" s="13">
        <v>2020</v>
      </c>
      <c r="AF13" s="13">
        <v>2021</v>
      </c>
      <c r="AG13" s="13">
        <v>2022</v>
      </c>
      <c r="AH13" s="13">
        <v>2023</v>
      </c>
      <c r="AI13" s="13">
        <v>2024</v>
      </c>
    </row>
    <row r="14" spans="1:35" ht="12.5" x14ac:dyDescent="0.25">
      <c r="A14" s="1" t="s">
        <v>79</v>
      </c>
      <c r="B14" s="42">
        <v>201081</v>
      </c>
      <c r="C14" s="42">
        <v>186004</v>
      </c>
      <c r="D14" s="42">
        <v>186992</v>
      </c>
      <c r="E14" s="42">
        <v>195449</v>
      </c>
      <c r="F14" s="42">
        <v>206884</v>
      </c>
      <c r="G14" s="42">
        <v>221484</v>
      </c>
      <c r="H14" s="42">
        <v>240837</v>
      </c>
      <c r="I14" s="42">
        <v>254582</v>
      </c>
      <c r="J14" s="42">
        <v>220717</v>
      </c>
      <c r="K14" s="42">
        <v>238826</v>
      </c>
      <c r="L14" s="42">
        <v>270785</v>
      </c>
      <c r="M14" s="42">
        <v>276782</v>
      </c>
      <c r="N14" s="42">
        <v>258115</v>
      </c>
      <c r="O14" s="42">
        <v>253646</v>
      </c>
      <c r="P14" s="42">
        <v>3212184</v>
      </c>
      <c r="U14" s="5" t="s">
        <v>82</v>
      </c>
      <c r="V14" s="8">
        <f>B13/(V4*1000)</f>
        <v>0.17871817828341174</v>
      </c>
      <c r="W14" s="8">
        <f t="shared" ref="W14:AI17" si="2">C13/(W4*1000)</f>
        <v>0.17769767302855724</v>
      </c>
      <c r="X14" s="8">
        <f t="shared" si="2"/>
        <v>0.18881745940934852</v>
      </c>
      <c r="Y14" s="8">
        <f t="shared" si="2"/>
        <v>0.18575126509705372</v>
      </c>
      <c r="Z14" s="8">
        <f t="shared" si="2"/>
        <v>0.19394508026371141</v>
      </c>
      <c r="AA14" s="8">
        <f t="shared" si="2"/>
        <v>0.20415049285020131</v>
      </c>
      <c r="AB14" s="8">
        <f t="shared" si="2"/>
        <v>0.21483342578392664</v>
      </c>
      <c r="AC14" s="8">
        <f t="shared" si="2"/>
        <v>0.22265660328603112</v>
      </c>
      <c r="AD14" s="8">
        <f t="shared" si="2"/>
        <v>0.19072564349873644</v>
      </c>
      <c r="AE14" s="8">
        <f t="shared" si="2"/>
        <v>0.19904206603653438</v>
      </c>
      <c r="AF14" s="8">
        <f t="shared" si="2"/>
        <v>0.2200848186407571</v>
      </c>
      <c r="AG14" s="8">
        <f t="shared" si="2"/>
        <v>0.20648148345795808</v>
      </c>
      <c r="AH14" s="8">
        <f t="shared" si="2"/>
        <v>0.19688315828895805</v>
      </c>
      <c r="AI14" s="8">
        <f t="shared" si="2"/>
        <v>0.19596439847170927</v>
      </c>
    </row>
    <row r="15" spans="1:35" ht="12.5" x14ac:dyDescent="0.25">
      <c r="A15" s="1" t="s">
        <v>80</v>
      </c>
      <c r="B15" s="42">
        <v>209999</v>
      </c>
      <c r="C15" s="42">
        <v>187350</v>
      </c>
      <c r="D15" s="42">
        <v>188246</v>
      </c>
      <c r="E15" s="42">
        <v>193306</v>
      </c>
      <c r="F15" s="42">
        <v>213064</v>
      </c>
      <c r="G15" s="42">
        <v>226226</v>
      </c>
      <c r="H15" s="42">
        <v>245168</v>
      </c>
      <c r="I15" s="42">
        <v>258239</v>
      </c>
      <c r="J15" s="42">
        <v>231427</v>
      </c>
      <c r="K15" s="42">
        <v>236987</v>
      </c>
      <c r="L15" s="42">
        <v>285258</v>
      </c>
      <c r="M15" s="42">
        <v>274917</v>
      </c>
      <c r="N15" s="42">
        <v>253014</v>
      </c>
      <c r="O15" s="42">
        <v>247641</v>
      </c>
      <c r="P15" s="42">
        <v>3250842</v>
      </c>
      <c r="U15" s="5" t="s">
        <v>87</v>
      </c>
      <c r="V15" s="8">
        <f t="shared" ref="V15:AI19" si="3">B14/(V5*1000)</f>
        <v>0.16624364642893755</v>
      </c>
      <c r="W15" s="8">
        <f t="shared" si="2"/>
        <v>0.15788111128936014</v>
      </c>
      <c r="X15" s="8">
        <f t="shared" si="2"/>
        <v>0.16381869838285629</v>
      </c>
      <c r="Y15" s="8">
        <f t="shared" si="2"/>
        <v>0.17140394095150063</v>
      </c>
      <c r="Z15" s="8">
        <f t="shared" si="2"/>
        <v>0.17907584868521847</v>
      </c>
      <c r="AA15" s="8">
        <f t="shared" si="2"/>
        <v>0.18727471507243362</v>
      </c>
      <c r="AB15" s="8">
        <f t="shared" si="2"/>
        <v>0.19681692627036923</v>
      </c>
      <c r="AC15" s="8">
        <f t="shared" si="2"/>
        <v>0.19850603123611099</v>
      </c>
      <c r="AD15" s="8">
        <f t="shared" si="2"/>
        <v>0.17068932450281959</v>
      </c>
      <c r="AE15" s="8">
        <f t="shared" si="2"/>
        <v>0.18655031193784208</v>
      </c>
      <c r="AF15" s="8">
        <f t="shared" si="2"/>
        <v>0.20538692701988906</v>
      </c>
      <c r="AG15" s="8">
        <f t="shared" si="2"/>
        <v>0.20143018912963109</v>
      </c>
      <c r="AH15" s="8">
        <f t="shared" si="2"/>
        <v>0.18948447947285119</v>
      </c>
      <c r="AI15" s="8">
        <f t="shared" si="2"/>
        <v>0.18778841505262822</v>
      </c>
    </row>
    <row r="16" spans="1:35" ht="12.5" x14ac:dyDescent="0.25">
      <c r="A16" s="1" t="s">
        <v>81</v>
      </c>
      <c r="B16" s="42">
        <v>552364</v>
      </c>
      <c r="C16" s="42">
        <v>473704</v>
      </c>
      <c r="D16" s="42">
        <v>500636</v>
      </c>
      <c r="E16" s="42">
        <v>566892</v>
      </c>
      <c r="F16" s="42">
        <v>585473</v>
      </c>
      <c r="G16" s="42">
        <v>618495</v>
      </c>
      <c r="H16" s="42">
        <v>622450</v>
      </c>
      <c r="I16" s="42">
        <v>695383</v>
      </c>
      <c r="J16" s="42">
        <v>612213</v>
      </c>
      <c r="K16" s="42">
        <v>607964</v>
      </c>
      <c r="L16" s="42">
        <v>687543</v>
      </c>
      <c r="M16" s="42">
        <v>687406</v>
      </c>
      <c r="N16" s="42">
        <v>694717</v>
      </c>
      <c r="O16" s="42">
        <v>636802</v>
      </c>
      <c r="P16" s="42">
        <v>8542042</v>
      </c>
      <c r="U16" s="5" t="s">
        <v>88</v>
      </c>
      <c r="V16" s="8">
        <f t="shared" si="3"/>
        <v>0.15485772563062422</v>
      </c>
      <c r="W16" s="8">
        <f t="shared" si="2"/>
        <v>0.14090269478754039</v>
      </c>
      <c r="X16" s="8">
        <f t="shared" si="2"/>
        <v>0.14559643600194905</v>
      </c>
      <c r="Y16" s="8">
        <f t="shared" si="2"/>
        <v>0.1503090454000095</v>
      </c>
      <c r="Z16" s="8">
        <f t="shared" si="2"/>
        <v>0.16265197284146274</v>
      </c>
      <c r="AA16" s="8">
        <f t="shared" si="2"/>
        <v>0.16905005832378706</v>
      </c>
      <c r="AB16" s="8">
        <f t="shared" si="2"/>
        <v>0.17793196044633947</v>
      </c>
      <c r="AC16" s="8">
        <f t="shared" si="2"/>
        <v>0.17753558425273069</v>
      </c>
      <c r="AD16" s="8">
        <f t="shared" si="2"/>
        <v>0.15678050783099759</v>
      </c>
      <c r="AE16" s="8">
        <f t="shared" si="2"/>
        <v>0.16397579390779213</v>
      </c>
      <c r="AF16" s="8">
        <f t="shared" si="2"/>
        <v>0.19115786482820735</v>
      </c>
      <c r="AG16" s="8">
        <f t="shared" si="2"/>
        <v>0.18177664608774594</v>
      </c>
      <c r="AH16" s="8">
        <f t="shared" si="2"/>
        <v>0.16794187010514702</v>
      </c>
      <c r="AI16" s="8">
        <f t="shared" si="2"/>
        <v>0.16518716556137661</v>
      </c>
    </row>
    <row r="17" spans="1:35" ht="12.5" x14ac:dyDescent="0.25">
      <c r="A17" s="1" t="s">
        <v>2</v>
      </c>
      <c r="B17" s="42"/>
      <c r="C17" s="42"/>
      <c r="D17" s="42"/>
      <c r="E17" s="42"/>
      <c r="F17" s="42"/>
      <c r="G17" s="42"/>
      <c r="H17" s="42"/>
      <c r="I17" s="42"/>
      <c r="J17" s="42"/>
      <c r="K17" s="42"/>
      <c r="L17" s="42"/>
      <c r="M17" s="42"/>
      <c r="N17" s="42"/>
      <c r="O17" s="42"/>
      <c r="P17" s="42"/>
      <c r="U17" s="5" t="s">
        <v>89</v>
      </c>
      <c r="V17" s="8">
        <f t="shared" si="3"/>
        <v>0.15198664499532646</v>
      </c>
      <c r="W17" s="8">
        <f t="shared" si="2"/>
        <v>0.13009085686226909</v>
      </c>
      <c r="X17" s="8">
        <f t="shared" si="2"/>
        <v>0.13836986263508472</v>
      </c>
      <c r="Y17" s="8">
        <f t="shared" si="2"/>
        <v>0.1577610691726235</v>
      </c>
      <c r="Z17" s="8">
        <f t="shared" si="2"/>
        <v>0.16211060855889345</v>
      </c>
      <c r="AA17" s="8">
        <f t="shared" si="2"/>
        <v>0.16929891888695942</v>
      </c>
      <c r="AB17" s="8">
        <f t="shared" si="2"/>
        <v>0.16665635857797639</v>
      </c>
      <c r="AC17" s="8">
        <f t="shared" si="2"/>
        <v>0.17364644729012277</v>
      </c>
      <c r="AD17" s="8">
        <f t="shared" si="2"/>
        <v>0.15046602432818298</v>
      </c>
      <c r="AE17" s="8">
        <f t="shared" si="2"/>
        <v>0.15057555216575388</v>
      </c>
      <c r="AF17" s="8">
        <f t="shared" si="2"/>
        <v>0.1646257148200089</v>
      </c>
      <c r="AG17" s="8">
        <f t="shared" si="2"/>
        <v>0.15910636424531144</v>
      </c>
      <c r="AH17" s="8">
        <f t="shared" si="2"/>
        <v>0.15665835851223528</v>
      </c>
      <c r="AI17" s="8">
        <f t="shared" si="2"/>
        <v>0.14146006409222597</v>
      </c>
    </row>
    <row r="18" spans="1:35" ht="12.5" x14ac:dyDescent="0.25">
      <c r="B18" s="42">
        <v>1122938</v>
      </c>
      <c r="C18" s="42">
        <v>1001650</v>
      </c>
      <c r="D18" s="42">
        <v>1037592</v>
      </c>
      <c r="E18" s="42">
        <v>1117965</v>
      </c>
      <c r="F18" s="42">
        <v>1175544</v>
      </c>
      <c r="G18" s="42">
        <v>1250017</v>
      </c>
      <c r="H18" s="42">
        <v>1305975</v>
      </c>
      <c r="I18" s="42">
        <v>1415003</v>
      </c>
      <c r="J18" s="42">
        <v>1241338</v>
      </c>
      <c r="K18" s="42">
        <v>1263509</v>
      </c>
      <c r="L18" s="42">
        <v>1452932</v>
      </c>
      <c r="M18" s="42">
        <v>1432567</v>
      </c>
      <c r="N18" s="42">
        <v>1386164</v>
      </c>
      <c r="O18" s="42">
        <v>1316475</v>
      </c>
      <c r="P18" s="42">
        <v>17519669</v>
      </c>
      <c r="U18" s="5"/>
      <c r="V18" s="8"/>
      <c r="W18" s="8"/>
      <c r="X18" s="8"/>
      <c r="Y18" s="8"/>
      <c r="Z18" s="8"/>
      <c r="AA18" s="8"/>
      <c r="AB18" s="8"/>
      <c r="AC18" s="8"/>
      <c r="AD18" s="8"/>
      <c r="AE18" s="8"/>
      <c r="AF18" s="8"/>
      <c r="AG18" s="8"/>
      <c r="AH18" s="8"/>
      <c r="AI18" s="8"/>
    </row>
    <row r="19" spans="1:35" ht="12.5" x14ac:dyDescent="0.25">
      <c r="U19" s="5" t="s">
        <v>52</v>
      </c>
      <c r="V19" s="12">
        <f t="shared" si="3"/>
        <v>0.1583306767184233</v>
      </c>
      <c r="W19" s="12">
        <f t="shared" si="3"/>
        <v>0.14270404976612294</v>
      </c>
      <c r="X19" s="12">
        <f t="shared" si="3"/>
        <v>0.15018052631617038</v>
      </c>
      <c r="Y19" s="12">
        <f t="shared" si="3"/>
        <v>0.16217565304580633</v>
      </c>
      <c r="Z19" s="12">
        <f t="shared" si="3"/>
        <v>0.16904667713839638</v>
      </c>
      <c r="AA19" s="12">
        <f t="shared" si="3"/>
        <v>0.17669246105927811</v>
      </c>
      <c r="AB19" s="12">
        <f t="shared" si="3"/>
        <v>0.17998860509744102</v>
      </c>
      <c r="AC19" s="12">
        <f t="shared" si="3"/>
        <v>0.18447488715440855</v>
      </c>
      <c r="AD19" s="12">
        <f t="shared" si="3"/>
        <v>0.15984414996432492</v>
      </c>
      <c r="AE19" s="12">
        <f t="shared" si="3"/>
        <v>0.1648184564049483</v>
      </c>
      <c r="AF19" s="12">
        <f t="shared" si="3"/>
        <v>0.18302845009973817</v>
      </c>
      <c r="AG19" s="12">
        <f t="shared" si="3"/>
        <v>0.17590811309214563</v>
      </c>
      <c r="AH19" s="12">
        <f t="shared" si="3"/>
        <v>0.16864919581736212</v>
      </c>
      <c r="AI19" s="12">
        <f t="shared" si="3"/>
        <v>0.15934498948230477</v>
      </c>
    </row>
    <row r="20" spans="1:35" ht="13" x14ac:dyDescent="0.3">
      <c r="V20" s="15" t="e">
        <f>#REF!</f>
        <v>#REF!</v>
      </c>
      <c r="W20" s="15" t="e">
        <f>#REF!</f>
        <v>#REF!</v>
      </c>
      <c r="X20" s="15" t="e">
        <f>#REF!</f>
        <v>#REF!</v>
      </c>
      <c r="Y20" s="15" t="e">
        <f>#REF!</f>
        <v>#REF!</v>
      </c>
      <c r="Z20" s="15" t="e">
        <f>#REF!</f>
        <v>#REF!</v>
      </c>
      <c r="AA20" s="15" t="e">
        <f>#REF!</f>
        <v>#REF!</v>
      </c>
      <c r="AB20" s="15" t="e">
        <f>#REF!</f>
        <v>#REF!</v>
      </c>
      <c r="AC20" s="15" t="e">
        <f>#REF!</f>
        <v>#REF!</v>
      </c>
      <c r="AD20" s="15" t="e">
        <f>#REF!</f>
        <v>#REF!</v>
      </c>
      <c r="AE20" s="15" t="e">
        <f>#REF!</f>
        <v>#REF!</v>
      </c>
      <c r="AF20" s="15" t="e">
        <f>#REF!</f>
        <v>#REF!</v>
      </c>
      <c r="AG20" s="15" t="e">
        <f>#REF!</f>
        <v>#REF!</v>
      </c>
      <c r="AH20" s="15" t="e">
        <f>#REF!</f>
        <v>#REF!</v>
      </c>
      <c r="AI20" s="15" t="e">
        <f>#REF!</f>
        <v>#REF!</v>
      </c>
    </row>
    <row r="21" spans="1:35" ht="12.5" x14ac:dyDescent="0.25"/>
    <row r="22" spans="1:35" ht="12.5" x14ac:dyDescent="0.25"/>
    <row r="23" spans="1:35" ht="12.5" x14ac:dyDescent="0.25"/>
    <row r="24" spans="1:35" ht="12.5" x14ac:dyDescent="0.25"/>
    <row r="25" spans="1:35" ht="12.5" x14ac:dyDescent="0.25"/>
    <row r="26" spans="1:35" ht="12.5" x14ac:dyDescent="0.25"/>
    <row r="28" spans="1:35" ht="12.5" x14ac:dyDescent="0.25"/>
    <row r="29" spans="1:35" ht="12.5" x14ac:dyDescent="0.25"/>
    <row r="30" spans="1:35" ht="12.5" x14ac:dyDescent="0.25"/>
    <row r="31" spans="1:35" ht="12.5" x14ac:dyDescent="0.25"/>
    <row r="32" spans="1:35" ht="12.5" x14ac:dyDescent="0.25"/>
    <row r="33" ht="12.5" x14ac:dyDescent="0.25"/>
    <row r="34" ht="12.5" x14ac:dyDescent="0.25"/>
    <row r="35" ht="12.5" x14ac:dyDescent="0.25"/>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24692-C71D-42C5-97D0-7954A24F16F2}">
  <dimension ref="A1:AS107"/>
  <sheetViews>
    <sheetView topLeftCell="T1" zoomScale="73" zoomScaleNormal="25" workbookViewId="0">
      <selection activeCell="AK4" sqref="AK4"/>
    </sheetView>
  </sheetViews>
  <sheetFormatPr defaultColWidth="11.54296875" defaultRowHeight="12.75" customHeight="1" x14ac:dyDescent="0.25"/>
  <cols>
    <col min="1" max="15" width="11.7265625" style="1" bestFit="1" customWidth="1"/>
    <col min="16" max="16" width="12.81640625" style="42" bestFit="1" customWidth="1"/>
    <col min="17" max="16384" width="11.54296875" style="1"/>
  </cols>
  <sheetData>
    <row r="1" spans="1:45" ht="13" x14ac:dyDescent="0.3">
      <c r="A1" s="1" t="s">
        <v>168</v>
      </c>
    </row>
    <row r="2" spans="1:45" ht="13" x14ac:dyDescent="0.3">
      <c r="AI2" s="17" t="s">
        <v>202</v>
      </c>
    </row>
    <row r="3" spans="1:45" ht="13" x14ac:dyDescent="0.3">
      <c r="B3" s="1">
        <v>2011</v>
      </c>
      <c r="C3" s="1">
        <v>2012</v>
      </c>
      <c r="D3" s="1">
        <v>2013</v>
      </c>
      <c r="E3" s="1">
        <v>2014</v>
      </c>
      <c r="F3" s="1">
        <v>2015</v>
      </c>
      <c r="G3" s="1">
        <v>2016</v>
      </c>
      <c r="H3" s="1">
        <v>2017</v>
      </c>
      <c r="I3" s="1">
        <v>2018</v>
      </c>
      <c r="J3" s="1">
        <v>2019</v>
      </c>
      <c r="K3" s="1">
        <v>2020</v>
      </c>
      <c r="L3" s="1">
        <v>2021</v>
      </c>
      <c r="M3" s="1">
        <v>2022</v>
      </c>
      <c r="N3" s="1">
        <v>2023</v>
      </c>
      <c r="O3" s="1">
        <v>2024</v>
      </c>
      <c r="P3" s="42" t="s">
        <v>2</v>
      </c>
      <c r="S3" s="93" t="s">
        <v>232</v>
      </c>
      <c r="T3" s="94"/>
      <c r="U3" s="94"/>
      <c r="V3" s="94"/>
      <c r="W3" s="94"/>
      <c r="X3" s="94"/>
      <c r="Y3" s="94"/>
      <c r="Z3" s="94"/>
      <c r="AA3" s="94"/>
      <c r="AB3" s="94"/>
      <c r="AC3" s="94"/>
      <c r="AD3" s="94"/>
      <c r="AE3" s="94"/>
      <c r="AF3" s="94"/>
      <c r="AG3" s="94"/>
      <c r="AJ3" s="5"/>
      <c r="AK3" s="4" t="s">
        <v>199</v>
      </c>
      <c r="AL3" s="4" t="s">
        <v>201</v>
      </c>
      <c r="AM3" s="4" t="s">
        <v>203</v>
      </c>
      <c r="AO3" s="5"/>
      <c r="AP3" s="4" t="s">
        <v>204</v>
      </c>
      <c r="AQ3" s="4" t="s">
        <v>205</v>
      </c>
      <c r="AR3" s="4" t="s">
        <v>203</v>
      </c>
    </row>
    <row r="4" spans="1:45" ht="13" x14ac:dyDescent="0.3">
      <c r="S4" s="94"/>
      <c r="T4" s="103">
        <v>2011</v>
      </c>
      <c r="U4" s="103">
        <v>2012</v>
      </c>
      <c r="V4" s="103">
        <v>2013</v>
      </c>
      <c r="W4" s="103">
        <v>2014</v>
      </c>
      <c r="X4" s="103">
        <v>2015</v>
      </c>
      <c r="Y4" s="103">
        <v>2016</v>
      </c>
      <c r="Z4" s="103">
        <v>2017</v>
      </c>
      <c r="AA4" s="103">
        <v>2018</v>
      </c>
      <c r="AB4" s="103">
        <v>2019</v>
      </c>
      <c r="AC4" s="103">
        <v>2020</v>
      </c>
      <c r="AD4" s="103">
        <v>2021</v>
      </c>
      <c r="AE4" s="103">
        <v>2022</v>
      </c>
      <c r="AF4" s="103">
        <v>2023</v>
      </c>
      <c r="AG4" s="103">
        <v>2024</v>
      </c>
      <c r="AJ4" s="29" t="s">
        <v>111</v>
      </c>
      <c r="AK4" s="63">
        <f>('T_B.3.1'!V8-'T_B.3.1'!U8)/1000</f>
        <v>13.717000000000001</v>
      </c>
      <c r="AL4" s="63">
        <f>'T_B.3.1'!U8/1000</f>
        <v>11.256</v>
      </c>
      <c r="AM4" s="75">
        <f>AG86</f>
        <v>96.36</v>
      </c>
      <c r="AN4" s="11"/>
      <c r="AO4" s="29" t="s">
        <v>111</v>
      </c>
      <c r="AP4" s="8">
        <f>AK4/AM4</f>
        <v>0.14235159817351598</v>
      </c>
      <c r="AQ4" s="8">
        <f>AL4/AM4</f>
        <v>0.11681195516811956</v>
      </c>
      <c r="AR4" s="75"/>
      <c r="AS4" s="35"/>
    </row>
    <row r="5" spans="1:45" ht="12.5" x14ac:dyDescent="0.25">
      <c r="A5" s="1" t="s">
        <v>109</v>
      </c>
      <c r="B5" s="1">
        <v>84163</v>
      </c>
      <c r="C5" s="1">
        <v>83153</v>
      </c>
      <c r="D5" s="1">
        <v>83870</v>
      </c>
      <c r="E5" s="1">
        <v>83197</v>
      </c>
      <c r="F5" s="1">
        <v>82620</v>
      </c>
      <c r="G5" s="1">
        <v>83076</v>
      </c>
      <c r="H5" s="1">
        <v>83338</v>
      </c>
      <c r="I5" s="1">
        <v>104881</v>
      </c>
      <c r="J5" s="1">
        <v>100819</v>
      </c>
      <c r="K5" s="1">
        <v>99354</v>
      </c>
      <c r="L5" s="1">
        <v>107324</v>
      </c>
      <c r="M5" s="1">
        <v>103978</v>
      </c>
      <c r="N5" s="1">
        <v>102587</v>
      </c>
      <c r="O5" s="1">
        <v>102447</v>
      </c>
      <c r="P5" s="42">
        <v>1304807</v>
      </c>
      <c r="S5" s="88" t="s">
        <v>111</v>
      </c>
      <c r="T5" s="104">
        <f t="shared" ref="T5:AF5" si="0">B5/1000</f>
        <v>84.162999999999997</v>
      </c>
      <c r="U5" s="104">
        <f t="shared" si="0"/>
        <v>83.153000000000006</v>
      </c>
      <c r="V5" s="104">
        <f t="shared" si="0"/>
        <v>83.87</v>
      </c>
      <c r="W5" s="104">
        <f t="shared" si="0"/>
        <v>83.197000000000003</v>
      </c>
      <c r="X5" s="104">
        <f t="shared" si="0"/>
        <v>82.62</v>
      </c>
      <c r="Y5" s="104">
        <f t="shared" si="0"/>
        <v>83.075999999999993</v>
      </c>
      <c r="Z5" s="104">
        <f t="shared" si="0"/>
        <v>83.337999999999994</v>
      </c>
      <c r="AA5" s="104">
        <f t="shared" si="0"/>
        <v>104.881</v>
      </c>
      <c r="AB5" s="104">
        <f t="shared" si="0"/>
        <v>100.819</v>
      </c>
      <c r="AC5" s="104">
        <f t="shared" si="0"/>
        <v>99.353999999999999</v>
      </c>
      <c r="AD5" s="104">
        <f t="shared" si="0"/>
        <v>107.324</v>
      </c>
      <c r="AE5" s="104">
        <f t="shared" si="0"/>
        <v>103.97799999999999</v>
      </c>
      <c r="AF5" s="104">
        <f t="shared" si="0"/>
        <v>102.587</v>
      </c>
      <c r="AG5" s="104">
        <f>O5/1000</f>
        <v>102.447</v>
      </c>
      <c r="AJ5" s="29" t="s">
        <v>180</v>
      </c>
      <c r="AK5" s="63">
        <f>('T_B.3.1'!V9-'T_B.3.1'!U9)/1000</f>
        <v>87.111999999999995</v>
      </c>
      <c r="AL5" s="63">
        <f>'T_B.3.1'!U9/1000</f>
        <v>29.84</v>
      </c>
      <c r="AM5" s="75">
        <f t="shared" ref="AM5:AM23" si="1">AG87</f>
        <v>724.95500000000004</v>
      </c>
      <c r="AN5" s="11"/>
      <c r="AO5" s="29" t="s">
        <v>180</v>
      </c>
      <c r="AP5" s="8">
        <f t="shared" ref="AP5:AP23" si="2">AK5/AM5</f>
        <v>0.12016194108599842</v>
      </c>
      <c r="AQ5" s="8">
        <f t="shared" ref="AQ5:AQ23" si="3">AL5/AM5</f>
        <v>4.1161175521239247E-2</v>
      </c>
      <c r="AR5" s="75"/>
      <c r="AS5" s="35"/>
    </row>
    <row r="6" spans="1:45" ht="12.5" x14ac:dyDescent="0.25">
      <c r="A6" s="1" t="s">
        <v>108</v>
      </c>
      <c r="B6" s="1">
        <v>7980</v>
      </c>
      <c r="C6" s="1">
        <v>8058</v>
      </c>
      <c r="D6" s="1">
        <v>9814</v>
      </c>
      <c r="E6" s="1">
        <v>10300</v>
      </c>
      <c r="F6" s="1">
        <v>10197</v>
      </c>
      <c r="G6" s="1">
        <v>9662</v>
      </c>
      <c r="H6" s="1">
        <v>7925</v>
      </c>
      <c r="I6" s="1">
        <v>8055</v>
      </c>
      <c r="J6" s="1">
        <v>8114</v>
      </c>
      <c r="K6" s="1">
        <v>8069</v>
      </c>
      <c r="L6" s="1">
        <v>7406</v>
      </c>
      <c r="M6" s="1">
        <v>7676</v>
      </c>
      <c r="N6" s="1">
        <v>7972</v>
      </c>
      <c r="O6" s="1">
        <v>8001</v>
      </c>
      <c r="P6" s="42">
        <v>119229</v>
      </c>
      <c r="S6" s="88" t="s">
        <v>180</v>
      </c>
      <c r="T6" s="104">
        <f t="shared" ref="T6:AG6" si="4">(B6+B7)/1000</f>
        <v>642.95500000000004</v>
      </c>
      <c r="U6" s="104">
        <f t="shared" si="4"/>
        <v>631.50300000000004</v>
      </c>
      <c r="V6" s="104">
        <f t="shared" si="4"/>
        <v>619.55499999999995</v>
      </c>
      <c r="W6" s="104">
        <f t="shared" si="4"/>
        <v>616.52800000000002</v>
      </c>
      <c r="X6" s="104">
        <f t="shared" si="4"/>
        <v>618.41700000000003</v>
      </c>
      <c r="Y6" s="104">
        <f t="shared" si="4"/>
        <v>626.02200000000005</v>
      </c>
      <c r="Z6" s="104">
        <f t="shared" si="4"/>
        <v>637.97900000000004</v>
      </c>
      <c r="AA6" s="104">
        <f t="shared" si="4"/>
        <v>667.95600000000002</v>
      </c>
      <c r="AB6" s="104">
        <f t="shared" si="4"/>
        <v>686.04700000000003</v>
      </c>
      <c r="AC6" s="104">
        <f t="shared" si="4"/>
        <v>679.35400000000004</v>
      </c>
      <c r="AD6" s="104">
        <f t="shared" si="4"/>
        <v>687.59500000000003</v>
      </c>
      <c r="AE6" s="104">
        <f t="shared" si="4"/>
        <v>707.29600000000005</v>
      </c>
      <c r="AF6" s="104">
        <f t="shared" si="4"/>
        <v>723.49400000000003</v>
      </c>
      <c r="AG6" s="104">
        <f t="shared" si="4"/>
        <v>726.72299999999996</v>
      </c>
      <c r="AJ6" s="29" t="s">
        <v>181</v>
      </c>
      <c r="AK6" s="63">
        <f>('T_B.3.1'!V10-'T_B.3.1'!U10)/1000</f>
        <v>12.148999999999999</v>
      </c>
      <c r="AL6" s="63">
        <f>'T_B.3.1'!U10/1000</f>
        <v>3.0590000000000002</v>
      </c>
      <c r="AM6" s="75">
        <f t="shared" si="1"/>
        <v>81.022000000000006</v>
      </c>
      <c r="AN6" s="11"/>
      <c r="AO6" s="29" t="s">
        <v>181</v>
      </c>
      <c r="AP6" s="8">
        <f t="shared" si="2"/>
        <v>0.14994692799486556</v>
      </c>
      <c r="AQ6" s="8">
        <f t="shared" si="3"/>
        <v>3.7755177606082296E-2</v>
      </c>
      <c r="AR6" s="75"/>
      <c r="AS6" s="35"/>
    </row>
    <row r="7" spans="1:45" ht="12.5" x14ac:dyDescent="0.25">
      <c r="A7" s="1" t="s">
        <v>107</v>
      </c>
      <c r="B7" s="1">
        <v>634975</v>
      </c>
      <c r="C7" s="1">
        <v>623445</v>
      </c>
      <c r="D7" s="1">
        <v>609741</v>
      </c>
      <c r="E7" s="1">
        <v>606228</v>
      </c>
      <c r="F7" s="1">
        <v>608220</v>
      </c>
      <c r="G7" s="1">
        <v>616360</v>
      </c>
      <c r="H7" s="1">
        <v>630054</v>
      </c>
      <c r="I7" s="1">
        <v>659901</v>
      </c>
      <c r="J7" s="1">
        <v>677933</v>
      </c>
      <c r="K7" s="1">
        <v>671285</v>
      </c>
      <c r="L7" s="1">
        <v>680189</v>
      </c>
      <c r="M7" s="1">
        <v>699620</v>
      </c>
      <c r="N7" s="1">
        <v>715522</v>
      </c>
      <c r="O7" s="1">
        <v>718722</v>
      </c>
      <c r="P7" s="42">
        <v>9152195</v>
      </c>
      <c r="S7" s="88" t="s">
        <v>181</v>
      </c>
      <c r="T7" s="104">
        <f t="shared" ref="T7:AG7" si="5">(B8+B9)/1000</f>
        <v>59.817999999999998</v>
      </c>
      <c r="U7" s="104">
        <f t="shared" si="5"/>
        <v>62.555</v>
      </c>
      <c r="V7" s="104">
        <f t="shared" si="5"/>
        <v>56.959000000000003</v>
      </c>
      <c r="W7" s="104">
        <f t="shared" si="5"/>
        <v>57.018999999999998</v>
      </c>
      <c r="X7" s="104">
        <f t="shared" si="5"/>
        <v>57.875999999999998</v>
      </c>
      <c r="Y7" s="104">
        <f t="shared" si="5"/>
        <v>57.728999999999999</v>
      </c>
      <c r="Z7" s="104">
        <f t="shared" si="5"/>
        <v>58.723999999999997</v>
      </c>
      <c r="AA7" s="104">
        <f t="shared" si="5"/>
        <v>60.719000000000001</v>
      </c>
      <c r="AB7" s="104">
        <f t="shared" si="5"/>
        <v>61.55</v>
      </c>
      <c r="AC7" s="104">
        <f t="shared" si="5"/>
        <v>63.036000000000001</v>
      </c>
      <c r="AD7" s="104">
        <f t="shared" si="5"/>
        <v>65.822999999999993</v>
      </c>
      <c r="AE7" s="104">
        <f t="shared" si="5"/>
        <v>68.751000000000005</v>
      </c>
      <c r="AF7" s="104">
        <f t="shared" si="5"/>
        <v>71.994</v>
      </c>
      <c r="AG7" s="104">
        <f t="shared" si="5"/>
        <v>77.283000000000001</v>
      </c>
      <c r="AJ7" s="29" t="s">
        <v>114</v>
      </c>
      <c r="AK7" s="63">
        <f>('T_B.3.1'!V11-'T_B.3.1'!U11)/1000</f>
        <v>52.917000000000002</v>
      </c>
      <c r="AL7" s="63">
        <f>'T_B.3.1'!U11/1000</f>
        <v>20.2</v>
      </c>
      <c r="AM7" s="75">
        <f t="shared" si="1"/>
        <v>344.43200000000002</v>
      </c>
      <c r="AN7" s="11"/>
      <c r="AO7" s="29" t="s">
        <v>114</v>
      </c>
      <c r="AP7" s="8">
        <f t="shared" si="2"/>
        <v>0.15363555070376736</v>
      </c>
      <c r="AQ7" s="8">
        <f t="shared" si="3"/>
        <v>5.8647280159799316E-2</v>
      </c>
      <c r="AR7" s="75"/>
      <c r="AS7" s="35"/>
    </row>
    <row r="8" spans="1:45" ht="12.5" x14ac:dyDescent="0.25">
      <c r="A8" s="1" t="s">
        <v>106</v>
      </c>
      <c r="B8" s="1">
        <v>23135</v>
      </c>
      <c r="C8" s="1">
        <v>26131</v>
      </c>
      <c r="D8" s="1">
        <v>25628</v>
      </c>
      <c r="E8" s="1">
        <v>25480</v>
      </c>
      <c r="F8" s="1">
        <v>26632</v>
      </c>
      <c r="G8" s="1">
        <v>25999</v>
      </c>
      <c r="H8" s="1">
        <v>26078</v>
      </c>
      <c r="I8" s="1">
        <v>26482</v>
      </c>
      <c r="J8" s="1">
        <v>26771</v>
      </c>
      <c r="K8" s="1">
        <v>27825</v>
      </c>
      <c r="L8" s="1">
        <v>29691</v>
      </c>
      <c r="M8" s="1">
        <v>31646</v>
      </c>
      <c r="N8" s="1">
        <v>34152</v>
      </c>
      <c r="O8" s="1">
        <v>38720</v>
      </c>
      <c r="P8" s="42">
        <v>394370</v>
      </c>
      <c r="S8" s="88" t="s">
        <v>114</v>
      </c>
      <c r="T8" s="104">
        <f t="shared" ref="T8:AF8" si="6">B10/1000</f>
        <v>341.14499999999998</v>
      </c>
      <c r="U8" s="104">
        <f t="shared" si="6"/>
        <v>322.80599999999998</v>
      </c>
      <c r="V8" s="104">
        <f t="shared" si="6"/>
        <v>294.20400000000001</v>
      </c>
      <c r="W8" s="104">
        <f t="shared" si="6"/>
        <v>279.94</v>
      </c>
      <c r="X8" s="104">
        <f t="shared" si="6"/>
        <v>273.99900000000002</v>
      </c>
      <c r="Y8" s="104">
        <f t="shared" si="6"/>
        <v>275.75599999999997</v>
      </c>
      <c r="Z8" s="104">
        <f t="shared" si="6"/>
        <v>284.512</v>
      </c>
      <c r="AA8" s="104">
        <f t="shared" si="6"/>
        <v>298.62099999999998</v>
      </c>
      <c r="AB8" s="104">
        <f t="shared" si="6"/>
        <v>307.88499999999999</v>
      </c>
      <c r="AC8" s="104">
        <f t="shared" si="6"/>
        <v>312.12099999999998</v>
      </c>
      <c r="AD8" s="104">
        <f t="shared" si="6"/>
        <v>319.06</v>
      </c>
      <c r="AE8" s="104">
        <f t="shared" si="6"/>
        <v>326.82499999999999</v>
      </c>
      <c r="AF8" s="104">
        <f t="shared" si="6"/>
        <v>331.31400000000002</v>
      </c>
      <c r="AG8" s="104">
        <f t="shared" ref="AG8:AG22" si="7">O10/1000</f>
        <v>333.12799999999999</v>
      </c>
      <c r="AJ8" s="29" t="s">
        <v>115</v>
      </c>
      <c r="AK8" s="63">
        <f>('T_B.3.1'!V12-'T_B.3.1'!U12)/1000</f>
        <v>200.29</v>
      </c>
      <c r="AL8" s="63">
        <f>'T_B.3.1'!U12/1000</f>
        <v>134.249</v>
      </c>
      <c r="AM8" s="75">
        <f t="shared" si="1"/>
        <v>1294.115</v>
      </c>
      <c r="AN8" s="11"/>
      <c r="AO8" s="29" t="s">
        <v>115</v>
      </c>
      <c r="AP8" s="8">
        <f t="shared" si="2"/>
        <v>0.15476986202926324</v>
      </c>
      <c r="AQ8" s="8">
        <f t="shared" si="3"/>
        <v>0.10373807582788237</v>
      </c>
      <c r="AR8" s="75"/>
      <c r="AS8" s="35"/>
    </row>
    <row r="9" spans="1:45" ht="12.5" x14ac:dyDescent="0.25">
      <c r="A9" s="1" t="s">
        <v>105</v>
      </c>
      <c r="B9" s="1">
        <v>36683</v>
      </c>
      <c r="C9" s="1">
        <v>36424</v>
      </c>
      <c r="D9" s="1">
        <v>31331</v>
      </c>
      <c r="E9" s="1">
        <v>31539</v>
      </c>
      <c r="F9" s="1">
        <v>31244</v>
      </c>
      <c r="G9" s="1">
        <v>31730</v>
      </c>
      <c r="H9" s="1">
        <v>32646</v>
      </c>
      <c r="I9" s="1">
        <v>34237</v>
      </c>
      <c r="J9" s="1">
        <v>34779</v>
      </c>
      <c r="K9" s="1">
        <v>35211</v>
      </c>
      <c r="L9" s="1">
        <v>36132</v>
      </c>
      <c r="M9" s="1">
        <v>37105</v>
      </c>
      <c r="N9" s="1">
        <v>37842</v>
      </c>
      <c r="O9" s="1">
        <v>38563</v>
      </c>
      <c r="P9" s="42">
        <v>485466</v>
      </c>
      <c r="S9" s="88" t="s">
        <v>115</v>
      </c>
      <c r="T9" s="104">
        <f t="shared" ref="T9:AF9" si="8">B11/1000</f>
        <v>1215.519</v>
      </c>
      <c r="U9" s="104">
        <f t="shared" si="8"/>
        <v>1211.3869999999999</v>
      </c>
      <c r="V9" s="104">
        <f t="shared" si="8"/>
        <v>1196.307</v>
      </c>
      <c r="W9" s="104">
        <f t="shared" si="8"/>
        <v>1197.1659999999999</v>
      </c>
      <c r="X9" s="104">
        <f t="shared" si="8"/>
        <v>1216.3430000000001</v>
      </c>
      <c r="Y9" s="104">
        <f t="shared" si="8"/>
        <v>1229.7380000000001</v>
      </c>
      <c r="Z9" s="104">
        <f t="shared" si="8"/>
        <v>1265.7070000000001</v>
      </c>
      <c r="AA9" s="104">
        <f t="shared" si="8"/>
        <v>1307.0229999999999</v>
      </c>
      <c r="AB9" s="104">
        <f t="shared" si="8"/>
        <v>1320.662</v>
      </c>
      <c r="AC9" s="104">
        <f t="shared" si="8"/>
        <v>1325.607</v>
      </c>
      <c r="AD9" s="104">
        <f t="shared" si="8"/>
        <v>1339.123</v>
      </c>
      <c r="AE9" s="104">
        <f t="shared" si="8"/>
        <v>1354.8589999999999</v>
      </c>
      <c r="AF9" s="104">
        <f t="shared" si="8"/>
        <v>1354.643</v>
      </c>
      <c r="AG9" s="104">
        <f t="shared" si="7"/>
        <v>1359.114</v>
      </c>
      <c r="AJ9" s="29" t="s">
        <v>116</v>
      </c>
      <c r="AK9" s="63">
        <f>('T_B.3.1'!V13-'T_B.3.1'!U13)/1000</f>
        <v>57.061999999999998</v>
      </c>
      <c r="AL9" s="63">
        <f>'T_B.3.1'!U13/1000</f>
        <v>23.821000000000002</v>
      </c>
      <c r="AM9" s="75">
        <f t="shared" si="1"/>
        <v>391.22</v>
      </c>
      <c r="AN9" s="11"/>
      <c r="AO9" s="29" t="s">
        <v>116</v>
      </c>
      <c r="AP9" s="8">
        <f t="shared" si="2"/>
        <v>0.14585655130105821</v>
      </c>
      <c r="AQ9" s="8">
        <f t="shared" si="3"/>
        <v>6.0889013854097437E-2</v>
      </c>
      <c r="AR9" s="75"/>
      <c r="AS9" s="35"/>
    </row>
    <row r="10" spans="1:45" ht="12.5" x14ac:dyDescent="0.25">
      <c r="A10" s="1" t="s">
        <v>104</v>
      </c>
      <c r="B10" s="1">
        <v>341145</v>
      </c>
      <c r="C10" s="1">
        <v>322806</v>
      </c>
      <c r="D10" s="1">
        <v>294204</v>
      </c>
      <c r="E10" s="1">
        <v>279940</v>
      </c>
      <c r="F10" s="1">
        <v>273999</v>
      </c>
      <c r="G10" s="1">
        <v>275756</v>
      </c>
      <c r="H10" s="1">
        <v>284512</v>
      </c>
      <c r="I10" s="1">
        <v>298621</v>
      </c>
      <c r="J10" s="1">
        <v>307885</v>
      </c>
      <c r="K10" s="1">
        <v>312121</v>
      </c>
      <c r="L10" s="1">
        <v>319060</v>
      </c>
      <c r="M10" s="1">
        <v>326825</v>
      </c>
      <c r="N10" s="1">
        <v>331314</v>
      </c>
      <c r="O10" s="1">
        <v>333128</v>
      </c>
      <c r="P10" s="42">
        <v>4301316</v>
      </c>
      <c r="S10" s="88" t="s">
        <v>116</v>
      </c>
      <c r="T10" s="104">
        <f t="shared" ref="T10:AF10" si="9">B12/1000</f>
        <v>352.57499999999999</v>
      </c>
      <c r="U10" s="104">
        <f t="shared" si="9"/>
        <v>348.28699999999998</v>
      </c>
      <c r="V10" s="104">
        <f t="shared" si="9"/>
        <v>343.04</v>
      </c>
      <c r="W10" s="104">
        <f t="shared" si="9"/>
        <v>338.85899999999998</v>
      </c>
      <c r="X10" s="104">
        <f t="shared" si="9"/>
        <v>337.8</v>
      </c>
      <c r="Y10" s="104">
        <f t="shared" si="9"/>
        <v>339.90800000000002</v>
      </c>
      <c r="Z10" s="104">
        <f t="shared" si="9"/>
        <v>345.19799999999998</v>
      </c>
      <c r="AA10" s="104">
        <f t="shared" si="9"/>
        <v>368.20499999999998</v>
      </c>
      <c r="AB10" s="104">
        <f t="shared" si="9"/>
        <v>372.97199999999998</v>
      </c>
      <c r="AC10" s="104">
        <f t="shared" si="9"/>
        <v>366.37099999999998</v>
      </c>
      <c r="AD10" s="104">
        <f t="shared" si="9"/>
        <v>372.96100000000001</v>
      </c>
      <c r="AE10" s="104">
        <f t="shared" si="9"/>
        <v>381.30399999999997</v>
      </c>
      <c r="AF10" s="104">
        <f t="shared" si="9"/>
        <v>385.27699999999999</v>
      </c>
      <c r="AG10" s="104">
        <f t="shared" si="7"/>
        <v>386.86200000000002</v>
      </c>
      <c r="AJ10" s="29" t="s">
        <v>117</v>
      </c>
      <c r="AK10" s="63">
        <f>('T_B.3.1'!V14-'T_B.3.1'!U14)/1000</f>
        <v>111.282</v>
      </c>
      <c r="AL10" s="63">
        <f>'T_B.3.1'!U14/1000</f>
        <v>78.691999999999993</v>
      </c>
      <c r="AM10" s="75">
        <f t="shared" si="1"/>
        <v>426.36799999999999</v>
      </c>
      <c r="AN10" s="11"/>
      <c r="AO10" s="29" t="s">
        <v>117</v>
      </c>
      <c r="AP10" s="8">
        <f t="shared" si="2"/>
        <v>0.26099988742119484</v>
      </c>
      <c r="AQ10" s="8">
        <f t="shared" si="3"/>
        <v>0.18456356949864905</v>
      </c>
      <c r="AR10" s="75"/>
      <c r="AS10" s="35"/>
    </row>
    <row r="11" spans="1:45" ht="12.5" x14ac:dyDescent="0.25">
      <c r="A11" s="1" t="s">
        <v>103</v>
      </c>
      <c r="B11" s="1">
        <v>1215519</v>
      </c>
      <c r="C11" s="1">
        <v>1211387</v>
      </c>
      <c r="D11" s="1">
        <v>1196307</v>
      </c>
      <c r="E11" s="1">
        <v>1197166</v>
      </c>
      <c r="F11" s="1">
        <v>1216343</v>
      </c>
      <c r="G11" s="1">
        <v>1229738</v>
      </c>
      <c r="H11" s="1">
        <v>1265707</v>
      </c>
      <c r="I11" s="1">
        <v>1307023</v>
      </c>
      <c r="J11" s="1">
        <v>1320662</v>
      </c>
      <c r="K11" s="1">
        <v>1325607</v>
      </c>
      <c r="L11" s="1">
        <v>1339123</v>
      </c>
      <c r="M11" s="1">
        <v>1354859</v>
      </c>
      <c r="N11" s="1">
        <v>1354643</v>
      </c>
      <c r="O11" s="1">
        <v>1359114</v>
      </c>
      <c r="P11" s="42">
        <v>17893198</v>
      </c>
      <c r="S11" s="88" t="s">
        <v>117</v>
      </c>
      <c r="T11" s="104">
        <f t="shared" ref="T11:AF11" si="10">B13/1000</f>
        <v>303.52699999999999</v>
      </c>
      <c r="U11" s="104">
        <f t="shared" si="10"/>
        <v>308.71600000000001</v>
      </c>
      <c r="V11" s="104">
        <f t="shared" si="10"/>
        <v>311.68299999999999</v>
      </c>
      <c r="W11" s="104">
        <f t="shared" si="10"/>
        <v>323.327</v>
      </c>
      <c r="X11" s="104">
        <f t="shared" si="10"/>
        <v>337.80700000000002</v>
      </c>
      <c r="Y11" s="104">
        <f t="shared" si="10"/>
        <v>356.65100000000001</v>
      </c>
      <c r="Z11" s="104">
        <f t="shared" si="10"/>
        <v>371.767</v>
      </c>
      <c r="AA11" s="104">
        <f t="shared" si="10"/>
        <v>389.17700000000002</v>
      </c>
      <c r="AB11" s="104">
        <f t="shared" si="10"/>
        <v>401.40899999999999</v>
      </c>
      <c r="AC11" s="104">
        <f t="shared" si="10"/>
        <v>380.25299999999999</v>
      </c>
      <c r="AD11" s="104">
        <f t="shared" si="10"/>
        <v>391.46199999999999</v>
      </c>
      <c r="AE11" s="104">
        <f t="shared" si="10"/>
        <v>421.84</v>
      </c>
      <c r="AF11" s="104">
        <f t="shared" si="10"/>
        <v>442.32</v>
      </c>
      <c r="AG11" s="104">
        <f t="shared" si="7"/>
        <v>446.85500000000002</v>
      </c>
      <c r="AJ11" s="29" t="s">
        <v>25</v>
      </c>
      <c r="AK11" s="63">
        <f>('T_B.3.1'!V15-'T_B.3.1'!U15)/1000</f>
        <v>43.301000000000002</v>
      </c>
      <c r="AL11" s="63">
        <f>'T_B.3.1'!U15/1000</f>
        <v>19.588000000000001</v>
      </c>
      <c r="AM11" s="75">
        <f t="shared" si="1"/>
        <v>296.17</v>
      </c>
      <c r="AN11" s="11"/>
      <c r="AO11" s="29" t="s">
        <v>25</v>
      </c>
      <c r="AP11" s="8">
        <f t="shared" si="2"/>
        <v>0.14620319411149002</v>
      </c>
      <c r="AQ11" s="8">
        <f t="shared" si="3"/>
        <v>6.613769119087011E-2</v>
      </c>
      <c r="AR11" s="75"/>
      <c r="AS11" s="35"/>
    </row>
    <row r="12" spans="1:45" ht="12.5" x14ac:dyDescent="0.25">
      <c r="A12" s="1" t="s">
        <v>102</v>
      </c>
      <c r="B12" s="1">
        <v>352575</v>
      </c>
      <c r="C12" s="1">
        <v>348287</v>
      </c>
      <c r="D12" s="1">
        <v>343040</v>
      </c>
      <c r="E12" s="1">
        <v>338859</v>
      </c>
      <c r="F12" s="1">
        <v>337800</v>
      </c>
      <c r="G12" s="1">
        <v>339908</v>
      </c>
      <c r="H12" s="1">
        <v>345198</v>
      </c>
      <c r="I12" s="1">
        <v>368205</v>
      </c>
      <c r="J12" s="1">
        <v>372972</v>
      </c>
      <c r="K12" s="1">
        <v>366371</v>
      </c>
      <c r="L12" s="1">
        <v>372961</v>
      </c>
      <c r="M12" s="1">
        <v>381304</v>
      </c>
      <c r="N12" s="1">
        <v>385277</v>
      </c>
      <c r="O12" s="1">
        <v>386862</v>
      </c>
      <c r="P12" s="42">
        <v>5039619</v>
      </c>
      <c r="S12" s="88" t="s">
        <v>25</v>
      </c>
      <c r="T12" s="104">
        <f t="shared" ref="T12:AF12" si="11">B14/1000</f>
        <v>212.01300000000001</v>
      </c>
      <c r="U12" s="104">
        <f t="shared" si="11"/>
        <v>213.07300000000001</v>
      </c>
      <c r="V12" s="104">
        <f t="shared" si="11"/>
        <v>207.81399999999999</v>
      </c>
      <c r="W12" s="104">
        <f t="shared" si="11"/>
        <v>214.61</v>
      </c>
      <c r="X12" s="104">
        <f t="shared" si="11"/>
        <v>220.33600000000001</v>
      </c>
      <c r="Y12" s="104">
        <f t="shared" si="11"/>
        <v>230.434</v>
      </c>
      <c r="Z12" s="104">
        <f t="shared" si="11"/>
        <v>242.82300000000001</v>
      </c>
      <c r="AA12" s="104">
        <f t="shared" si="11"/>
        <v>254.01300000000001</v>
      </c>
      <c r="AB12" s="104">
        <f t="shared" si="11"/>
        <v>262.81299999999999</v>
      </c>
      <c r="AC12" s="104">
        <f t="shared" si="11"/>
        <v>268.39699999999999</v>
      </c>
      <c r="AD12" s="104">
        <f t="shared" si="11"/>
        <v>283.30799999999999</v>
      </c>
      <c r="AE12" s="104">
        <f t="shared" si="11"/>
        <v>301.173</v>
      </c>
      <c r="AF12" s="104">
        <f t="shared" si="11"/>
        <v>305.50799999999998</v>
      </c>
      <c r="AG12" s="104">
        <f t="shared" si="7"/>
        <v>300.255</v>
      </c>
      <c r="AJ12" s="29" t="s">
        <v>118</v>
      </c>
      <c r="AK12" s="63">
        <f>('T_B.3.1'!V16-'T_B.3.1'!U16)/1000</f>
        <v>42.058</v>
      </c>
      <c r="AL12" s="63">
        <f>'T_B.3.1'!U16/1000</f>
        <v>7.5410000000000004</v>
      </c>
      <c r="AM12" s="75">
        <f t="shared" si="1"/>
        <v>211.97</v>
      </c>
      <c r="AN12" s="11"/>
      <c r="AO12" s="29" t="s">
        <v>118</v>
      </c>
      <c r="AP12" s="8">
        <f t="shared" si="2"/>
        <v>0.19841487002877767</v>
      </c>
      <c r="AQ12" s="8">
        <f t="shared" si="3"/>
        <v>3.5575789026749072E-2</v>
      </c>
      <c r="AR12" s="75"/>
      <c r="AS12" s="35"/>
    </row>
    <row r="13" spans="1:45" ht="12.5" x14ac:dyDescent="0.25">
      <c r="A13" s="1" t="s">
        <v>101</v>
      </c>
      <c r="B13" s="1">
        <v>303527</v>
      </c>
      <c r="C13" s="1">
        <v>308716</v>
      </c>
      <c r="D13" s="1">
        <v>311683</v>
      </c>
      <c r="E13" s="1">
        <v>323327</v>
      </c>
      <c r="F13" s="1">
        <v>337807</v>
      </c>
      <c r="G13" s="1">
        <v>356651</v>
      </c>
      <c r="H13" s="1">
        <v>371767</v>
      </c>
      <c r="I13" s="1">
        <v>389177</v>
      </c>
      <c r="J13" s="1">
        <v>401409</v>
      </c>
      <c r="K13" s="1">
        <v>380253</v>
      </c>
      <c r="L13" s="1">
        <v>391462</v>
      </c>
      <c r="M13" s="1">
        <v>421840</v>
      </c>
      <c r="N13" s="1">
        <v>442320</v>
      </c>
      <c r="O13" s="1">
        <v>446855</v>
      </c>
      <c r="P13" s="42">
        <v>5186794</v>
      </c>
      <c r="S13" s="88" t="s">
        <v>118</v>
      </c>
      <c r="T13" s="104">
        <f t="shared" ref="T13:AF13" si="12">B15/1000</f>
        <v>234.41800000000001</v>
      </c>
      <c r="U13" s="104">
        <f t="shared" si="12"/>
        <v>228.655</v>
      </c>
      <c r="V13" s="104">
        <f t="shared" si="12"/>
        <v>221.49700000000001</v>
      </c>
      <c r="W13" s="104">
        <f t="shared" si="12"/>
        <v>212.691</v>
      </c>
      <c r="X13" s="104">
        <f t="shared" si="12"/>
        <v>218.25899999999999</v>
      </c>
      <c r="Y13" s="104">
        <f t="shared" si="12"/>
        <v>212.601</v>
      </c>
      <c r="Z13" s="104">
        <f t="shared" si="12"/>
        <v>201.126</v>
      </c>
      <c r="AA13" s="104">
        <f t="shared" si="12"/>
        <v>198.83</v>
      </c>
      <c r="AB13" s="104">
        <f t="shared" si="12"/>
        <v>193.5</v>
      </c>
      <c r="AC13" s="104">
        <f t="shared" si="12"/>
        <v>202.88800000000001</v>
      </c>
      <c r="AD13" s="104">
        <f t="shared" si="12"/>
        <v>205.179</v>
      </c>
      <c r="AE13" s="104">
        <f t="shared" si="12"/>
        <v>211.16499999999999</v>
      </c>
      <c r="AF13" s="104">
        <f t="shared" si="12"/>
        <v>214.8</v>
      </c>
      <c r="AG13" s="104">
        <f t="shared" si="7"/>
        <v>211.45400000000001</v>
      </c>
      <c r="AJ13" s="29" t="s">
        <v>119</v>
      </c>
      <c r="AK13" s="63">
        <f>('T_B.3.1'!V17-'T_B.3.1'!U17)/1000</f>
        <v>11.09</v>
      </c>
      <c r="AL13" s="63">
        <f>'T_B.3.1'!U17/1000</f>
        <v>3.6890000000000001</v>
      </c>
      <c r="AM13" s="75">
        <f t="shared" si="1"/>
        <v>65.603999999999999</v>
      </c>
      <c r="AN13" s="11"/>
      <c r="AO13" s="29" t="s">
        <v>119</v>
      </c>
      <c r="AP13" s="8">
        <f t="shared" si="2"/>
        <v>0.16904457045302115</v>
      </c>
      <c r="AQ13" s="8">
        <f t="shared" si="3"/>
        <v>5.6231327358087925E-2</v>
      </c>
      <c r="AR13" s="75"/>
      <c r="AS13" s="35"/>
    </row>
    <row r="14" spans="1:45" ht="12.5" x14ac:dyDescent="0.25">
      <c r="A14" s="1" t="s">
        <v>100</v>
      </c>
      <c r="B14" s="1">
        <v>212013</v>
      </c>
      <c r="C14" s="1">
        <v>213073</v>
      </c>
      <c r="D14" s="1">
        <v>207814</v>
      </c>
      <c r="E14" s="1">
        <v>214610</v>
      </c>
      <c r="F14" s="1">
        <v>220336</v>
      </c>
      <c r="G14" s="1">
        <v>230434</v>
      </c>
      <c r="H14" s="1">
        <v>242823</v>
      </c>
      <c r="I14" s="1">
        <v>254013</v>
      </c>
      <c r="J14" s="1">
        <v>262813</v>
      </c>
      <c r="K14" s="1">
        <v>268397</v>
      </c>
      <c r="L14" s="1">
        <v>283308</v>
      </c>
      <c r="M14" s="1">
        <v>301173</v>
      </c>
      <c r="N14" s="1">
        <v>305508</v>
      </c>
      <c r="O14" s="1">
        <v>300255</v>
      </c>
      <c r="P14" s="42">
        <v>3516570</v>
      </c>
      <c r="S14" s="88" t="s">
        <v>119</v>
      </c>
      <c r="T14" s="104">
        <f t="shared" ref="T14:AF14" si="13">B16/1000</f>
        <v>60.218000000000004</v>
      </c>
      <c r="U14" s="104">
        <f t="shared" si="13"/>
        <v>57.744</v>
      </c>
      <c r="V14" s="104">
        <f t="shared" si="13"/>
        <v>56.151000000000003</v>
      </c>
      <c r="W14" s="104">
        <f t="shared" si="13"/>
        <v>55.402000000000001</v>
      </c>
      <c r="X14" s="104">
        <f t="shared" si="13"/>
        <v>54.902999999999999</v>
      </c>
      <c r="Y14" s="104">
        <f t="shared" si="13"/>
        <v>55.451999999999998</v>
      </c>
      <c r="Z14" s="104">
        <f t="shared" si="13"/>
        <v>56.253</v>
      </c>
      <c r="AA14" s="104">
        <f t="shared" si="13"/>
        <v>56.823999999999998</v>
      </c>
      <c r="AB14" s="104">
        <f t="shared" si="13"/>
        <v>57.832000000000001</v>
      </c>
      <c r="AC14" s="104">
        <f t="shared" si="13"/>
        <v>58.551000000000002</v>
      </c>
      <c r="AD14" s="104">
        <f t="shared" si="13"/>
        <v>59.237000000000002</v>
      </c>
      <c r="AE14" s="104">
        <f t="shared" si="13"/>
        <v>59.555</v>
      </c>
      <c r="AF14" s="104">
        <f t="shared" si="13"/>
        <v>60.932000000000002</v>
      </c>
      <c r="AG14" s="104">
        <f t="shared" si="7"/>
        <v>62.896999999999998</v>
      </c>
      <c r="AJ14" s="29" t="s">
        <v>120</v>
      </c>
      <c r="AK14" s="63">
        <f>('T_B.3.1'!V18-'T_B.3.1'!U18)/1000</f>
        <v>91.421000000000006</v>
      </c>
      <c r="AL14" s="63">
        <f>'T_B.3.1'!U18/1000</f>
        <v>37.241999999999997</v>
      </c>
      <c r="AM14" s="75">
        <f t="shared" si="1"/>
        <v>501.64699999999999</v>
      </c>
      <c r="AN14" s="11"/>
      <c r="AO14" s="29" t="s">
        <v>120</v>
      </c>
      <c r="AP14" s="8">
        <f t="shared" si="2"/>
        <v>0.18224169585385741</v>
      </c>
      <c r="AQ14" s="8">
        <f t="shared" si="3"/>
        <v>7.4239455234457699E-2</v>
      </c>
      <c r="AR14" s="75"/>
      <c r="AS14" s="35"/>
    </row>
    <row r="15" spans="1:45" ht="12.5" x14ac:dyDescent="0.25">
      <c r="A15" s="1" t="s">
        <v>99</v>
      </c>
      <c r="B15" s="1">
        <v>234418</v>
      </c>
      <c r="C15" s="1">
        <v>228655</v>
      </c>
      <c r="D15" s="1">
        <v>221497</v>
      </c>
      <c r="E15" s="1">
        <v>212691</v>
      </c>
      <c r="F15" s="1">
        <v>218259</v>
      </c>
      <c r="G15" s="1">
        <v>212601</v>
      </c>
      <c r="H15" s="1">
        <v>201126</v>
      </c>
      <c r="I15" s="1">
        <v>198830</v>
      </c>
      <c r="J15" s="1">
        <v>193500</v>
      </c>
      <c r="K15" s="1">
        <v>202888</v>
      </c>
      <c r="L15" s="1">
        <v>205179</v>
      </c>
      <c r="M15" s="1">
        <v>211165</v>
      </c>
      <c r="N15" s="1">
        <v>214800</v>
      </c>
      <c r="O15" s="1">
        <v>211454</v>
      </c>
      <c r="P15" s="42">
        <v>2967063</v>
      </c>
      <c r="S15" s="88" t="s">
        <v>120</v>
      </c>
      <c r="T15" s="104">
        <f t="shared" ref="T15:AF15" si="14">B17/1000</f>
        <v>414.92399999999998</v>
      </c>
      <c r="U15" s="104">
        <f t="shared" si="14"/>
        <v>408.90499999999997</v>
      </c>
      <c r="V15" s="104">
        <f t="shared" si="14"/>
        <v>398.959</v>
      </c>
      <c r="W15" s="104">
        <f t="shared" si="14"/>
        <v>403.053</v>
      </c>
      <c r="X15" s="104">
        <f t="shared" si="14"/>
        <v>398.48500000000001</v>
      </c>
      <c r="Y15" s="104">
        <f t="shared" si="14"/>
        <v>410.815</v>
      </c>
      <c r="Z15" s="104">
        <f t="shared" si="14"/>
        <v>417.12299999999999</v>
      </c>
      <c r="AA15" s="104">
        <f t="shared" si="14"/>
        <v>436.76</v>
      </c>
      <c r="AB15" s="104">
        <f t="shared" si="14"/>
        <v>453</v>
      </c>
      <c r="AC15" s="104">
        <f t="shared" si="14"/>
        <v>451.36</v>
      </c>
      <c r="AD15" s="104">
        <f t="shared" si="14"/>
        <v>461.83100000000002</v>
      </c>
      <c r="AE15" s="104">
        <f t="shared" si="14"/>
        <v>481.63400000000001</v>
      </c>
      <c r="AF15" s="104">
        <f t="shared" si="14"/>
        <v>496.33100000000002</v>
      </c>
      <c r="AG15" s="104">
        <f t="shared" si="7"/>
        <v>498.07299999999998</v>
      </c>
      <c r="AJ15" s="29" t="s">
        <v>121</v>
      </c>
      <c r="AK15" s="63">
        <f>('T_B.3.1'!V19-'T_B.3.1'!U19)/1000</f>
        <v>49.191000000000003</v>
      </c>
      <c r="AL15" s="63">
        <f>'T_B.3.1'!U19/1000</f>
        <v>27.571000000000002</v>
      </c>
      <c r="AM15" s="75">
        <f t="shared" si="1"/>
        <v>269.012</v>
      </c>
      <c r="AN15" s="11"/>
      <c r="AO15" s="29" t="s">
        <v>121</v>
      </c>
      <c r="AP15" s="8">
        <f t="shared" si="2"/>
        <v>0.18285801376890251</v>
      </c>
      <c r="AQ15" s="8">
        <f t="shared" si="3"/>
        <v>0.10248985175382512</v>
      </c>
      <c r="AR15" s="75"/>
      <c r="AS15" s="35"/>
    </row>
    <row r="16" spans="1:45" ht="12.5" x14ac:dyDescent="0.25">
      <c r="A16" s="1" t="s">
        <v>98</v>
      </c>
      <c r="B16" s="1">
        <v>60218</v>
      </c>
      <c r="C16" s="1">
        <v>57744</v>
      </c>
      <c r="D16" s="1">
        <v>56151</v>
      </c>
      <c r="E16" s="1">
        <v>55402</v>
      </c>
      <c r="F16" s="1">
        <v>54903</v>
      </c>
      <c r="G16" s="1">
        <v>55452</v>
      </c>
      <c r="H16" s="1">
        <v>56253</v>
      </c>
      <c r="I16" s="1">
        <v>56824</v>
      </c>
      <c r="J16" s="1">
        <v>57832</v>
      </c>
      <c r="K16" s="1">
        <v>58551</v>
      </c>
      <c r="L16" s="1">
        <v>59237</v>
      </c>
      <c r="M16" s="1">
        <v>59555</v>
      </c>
      <c r="N16" s="1">
        <v>60932</v>
      </c>
      <c r="O16" s="1">
        <v>62897</v>
      </c>
      <c r="P16" s="42">
        <v>811951</v>
      </c>
      <c r="S16" s="88" t="s">
        <v>121</v>
      </c>
      <c r="T16" s="104">
        <f t="shared" ref="T16:AF16" si="15">B18/1000</f>
        <v>245.04</v>
      </c>
      <c r="U16" s="104">
        <f t="shared" si="15"/>
        <v>245.75399999999999</v>
      </c>
      <c r="V16" s="104">
        <f t="shared" si="15"/>
        <v>242.12299999999999</v>
      </c>
      <c r="W16" s="104">
        <f t="shared" si="15"/>
        <v>243.65100000000001</v>
      </c>
      <c r="X16" s="104">
        <f t="shared" si="15"/>
        <v>246.86799999999999</v>
      </c>
      <c r="Y16" s="104">
        <f t="shared" si="15"/>
        <v>251.21700000000001</v>
      </c>
      <c r="Z16" s="104">
        <f t="shared" si="15"/>
        <v>259.56400000000002</v>
      </c>
      <c r="AA16" s="104">
        <f t="shared" si="15"/>
        <v>270.73899999999998</v>
      </c>
      <c r="AB16" s="104">
        <f t="shared" si="15"/>
        <v>271.95400000000001</v>
      </c>
      <c r="AC16" s="104">
        <f t="shared" si="15"/>
        <v>269.80700000000002</v>
      </c>
      <c r="AD16" s="104">
        <f t="shared" si="15"/>
        <v>269.40199999999999</v>
      </c>
      <c r="AE16" s="104">
        <f t="shared" si="15"/>
        <v>276.27999999999997</v>
      </c>
      <c r="AF16" s="104">
        <f t="shared" si="15"/>
        <v>278.64699999999999</v>
      </c>
      <c r="AG16" s="104">
        <f t="shared" si="7"/>
        <v>268.17599999999999</v>
      </c>
      <c r="AJ16" s="29" t="s">
        <v>122</v>
      </c>
      <c r="AK16" s="63">
        <f>('T_B.3.1'!V20-'T_B.3.1'!U20)/1000</f>
        <v>58.457999999999998</v>
      </c>
      <c r="AL16" s="63">
        <f>'T_B.3.1'!U20/1000</f>
        <v>16.547999999999998</v>
      </c>
      <c r="AM16" s="75">
        <f t="shared" si="1"/>
        <v>619.85900000000004</v>
      </c>
      <c r="AN16" s="11"/>
      <c r="AO16" s="29" t="s">
        <v>122</v>
      </c>
      <c r="AP16" s="8">
        <f t="shared" si="2"/>
        <v>9.430854436250824E-2</v>
      </c>
      <c r="AQ16" s="8">
        <f t="shared" si="3"/>
        <v>2.6696393857312706E-2</v>
      </c>
      <c r="AR16" s="75"/>
      <c r="AS16" s="35"/>
    </row>
    <row r="17" spans="1:45" ht="12.5" x14ac:dyDescent="0.25">
      <c r="A17" s="1" t="s">
        <v>97</v>
      </c>
      <c r="B17" s="1">
        <v>414924</v>
      </c>
      <c r="C17" s="1">
        <v>408905</v>
      </c>
      <c r="D17" s="1">
        <v>398959</v>
      </c>
      <c r="E17" s="1">
        <v>403053</v>
      </c>
      <c r="F17" s="1">
        <v>398485</v>
      </c>
      <c r="G17" s="1">
        <v>410815</v>
      </c>
      <c r="H17" s="1">
        <v>417123</v>
      </c>
      <c r="I17" s="1">
        <v>436760</v>
      </c>
      <c r="J17" s="1">
        <v>453000</v>
      </c>
      <c r="K17" s="1">
        <v>451360</v>
      </c>
      <c r="L17" s="1">
        <v>461831</v>
      </c>
      <c r="M17" s="1">
        <v>481634</v>
      </c>
      <c r="N17" s="1">
        <v>496331</v>
      </c>
      <c r="O17" s="1">
        <v>498073</v>
      </c>
      <c r="P17" s="42">
        <v>6131253</v>
      </c>
      <c r="S17" s="88" t="s">
        <v>122</v>
      </c>
      <c r="T17" s="104">
        <f t="shared" ref="T17:AF17" si="16">B19/1000</f>
        <v>490.94</v>
      </c>
      <c r="U17" s="104">
        <f t="shared" si="16"/>
        <v>478.97199999999998</v>
      </c>
      <c r="V17" s="104">
        <f t="shared" si="16"/>
        <v>476.53899999999999</v>
      </c>
      <c r="W17" s="104">
        <f t="shared" si="16"/>
        <v>471.18700000000001</v>
      </c>
      <c r="X17" s="104">
        <f t="shared" si="16"/>
        <v>466.78899999999999</v>
      </c>
      <c r="Y17" s="104">
        <f t="shared" si="16"/>
        <v>464.29500000000002</v>
      </c>
      <c r="Z17" s="104">
        <f t="shared" si="16"/>
        <v>469.87299999999999</v>
      </c>
      <c r="AA17" s="104">
        <f t="shared" si="16"/>
        <v>478.673</v>
      </c>
      <c r="AB17" s="104">
        <f t="shared" si="16"/>
        <v>492.21199999999999</v>
      </c>
      <c r="AC17" s="104">
        <f t="shared" si="16"/>
        <v>508.916</v>
      </c>
      <c r="AD17" s="104">
        <f t="shared" si="16"/>
        <v>526.62699999999995</v>
      </c>
      <c r="AE17" s="104">
        <f t="shared" si="16"/>
        <v>542.69600000000003</v>
      </c>
      <c r="AF17" s="104">
        <f t="shared" si="16"/>
        <v>567.72799999999995</v>
      </c>
      <c r="AG17" s="104">
        <f t="shared" si="7"/>
        <v>595.80399999999997</v>
      </c>
      <c r="AJ17" s="29" t="s">
        <v>123</v>
      </c>
      <c r="AK17" s="63">
        <f>('T_B.3.1'!V21-'T_B.3.1'!U21)/1000</f>
        <v>53.831000000000003</v>
      </c>
      <c r="AL17" s="63">
        <f>'T_B.3.1'!U21/1000</f>
        <v>26.792999999999999</v>
      </c>
      <c r="AM17" s="75">
        <f t="shared" si="1"/>
        <v>552.822</v>
      </c>
      <c r="AN17" s="11"/>
      <c r="AO17" s="29" t="s">
        <v>123</v>
      </c>
      <c r="AP17" s="8">
        <f t="shared" si="2"/>
        <v>9.737492357395329E-2</v>
      </c>
      <c r="AQ17" s="8">
        <f t="shared" si="3"/>
        <v>4.8465871474000673E-2</v>
      </c>
      <c r="AR17" s="75"/>
      <c r="AS17" s="35"/>
    </row>
    <row r="18" spans="1:45" ht="12.5" x14ac:dyDescent="0.25">
      <c r="A18" s="1" t="s">
        <v>96</v>
      </c>
      <c r="B18" s="1">
        <v>245040</v>
      </c>
      <c r="C18" s="1">
        <v>245754</v>
      </c>
      <c r="D18" s="1">
        <v>242123</v>
      </c>
      <c r="E18" s="1">
        <v>243651</v>
      </c>
      <c r="F18" s="1">
        <v>246868</v>
      </c>
      <c r="G18" s="1">
        <v>251217</v>
      </c>
      <c r="H18" s="1">
        <v>259564</v>
      </c>
      <c r="I18" s="1">
        <v>270739</v>
      </c>
      <c r="J18" s="1">
        <v>271954</v>
      </c>
      <c r="K18" s="1">
        <v>269807</v>
      </c>
      <c r="L18" s="1">
        <v>269402</v>
      </c>
      <c r="M18" s="1">
        <v>276280</v>
      </c>
      <c r="N18" s="1">
        <v>278647</v>
      </c>
      <c r="O18" s="1">
        <v>268176</v>
      </c>
      <c r="P18" s="42">
        <v>3639222</v>
      </c>
      <c r="S18" s="88" t="s">
        <v>123</v>
      </c>
      <c r="T18" s="104">
        <f t="shared" ref="T18:AF18" si="17">B20/1000</f>
        <v>482.55700000000002</v>
      </c>
      <c r="U18" s="104">
        <f t="shared" si="17"/>
        <v>474.52100000000002</v>
      </c>
      <c r="V18" s="104">
        <f t="shared" si="17"/>
        <v>467.38400000000001</v>
      </c>
      <c r="W18" s="104">
        <f t="shared" si="17"/>
        <v>467.416</v>
      </c>
      <c r="X18" s="104">
        <f t="shared" si="17"/>
        <v>471.05799999999999</v>
      </c>
      <c r="Y18" s="104">
        <f t="shared" si="17"/>
        <v>477.83800000000002</v>
      </c>
      <c r="Z18" s="104">
        <f t="shared" si="17"/>
        <v>482.82600000000002</v>
      </c>
      <c r="AA18" s="104">
        <f t="shared" si="17"/>
        <v>492.88</v>
      </c>
      <c r="AB18" s="104">
        <f t="shared" si="17"/>
        <v>501.06</v>
      </c>
      <c r="AC18" s="104">
        <f t="shared" si="17"/>
        <v>510.86700000000002</v>
      </c>
      <c r="AD18" s="104">
        <f t="shared" si="17"/>
        <v>531.69500000000005</v>
      </c>
      <c r="AE18" s="104">
        <f t="shared" si="17"/>
        <v>548.06600000000003</v>
      </c>
      <c r="AF18" s="104">
        <f t="shared" si="17"/>
        <v>555.88199999999995</v>
      </c>
      <c r="AG18" s="104">
        <f t="shared" si="7"/>
        <v>557.51199999999994</v>
      </c>
      <c r="AJ18" s="29" t="s">
        <v>124</v>
      </c>
      <c r="AK18" s="63">
        <f>('T_B.3.1'!V22-'T_B.3.1'!U22)/1000</f>
        <v>204.54499999999999</v>
      </c>
      <c r="AL18" s="63">
        <f>'T_B.3.1'!U22/1000</f>
        <v>86.320999999999998</v>
      </c>
      <c r="AM18" s="75">
        <f t="shared" si="1"/>
        <v>1451.3420000000001</v>
      </c>
      <c r="AN18" s="11"/>
      <c r="AO18" s="29" t="s">
        <v>124</v>
      </c>
      <c r="AP18" s="8">
        <f t="shared" si="2"/>
        <v>0.14093507939548361</v>
      </c>
      <c r="AQ18" s="8">
        <f t="shared" si="3"/>
        <v>5.9476677447493416E-2</v>
      </c>
      <c r="AR18" s="75"/>
      <c r="AS18" s="35"/>
    </row>
    <row r="19" spans="1:45" ht="12.5" x14ac:dyDescent="0.25">
      <c r="A19" s="1" t="s">
        <v>95</v>
      </c>
      <c r="B19" s="1">
        <v>490940</v>
      </c>
      <c r="C19" s="1">
        <v>478972</v>
      </c>
      <c r="D19" s="1">
        <v>476539</v>
      </c>
      <c r="E19" s="1">
        <v>471187</v>
      </c>
      <c r="F19" s="1">
        <v>466789</v>
      </c>
      <c r="G19" s="1">
        <v>464295</v>
      </c>
      <c r="H19" s="1">
        <v>469873</v>
      </c>
      <c r="I19" s="1">
        <v>478673</v>
      </c>
      <c r="J19" s="1">
        <v>492212</v>
      </c>
      <c r="K19" s="1">
        <v>508916</v>
      </c>
      <c r="L19" s="1">
        <v>526627</v>
      </c>
      <c r="M19" s="1">
        <v>542696</v>
      </c>
      <c r="N19" s="1">
        <v>567728</v>
      </c>
      <c r="O19" s="1">
        <v>595804</v>
      </c>
      <c r="P19" s="42">
        <v>7031251</v>
      </c>
      <c r="S19" s="88" t="s">
        <v>124</v>
      </c>
      <c r="T19" s="104">
        <f t="shared" ref="T19:AF19" si="18">B21/1000</f>
        <v>1238.585</v>
      </c>
      <c r="U19" s="104">
        <f t="shared" si="18"/>
        <v>1243.8389999999999</v>
      </c>
      <c r="V19" s="104">
        <f t="shared" si="18"/>
        <v>1225.4829999999999</v>
      </c>
      <c r="W19" s="104">
        <f t="shared" si="18"/>
        <v>1193.338</v>
      </c>
      <c r="X19" s="104">
        <f t="shared" si="18"/>
        <v>1168.874</v>
      </c>
      <c r="Y19" s="104">
        <f t="shared" si="18"/>
        <v>1170.105</v>
      </c>
      <c r="Z19" s="104">
        <f t="shared" si="18"/>
        <v>1197.0899999999999</v>
      </c>
      <c r="AA19" s="104">
        <f t="shared" si="18"/>
        <v>1235.597</v>
      </c>
      <c r="AB19" s="104">
        <f t="shared" si="18"/>
        <v>1283.2760000000001</v>
      </c>
      <c r="AC19" s="104">
        <f t="shared" si="18"/>
        <v>1314.489</v>
      </c>
      <c r="AD19" s="104">
        <f t="shared" si="18"/>
        <v>1342.117</v>
      </c>
      <c r="AE19" s="104">
        <f t="shared" si="18"/>
        <v>1360.4760000000001</v>
      </c>
      <c r="AF19" s="104">
        <f t="shared" si="18"/>
        <v>1383.2819999999999</v>
      </c>
      <c r="AG19" s="104">
        <f t="shared" si="7"/>
        <v>1411.126</v>
      </c>
      <c r="AJ19" s="29" t="s">
        <v>125</v>
      </c>
      <c r="AK19" s="63">
        <f>('T_B.3.1'!V23-'T_B.3.1'!U23)/1000</f>
        <v>24.015000000000001</v>
      </c>
      <c r="AL19" s="63">
        <f>'T_B.3.1'!U23/1000</f>
        <v>15.961</v>
      </c>
      <c r="AM19" s="75">
        <f t="shared" si="1"/>
        <v>132.89500000000001</v>
      </c>
      <c r="AN19" s="11"/>
      <c r="AO19" s="29" t="s">
        <v>125</v>
      </c>
      <c r="AP19" s="8">
        <f t="shared" si="2"/>
        <v>0.18070657285827155</v>
      </c>
      <c r="AQ19" s="8">
        <f t="shared" si="3"/>
        <v>0.12010233643101696</v>
      </c>
      <c r="AR19" s="75"/>
      <c r="AS19" s="35"/>
    </row>
    <row r="20" spans="1:45" ht="12.5" x14ac:dyDescent="0.25">
      <c r="A20" s="1" t="s">
        <v>94</v>
      </c>
      <c r="B20" s="1">
        <v>482557</v>
      </c>
      <c r="C20" s="1">
        <v>474521</v>
      </c>
      <c r="D20" s="1">
        <v>467384</v>
      </c>
      <c r="E20" s="1">
        <v>467416</v>
      </c>
      <c r="F20" s="1">
        <v>471058</v>
      </c>
      <c r="G20" s="1">
        <v>477838</v>
      </c>
      <c r="H20" s="1">
        <v>482826</v>
      </c>
      <c r="I20" s="1">
        <v>492880</v>
      </c>
      <c r="J20" s="1">
        <v>501060</v>
      </c>
      <c r="K20" s="1">
        <v>510867</v>
      </c>
      <c r="L20" s="1">
        <v>531695</v>
      </c>
      <c r="M20" s="1">
        <v>548066</v>
      </c>
      <c r="N20" s="1">
        <v>555882</v>
      </c>
      <c r="O20" s="1">
        <v>557512</v>
      </c>
      <c r="P20" s="42">
        <v>7021562</v>
      </c>
      <c r="S20" s="88" t="s">
        <v>125</v>
      </c>
      <c r="T20" s="104">
        <f t="shared" ref="T20:AF20" si="19">B22/1000</f>
        <v>108.13</v>
      </c>
      <c r="U20" s="104">
        <f t="shared" si="19"/>
        <v>106.14100000000001</v>
      </c>
      <c r="V20" s="104">
        <f t="shared" si="19"/>
        <v>103.875</v>
      </c>
      <c r="W20" s="104">
        <f t="shared" si="19"/>
        <v>104.82299999999999</v>
      </c>
      <c r="X20" s="104">
        <f t="shared" si="19"/>
        <v>104.301</v>
      </c>
      <c r="Y20" s="104">
        <f t="shared" si="19"/>
        <v>106.28400000000001</v>
      </c>
      <c r="Z20" s="104">
        <f t="shared" si="19"/>
        <v>110.642</v>
      </c>
      <c r="AA20" s="104">
        <f t="shared" si="19"/>
        <v>114.887</v>
      </c>
      <c r="AB20" s="104">
        <f t="shared" si="19"/>
        <v>117.279</v>
      </c>
      <c r="AC20" s="104">
        <f t="shared" si="19"/>
        <v>112.233</v>
      </c>
      <c r="AD20" s="104">
        <f t="shared" si="19"/>
        <v>114.154</v>
      </c>
      <c r="AE20" s="104">
        <f t="shared" si="19"/>
        <v>124.092</v>
      </c>
      <c r="AF20" s="104">
        <f t="shared" si="19"/>
        <v>128.62700000000001</v>
      </c>
      <c r="AG20" s="104">
        <f t="shared" si="7"/>
        <v>133.268</v>
      </c>
      <c r="AJ20" s="29" t="s">
        <v>126</v>
      </c>
      <c r="AK20" s="63">
        <f>('T_B.3.1'!V24-'T_B.3.1'!U24)/1000</f>
        <v>18.198</v>
      </c>
      <c r="AL20" s="63">
        <f>'T_B.3.1'!U24/1000</f>
        <v>11.042</v>
      </c>
      <c r="AM20" s="75">
        <f t="shared" si="1"/>
        <v>121.126</v>
      </c>
      <c r="AN20" s="11"/>
      <c r="AO20" s="29" t="s">
        <v>126</v>
      </c>
      <c r="AP20" s="8">
        <f t="shared" si="2"/>
        <v>0.15024024569456598</v>
      </c>
      <c r="AQ20" s="8">
        <f t="shared" si="3"/>
        <v>9.1161270082393539E-2</v>
      </c>
      <c r="AR20" s="75"/>
      <c r="AS20" s="35"/>
    </row>
    <row r="21" spans="1:45" ht="12.5" x14ac:dyDescent="0.25">
      <c r="A21" s="1" t="s">
        <v>93</v>
      </c>
      <c r="B21" s="1">
        <v>1238585</v>
      </c>
      <c r="C21" s="1">
        <v>1243839</v>
      </c>
      <c r="D21" s="1">
        <v>1225483</v>
      </c>
      <c r="E21" s="1">
        <v>1193338</v>
      </c>
      <c r="F21" s="1">
        <v>1168874</v>
      </c>
      <c r="G21" s="1">
        <v>1170105</v>
      </c>
      <c r="H21" s="1">
        <v>1197090</v>
      </c>
      <c r="I21" s="1">
        <v>1235597</v>
      </c>
      <c r="J21" s="1">
        <v>1283276</v>
      </c>
      <c r="K21" s="1">
        <v>1314489</v>
      </c>
      <c r="L21" s="1">
        <v>1342117</v>
      </c>
      <c r="M21" s="1">
        <v>1360476</v>
      </c>
      <c r="N21" s="1">
        <v>1383282</v>
      </c>
      <c r="O21" s="1">
        <v>1411126</v>
      </c>
      <c r="P21" s="42">
        <v>17767677</v>
      </c>
      <c r="S21" s="88" t="s">
        <v>126</v>
      </c>
      <c r="T21" s="104">
        <f t="shared" ref="T21:AF21" si="20">B23/1000</f>
        <v>132.15199999999999</v>
      </c>
      <c r="U21" s="104">
        <f t="shared" si="20"/>
        <v>127.233</v>
      </c>
      <c r="V21" s="104">
        <f t="shared" si="20"/>
        <v>123.002</v>
      </c>
      <c r="W21" s="104">
        <f t="shared" si="20"/>
        <v>119.53100000000001</v>
      </c>
      <c r="X21" s="104">
        <f t="shared" si="20"/>
        <v>115.892</v>
      </c>
      <c r="Y21" s="104">
        <f t="shared" si="20"/>
        <v>117.081</v>
      </c>
      <c r="Z21" s="104">
        <f t="shared" si="20"/>
        <v>119.146</v>
      </c>
      <c r="AA21" s="104">
        <f t="shared" si="20"/>
        <v>122.261</v>
      </c>
      <c r="AB21" s="104">
        <f t="shared" si="20"/>
        <v>123.21899999999999</v>
      </c>
      <c r="AC21" s="104">
        <f t="shared" si="20"/>
        <v>121.161</v>
      </c>
      <c r="AD21" s="104">
        <f t="shared" si="20"/>
        <v>119.85</v>
      </c>
      <c r="AE21" s="104">
        <f t="shared" si="20"/>
        <v>117.61499999999999</v>
      </c>
      <c r="AF21" s="104">
        <f t="shared" si="20"/>
        <v>118.583</v>
      </c>
      <c r="AG21" s="104">
        <f t="shared" si="7"/>
        <v>119.383</v>
      </c>
      <c r="AJ21" s="29" t="s">
        <v>159</v>
      </c>
      <c r="AK21" s="63">
        <f>('T_B.3.1'!V25-'T_B.3.1'!U25)/1000</f>
        <v>185.83799999999999</v>
      </c>
      <c r="AL21" s="63">
        <f>'T_B.3.1'!U25/1000</f>
        <v>150.934</v>
      </c>
      <c r="AM21" s="75">
        <f t="shared" si="1"/>
        <v>616.50099999999998</v>
      </c>
      <c r="AN21" s="11"/>
      <c r="AO21" s="29" t="s">
        <v>159</v>
      </c>
      <c r="AP21" s="8">
        <f t="shared" si="2"/>
        <v>0.30143990034079426</v>
      </c>
      <c r="AQ21" s="8">
        <f t="shared" si="3"/>
        <v>0.24482360936965228</v>
      </c>
      <c r="AR21" s="75"/>
      <c r="AS21" s="35"/>
    </row>
    <row r="22" spans="1:45" ht="12.5" x14ac:dyDescent="0.25">
      <c r="A22" s="1" t="s">
        <v>92</v>
      </c>
      <c r="B22" s="1">
        <v>108130</v>
      </c>
      <c r="C22" s="1">
        <v>106141</v>
      </c>
      <c r="D22" s="1">
        <v>103875</v>
      </c>
      <c r="E22" s="1">
        <v>104823</v>
      </c>
      <c r="F22" s="1">
        <v>104301</v>
      </c>
      <c r="G22" s="1">
        <v>106284</v>
      </c>
      <c r="H22" s="1">
        <v>110642</v>
      </c>
      <c r="I22" s="1">
        <v>114887</v>
      </c>
      <c r="J22" s="1">
        <v>117279</v>
      </c>
      <c r="K22" s="1">
        <v>112233</v>
      </c>
      <c r="L22" s="1">
        <v>114154</v>
      </c>
      <c r="M22" s="1">
        <v>124092</v>
      </c>
      <c r="N22" s="1">
        <v>128627</v>
      </c>
      <c r="O22" s="1">
        <v>133268</v>
      </c>
      <c r="P22" s="42">
        <v>1588736</v>
      </c>
      <c r="S22" s="88" t="s">
        <v>159</v>
      </c>
      <c r="T22" s="104">
        <f t="shared" ref="T22:AF22" si="21">B24/1000</f>
        <v>473.68</v>
      </c>
      <c r="U22" s="104">
        <f t="shared" si="21"/>
        <v>465.82799999999997</v>
      </c>
      <c r="V22" s="104">
        <f t="shared" si="21"/>
        <v>480.52</v>
      </c>
      <c r="W22" s="104">
        <f t="shared" si="21"/>
        <v>511.80599999999998</v>
      </c>
      <c r="X22" s="104">
        <f t="shared" si="21"/>
        <v>563.33399999999995</v>
      </c>
      <c r="Y22" s="104">
        <f t="shared" si="21"/>
        <v>609.53300000000002</v>
      </c>
      <c r="Z22" s="104">
        <f t="shared" si="21"/>
        <v>652.18499999999995</v>
      </c>
      <c r="AA22" s="104">
        <f t="shared" si="21"/>
        <v>812.39099999999996</v>
      </c>
      <c r="AB22" s="104">
        <f t="shared" si="21"/>
        <v>758.43799999999999</v>
      </c>
      <c r="AC22" s="104">
        <f t="shared" si="21"/>
        <v>621.29999999999995</v>
      </c>
      <c r="AD22" s="104">
        <f t="shared" si="21"/>
        <v>741.53700000000003</v>
      </c>
      <c r="AE22" s="104">
        <f t="shared" si="21"/>
        <v>756.23199999999997</v>
      </c>
      <c r="AF22" s="104">
        <f t="shared" si="21"/>
        <v>697.26599999999996</v>
      </c>
      <c r="AG22" s="104">
        <f t="shared" si="7"/>
        <v>671.43100000000004</v>
      </c>
      <c r="AJ22" s="29"/>
      <c r="AK22" s="63"/>
      <c r="AL22" s="63"/>
      <c r="AM22" s="75">
        <f t="shared" si="1"/>
        <v>0</v>
      </c>
      <c r="AN22" s="11"/>
      <c r="AO22" s="29"/>
      <c r="AP22" s="8"/>
      <c r="AQ22" s="8"/>
      <c r="AR22" s="75"/>
      <c r="AS22" s="35"/>
    </row>
    <row r="23" spans="1:45" ht="12.5" x14ac:dyDescent="0.25">
      <c r="A23" s="1" t="s">
        <v>91</v>
      </c>
      <c r="B23" s="1">
        <v>132152</v>
      </c>
      <c r="C23" s="1">
        <v>127233</v>
      </c>
      <c r="D23" s="1">
        <v>123002</v>
      </c>
      <c r="E23" s="1">
        <v>119531</v>
      </c>
      <c r="F23" s="1">
        <v>115892</v>
      </c>
      <c r="G23" s="1">
        <v>117081</v>
      </c>
      <c r="H23" s="1">
        <v>119146</v>
      </c>
      <c r="I23" s="1">
        <v>122261</v>
      </c>
      <c r="J23" s="1">
        <v>123219</v>
      </c>
      <c r="K23" s="1">
        <v>121161</v>
      </c>
      <c r="L23" s="1">
        <v>119850</v>
      </c>
      <c r="M23" s="1">
        <v>117615</v>
      </c>
      <c r="N23" s="1">
        <v>118583</v>
      </c>
      <c r="O23" s="1">
        <v>119383</v>
      </c>
      <c r="P23" s="42">
        <v>1696109</v>
      </c>
      <c r="S23" s="88"/>
      <c r="T23" s="104"/>
      <c r="U23" s="104"/>
      <c r="V23" s="104"/>
      <c r="W23" s="104"/>
      <c r="X23" s="104"/>
      <c r="Y23" s="104"/>
      <c r="Z23" s="104"/>
      <c r="AA23" s="104"/>
      <c r="AB23" s="104"/>
      <c r="AC23" s="104"/>
      <c r="AD23" s="104"/>
      <c r="AE23" s="104"/>
      <c r="AF23" s="104"/>
      <c r="AG23" s="104"/>
      <c r="AJ23" s="29" t="s">
        <v>31</v>
      </c>
      <c r="AK23" s="63">
        <f>('T_B.3.1'!V27-'T_B.3.1'!U27)/1000</f>
        <v>1316.4749999999999</v>
      </c>
      <c r="AL23" s="63">
        <f>'T_B.3.1'!U27/1000</f>
        <v>704.34699999999998</v>
      </c>
      <c r="AM23" s="75">
        <f t="shared" si="1"/>
        <v>8197.42</v>
      </c>
      <c r="AN23" s="11"/>
      <c r="AO23" s="29" t="s">
        <v>31</v>
      </c>
      <c r="AP23" s="8">
        <f t="shared" si="2"/>
        <v>0.16059626077473155</v>
      </c>
      <c r="AQ23" s="8">
        <f t="shared" si="3"/>
        <v>8.5923009922634186E-2</v>
      </c>
      <c r="AR23" s="75"/>
      <c r="AS23" s="69"/>
    </row>
    <row r="24" spans="1:45" ht="12.5" x14ac:dyDescent="0.25">
      <c r="A24" s="1" t="s">
        <v>90</v>
      </c>
      <c r="B24" s="1">
        <v>473680</v>
      </c>
      <c r="C24" s="1">
        <v>465828</v>
      </c>
      <c r="D24" s="1">
        <v>480520</v>
      </c>
      <c r="E24" s="1">
        <v>511806</v>
      </c>
      <c r="F24" s="1">
        <v>563334</v>
      </c>
      <c r="G24" s="1">
        <v>609533</v>
      </c>
      <c r="H24" s="1">
        <v>652185</v>
      </c>
      <c r="I24" s="1">
        <v>812391</v>
      </c>
      <c r="J24" s="1">
        <v>758438</v>
      </c>
      <c r="K24" s="1">
        <v>621300</v>
      </c>
      <c r="L24" s="1">
        <v>741537</v>
      </c>
      <c r="M24" s="1">
        <v>756232</v>
      </c>
      <c r="N24" s="1">
        <v>697266</v>
      </c>
      <c r="O24" s="1">
        <v>671431</v>
      </c>
      <c r="P24" s="42">
        <v>8815481</v>
      </c>
      <c r="S24" s="88" t="s">
        <v>31</v>
      </c>
      <c r="T24" s="104">
        <f t="shared" ref="T24:AF24" si="22">B26/1000</f>
        <v>7092.3590000000004</v>
      </c>
      <c r="U24" s="104">
        <f t="shared" si="22"/>
        <v>7019.0720000000001</v>
      </c>
      <c r="V24" s="104">
        <f t="shared" si="22"/>
        <v>6908.9650000000001</v>
      </c>
      <c r="W24" s="104">
        <f t="shared" si="22"/>
        <v>6893.5439999999999</v>
      </c>
      <c r="X24" s="104">
        <f t="shared" si="22"/>
        <v>6953.9610000000002</v>
      </c>
      <c r="Y24" s="104">
        <f t="shared" si="22"/>
        <v>7074.5349999999999</v>
      </c>
      <c r="Z24" s="104">
        <f t="shared" si="22"/>
        <v>7255.8760000000002</v>
      </c>
      <c r="AA24" s="104">
        <f t="shared" si="22"/>
        <v>7670.4369999999999</v>
      </c>
      <c r="AB24" s="104">
        <f t="shared" si="22"/>
        <v>7765.9269999999997</v>
      </c>
      <c r="AC24" s="104">
        <f t="shared" si="22"/>
        <v>7666.0649999999996</v>
      </c>
      <c r="AD24" s="104">
        <f t="shared" si="22"/>
        <v>7938.2849999999999</v>
      </c>
      <c r="AE24" s="104">
        <f t="shared" si="22"/>
        <v>8143.8370000000004</v>
      </c>
      <c r="AF24" s="104">
        <f t="shared" si="22"/>
        <v>8219.2150000000001</v>
      </c>
      <c r="AG24" s="104">
        <f>O26/1000</f>
        <v>8261.7909999999993</v>
      </c>
      <c r="AJ24" s="5"/>
      <c r="AK24" s="39"/>
      <c r="AL24" s="39"/>
      <c r="AM24" s="5"/>
      <c r="AO24" s="5"/>
      <c r="AP24" s="113" t="e">
        <f>#REF!</f>
        <v>#REF!</v>
      </c>
      <c r="AQ24" s="113" t="e">
        <f>#REF!</f>
        <v>#REF!</v>
      </c>
      <c r="AR24" s="5"/>
      <c r="AS24" s="35"/>
    </row>
    <row r="25" spans="1:45" ht="12.5" x14ac:dyDescent="0.25">
      <c r="T25" s="14" t="b">
        <f>SUM(T5:T22)=T24</f>
        <v>1</v>
      </c>
      <c r="U25" s="14" t="b">
        <f t="shared" ref="U25" si="23">SUM(U5:U22)=U24</f>
        <v>1</v>
      </c>
      <c r="V25" s="14" t="b">
        <f t="shared" ref="V25" si="24">SUM(V5:V22)=V24</f>
        <v>1</v>
      </c>
      <c r="W25" s="14" t="b">
        <f t="shared" ref="W25" si="25">SUM(W5:W22)=W24</f>
        <v>1</v>
      </c>
      <c r="X25" s="14" t="b">
        <f t="shared" ref="X25" si="26">SUM(X5:X22)=X24</f>
        <v>1</v>
      </c>
      <c r="Y25" s="14" t="b">
        <f t="shared" ref="Y25" si="27">SUM(Y5:Y22)=Y24</f>
        <v>1</v>
      </c>
      <c r="Z25" s="14" t="b">
        <f t="shared" ref="Z25" si="28">SUM(Z5:Z22)=Z24</f>
        <v>1</v>
      </c>
      <c r="AA25" s="14" t="b">
        <f t="shared" ref="AA25" si="29">SUM(AA5:AA22)=AA24</f>
        <v>1</v>
      </c>
      <c r="AB25" s="14" t="b">
        <f t="shared" ref="AB25" si="30">SUM(AB5:AB22)=AB24</f>
        <v>1</v>
      </c>
      <c r="AC25" s="14" t="b">
        <f t="shared" ref="AC25" si="31">SUM(AC5:AC22)=AC24</f>
        <v>1</v>
      </c>
      <c r="AD25" s="14" t="b">
        <f t="shared" ref="AD25" si="32">SUM(AD5:AD22)=AD24</f>
        <v>1</v>
      </c>
      <c r="AE25" s="14" t="b">
        <f t="shared" ref="AE25" si="33">SUM(AE5:AE22)=AE24</f>
        <v>1</v>
      </c>
      <c r="AF25" s="14" t="b">
        <f t="shared" ref="AF25" si="34">SUM(AF5:AF22)=AF24</f>
        <v>1</v>
      </c>
      <c r="AG25" s="14" t="b">
        <f t="shared" ref="AG25" si="35">SUM(AG5:AG22)=AG24</f>
        <v>1</v>
      </c>
      <c r="AJ25" s="5"/>
      <c r="AK25" s="8"/>
      <c r="AL25" s="8"/>
      <c r="AM25" s="5"/>
      <c r="AO25" s="5"/>
      <c r="AP25" s="8"/>
      <c r="AQ25" s="8"/>
      <c r="AR25" s="5"/>
    </row>
    <row r="26" spans="1:45" ht="12.5" x14ac:dyDescent="0.25">
      <c r="A26" s="1" t="s">
        <v>2</v>
      </c>
      <c r="B26" s="1">
        <v>7092359</v>
      </c>
      <c r="C26" s="1">
        <v>7019072</v>
      </c>
      <c r="D26" s="1">
        <v>6908965</v>
      </c>
      <c r="E26" s="1">
        <v>6893544</v>
      </c>
      <c r="F26" s="1">
        <v>6953961</v>
      </c>
      <c r="G26" s="1">
        <v>7074535</v>
      </c>
      <c r="H26" s="1">
        <v>7255876</v>
      </c>
      <c r="I26" s="1">
        <v>7670437</v>
      </c>
      <c r="J26" s="1">
        <v>7765927</v>
      </c>
      <c r="K26" s="1">
        <v>7666065</v>
      </c>
      <c r="L26" s="1">
        <v>7938285</v>
      </c>
      <c r="M26" s="1">
        <v>8143837</v>
      </c>
      <c r="N26" s="1">
        <v>8219215</v>
      </c>
      <c r="O26" s="1">
        <v>8261791</v>
      </c>
      <c r="P26" s="42">
        <v>104863869</v>
      </c>
    </row>
    <row r="28" spans="1:45" ht="13" x14ac:dyDescent="0.3">
      <c r="A28" s="1" t="s">
        <v>169</v>
      </c>
    </row>
    <row r="29" spans="1:45" ht="13" x14ac:dyDescent="0.3">
      <c r="AI29" s="17" t="s">
        <v>216</v>
      </c>
    </row>
    <row r="30" spans="1:45" ht="13" x14ac:dyDescent="0.3">
      <c r="B30" s="1">
        <v>2011</v>
      </c>
      <c r="C30" s="1">
        <v>2012</v>
      </c>
      <c r="D30" s="1">
        <v>2013</v>
      </c>
      <c r="E30" s="1">
        <v>2014</v>
      </c>
      <c r="F30" s="1">
        <v>2015</v>
      </c>
      <c r="G30" s="1">
        <v>2016</v>
      </c>
      <c r="H30" s="1">
        <v>2017</v>
      </c>
      <c r="I30" s="1">
        <v>2018</v>
      </c>
      <c r="J30" s="1">
        <v>2019</v>
      </c>
      <c r="K30" s="1">
        <v>2020</v>
      </c>
      <c r="L30" s="1">
        <v>2021</v>
      </c>
      <c r="M30" s="1">
        <v>2022</v>
      </c>
      <c r="N30" s="1">
        <v>2023</v>
      </c>
      <c r="O30" s="1">
        <v>2024</v>
      </c>
      <c r="P30" s="42" t="s">
        <v>2</v>
      </c>
      <c r="S30" s="93" t="s">
        <v>233</v>
      </c>
      <c r="T30" s="94"/>
      <c r="U30" s="94"/>
      <c r="V30" s="94"/>
      <c r="W30" s="94"/>
      <c r="X30" s="94"/>
      <c r="Y30" s="94"/>
      <c r="Z30" s="94"/>
      <c r="AA30" s="94"/>
      <c r="AB30" s="94"/>
      <c r="AC30" s="94"/>
      <c r="AD30" s="94"/>
      <c r="AE30" s="94"/>
      <c r="AF30" s="94"/>
      <c r="AG30" s="94"/>
      <c r="AJ30" s="5"/>
      <c r="AK30" s="4" t="s">
        <v>207</v>
      </c>
      <c r="AL30" s="4" t="s">
        <v>208</v>
      </c>
      <c r="AM30" s="4" t="s">
        <v>206</v>
      </c>
      <c r="AO30" s="5"/>
      <c r="AP30" s="4" t="s">
        <v>207</v>
      </c>
      <c r="AQ30" s="4" t="s">
        <v>208</v>
      </c>
      <c r="AR30" s="4" t="s">
        <v>203</v>
      </c>
    </row>
    <row r="31" spans="1:45" ht="13" x14ac:dyDescent="0.3">
      <c r="S31" s="94"/>
      <c r="T31" s="103">
        <v>2011</v>
      </c>
      <c r="U31" s="103">
        <v>2012</v>
      </c>
      <c r="V31" s="103">
        <v>2013</v>
      </c>
      <c r="W31" s="103">
        <v>2014</v>
      </c>
      <c r="X31" s="103">
        <v>2015</v>
      </c>
      <c r="Y31" s="103">
        <v>2016</v>
      </c>
      <c r="Z31" s="103">
        <v>2017</v>
      </c>
      <c r="AA31" s="103">
        <v>2018</v>
      </c>
      <c r="AB31" s="103">
        <v>2019</v>
      </c>
      <c r="AC31" s="103">
        <v>2020</v>
      </c>
      <c r="AD31" s="103">
        <v>2021</v>
      </c>
      <c r="AE31" s="103">
        <v>2022</v>
      </c>
      <c r="AF31" s="103">
        <v>2023</v>
      </c>
      <c r="AG31" s="103">
        <v>2024</v>
      </c>
      <c r="AJ31" s="29" t="s">
        <v>111</v>
      </c>
      <c r="AK31" s="63">
        <f>O32/1000</f>
        <v>14.984999999999999</v>
      </c>
      <c r="AL31" s="63">
        <f>AG59</f>
        <v>16.446000000000002</v>
      </c>
      <c r="AM31" s="75">
        <f>O5/1000</f>
        <v>102.447</v>
      </c>
      <c r="AO31" s="29" t="s">
        <v>111</v>
      </c>
      <c r="AP31" s="8">
        <f>AK31/AM31</f>
        <v>0.14627075463410347</v>
      </c>
      <c r="AQ31" s="8">
        <f>AL31/AM31</f>
        <v>0.16053178716799907</v>
      </c>
      <c r="AR31" s="75"/>
    </row>
    <row r="32" spans="1:45" ht="12.5" x14ac:dyDescent="0.25">
      <c r="A32" s="1" t="s">
        <v>109</v>
      </c>
      <c r="B32" s="1">
        <v>12297</v>
      </c>
      <c r="C32" s="1">
        <v>11701</v>
      </c>
      <c r="D32" s="1">
        <v>12305</v>
      </c>
      <c r="E32" s="1">
        <v>12859</v>
      </c>
      <c r="F32" s="1">
        <v>12937</v>
      </c>
      <c r="G32" s="1">
        <v>13377</v>
      </c>
      <c r="H32" s="1">
        <v>13994</v>
      </c>
      <c r="I32" s="1">
        <v>16584</v>
      </c>
      <c r="J32" s="1">
        <v>15056</v>
      </c>
      <c r="K32" s="1">
        <v>14909</v>
      </c>
      <c r="L32" s="1">
        <v>17489</v>
      </c>
      <c r="M32" s="1">
        <v>15858</v>
      </c>
      <c r="N32" s="1">
        <v>14411</v>
      </c>
      <c r="O32" s="1">
        <v>14985</v>
      </c>
      <c r="P32" s="42">
        <v>198762</v>
      </c>
      <c r="S32" s="88" t="s">
        <v>111</v>
      </c>
      <c r="T32" s="104">
        <f t="shared" ref="T32" si="36">B32/1000</f>
        <v>12.297000000000001</v>
      </c>
      <c r="U32" s="104">
        <f t="shared" ref="U32" si="37">C32/1000</f>
        <v>11.701000000000001</v>
      </c>
      <c r="V32" s="104">
        <f t="shared" ref="V32" si="38">D32/1000</f>
        <v>12.305</v>
      </c>
      <c r="W32" s="104">
        <f t="shared" ref="W32" si="39">E32/1000</f>
        <v>12.859</v>
      </c>
      <c r="X32" s="104">
        <f t="shared" ref="X32" si="40">F32/1000</f>
        <v>12.936999999999999</v>
      </c>
      <c r="Y32" s="104">
        <f t="shared" ref="Y32" si="41">G32/1000</f>
        <v>13.377000000000001</v>
      </c>
      <c r="Z32" s="104">
        <f t="shared" ref="Z32" si="42">H32/1000</f>
        <v>13.994</v>
      </c>
      <c r="AA32" s="104">
        <f t="shared" ref="AA32" si="43">I32/1000</f>
        <v>16.584</v>
      </c>
      <c r="AB32" s="104">
        <f t="shared" ref="AB32" si="44">J32/1000</f>
        <v>15.055999999999999</v>
      </c>
      <c r="AC32" s="104">
        <f t="shared" ref="AC32" si="45">K32/1000</f>
        <v>14.909000000000001</v>
      </c>
      <c r="AD32" s="104">
        <f t="shared" ref="AD32" si="46">L32/1000</f>
        <v>17.489000000000001</v>
      </c>
      <c r="AE32" s="104">
        <f t="shared" ref="AE32" si="47">M32/1000</f>
        <v>15.858000000000001</v>
      </c>
      <c r="AF32" s="104">
        <f t="shared" ref="AF32" si="48">N32/1000</f>
        <v>14.411</v>
      </c>
      <c r="AG32" s="104">
        <f>O32/1000</f>
        <v>14.984999999999999</v>
      </c>
      <c r="AJ32" s="29" t="s">
        <v>180</v>
      </c>
      <c r="AK32" s="63">
        <f>(O33+O34)/1000</f>
        <v>73.087999999999994</v>
      </c>
      <c r="AL32" s="63">
        <f t="shared" ref="AL32:AL50" si="49">AG60</f>
        <v>46.856000000000002</v>
      </c>
      <c r="AM32" s="75">
        <f>(O6+O7)/1000</f>
        <v>726.72299999999996</v>
      </c>
      <c r="AO32" s="29" t="s">
        <v>180</v>
      </c>
      <c r="AP32" s="8">
        <f t="shared" ref="AP32:AP48" si="50">AK32/AM32</f>
        <v>0.1005720198755234</v>
      </c>
      <c r="AQ32" s="8">
        <f t="shared" ref="AQ32:AQ48" si="51">AL32/AM32</f>
        <v>6.4475735596644115E-2</v>
      </c>
      <c r="AR32" s="75"/>
    </row>
    <row r="33" spans="1:44" ht="12.5" x14ac:dyDescent="0.25">
      <c r="A33" s="1" t="s">
        <v>108</v>
      </c>
      <c r="B33" s="1">
        <v>527</v>
      </c>
      <c r="C33" s="1">
        <v>513</v>
      </c>
      <c r="D33" s="1">
        <v>720</v>
      </c>
      <c r="E33" s="1">
        <v>633</v>
      </c>
      <c r="F33" s="1">
        <v>643</v>
      </c>
      <c r="G33" s="1">
        <v>925</v>
      </c>
      <c r="H33" s="1">
        <v>823</v>
      </c>
      <c r="I33" s="1">
        <v>819</v>
      </c>
      <c r="J33" s="1">
        <v>516</v>
      </c>
      <c r="K33" s="1">
        <v>710</v>
      </c>
      <c r="L33" s="1">
        <v>780</v>
      </c>
      <c r="M33" s="1">
        <v>564</v>
      </c>
      <c r="N33" s="1">
        <v>615</v>
      </c>
      <c r="O33" s="1">
        <v>785</v>
      </c>
      <c r="P33" s="42">
        <v>9573</v>
      </c>
      <c r="S33" s="88" t="s">
        <v>180</v>
      </c>
      <c r="T33" s="104">
        <f t="shared" ref="T33:AG33" si="52">(B33+B34)/1000</f>
        <v>74.537000000000006</v>
      </c>
      <c r="U33" s="104">
        <f t="shared" si="52"/>
        <v>64.072000000000003</v>
      </c>
      <c r="V33" s="104">
        <f t="shared" si="52"/>
        <v>60.093000000000004</v>
      </c>
      <c r="W33" s="104">
        <f t="shared" si="52"/>
        <v>67.733000000000004</v>
      </c>
      <c r="X33" s="104">
        <f t="shared" si="52"/>
        <v>59.308</v>
      </c>
      <c r="Y33" s="104">
        <f t="shared" si="52"/>
        <v>61.896999999999998</v>
      </c>
      <c r="Z33" s="104">
        <f t="shared" si="52"/>
        <v>70.546000000000006</v>
      </c>
      <c r="AA33" s="104">
        <f t="shared" si="52"/>
        <v>71.807000000000002</v>
      </c>
      <c r="AB33" s="104">
        <f t="shared" si="52"/>
        <v>63.890999999999998</v>
      </c>
      <c r="AC33" s="104">
        <f t="shared" si="52"/>
        <v>71.649000000000001</v>
      </c>
      <c r="AD33" s="104">
        <f t="shared" si="52"/>
        <v>79.819999999999993</v>
      </c>
      <c r="AE33" s="104">
        <f t="shared" si="52"/>
        <v>78.150999999999996</v>
      </c>
      <c r="AF33" s="104">
        <f t="shared" si="52"/>
        <v>76.093000000000004</v>
      </c>
      <c r="AG33" s="104">
        <f t="shared" si="52"/>
        <v>73.087999999999994</v>
      </c>
      <c r="AJ33" s="29" t="s">
        <v>181</v>
      </c>
      <c r="AK33" s="63">
        <f>(O35+O36)/1000</f>
        <v>7.5250000000000004</v>
      </c>
      <c r="AL33" s="63">
        <f t="shared" si="49"/>
        <v>4.266</v>
      </c>
      <c r="AM33" s="75">
        <f>(O8+O9)/1000</f>
        <v>77.283000000000001</v>
      </c>
      <c r="AO33" s="29" t="s">
        <v>181</v>
      </c>
      <c r="AP33" s="8">
        <f t="shared" si="50"/>
        <v>9.7369408537453253E-2</v>
      </c>
      <c r="AQ33" s="8">
        <f t="shared" si="51"/>
        <v>5.5199720507744264E-2</v>
      </c>
      <c r="AR33" s="75"/>
    </row>
    <row r="34" spans="1:44" ht="12.5" x14ac:dyDescent="0.25">
      <c r="A34" s="1" t="s">
        <v>107</v>
      </c>
      <c r="B34" s="1">
        <v>74010</v>
      </c>
      <c r="C34" s="1">
        <v>63559</v>
      </c>
      <c r="D34" s="1">
        <v>59373</v>
      </c>
      <c r="E34" s="1">
        <v>67100</v>
      </c>
      <c r="F34" s="1">
        <v>58665</v>
      </c>
      <c r="G34" s="1">
        <v>60972</v>
      </c>
      <c r="H34" s="1">
        <v>69723</v>
      </c>
      <c r="I34" s="1">
        <v>70988</v>
      </c>
      <c r="J34" s="1">
        <v>63375</v>
      </c>
      <c r="K34" s="1">
        <v>70939</v>
      </c>
      <c r="L34" s="1">
        <v>79040</v>
      </c>
      <c r="M34" s="1">
        <v>77587</v>
      </c>
      <c r="N34" s="1">
        <v>75478</v>
      </c>
      <c r="O34" s="1">
        <v>72303</v>
      </c>
      <c r="P34" s="42">
        <v>963112</v>
      </c>
      <c r="S34" s="88" t="s">
        <v>181</v>
      </c>
      <c r="T34" s="104">
        <f t="shared" ref="T34:AG34" si="53">(B35+B36)/1000</f>
        <v>8.9130000000000003</v>
      </c>
      <c r="U34" s="104">
        <f t="shared" si="53"/>
        <v>10.417</v>
      </c>
      <c r="V34" s="104">
        <f t="shared" si="53"/>
        <v>10.565</v>
      </c>
      <c r="W34" s="104">
        <f t="shared" si="53"/>
        <v>7.7439999999999998</v>
      </c>
      <c r="X34" s="104">
        <f t="shared" si="53"/>
        <v>6.8410000000000002</v>
      </c>
      <c r="Y34" s="104">
        <f t="shared" si="53"/>
        <v>9.3360000000000003</v>
      </c>
      <c r="Z34" s="104">
        <f t="shared" si="53"/>
        <v>7.1040000000000001</v>
      </c>
      <c r="AA34" s="104">
        <f t="shared" si="53"/>
        <v>7.6870000000000003</v>
      </c>
      <c r="AB34" s="104">
        <f t="shared" si="53"/>
        <v>5.5640000000000001</v>
      </c>
      <c r="AC34" s="104">
        <f t="shared" si="53"/>
        <v>5.399</v>
      </c>
      <c r="AD34" s="104">
        <f t="shared" si="53"/>
        <v>7.9649999999999999</v>
      </c>
      <c r="AE34" s="104">
        <f t="shared" si="53"/>
        <v>7.9050000000000002</v>
      </c>
      <c r="AF34" s="104">
        <f t="shared" si="53"/>
        <v>6.258</v>
      </c>
      <c r="AG34" s="104">
        <f t="shared" si="53"/>
        <v>7.5250000000000004</v>
      </c>
      <c r="AJ34" s="29" t="s">
        <v>114</v>
      </c>
      <c r="AK34" s="63">
        <f t="shared" ref="AK34:AK48" si="54">O37/1000</f>
        <v>40.9</v>
      </c>
      <c r="AL34" s="63">
        <f t="shared" si="49"/>
        <v>20.518999999999998</v>
      </c>
      <c r="AM34" s="75">
        <f t="shared" ref="AM34:AM48" si="55">O10/1000</f>
        <v>333.12799999999999</v>
      </c>
      <c r="AO34" s="29" t="s">
        <v>114</v>
      </c>
      <c r="AP34" s="8">
        <f t="shared" si="50"/>
        <v>0.12277562978794938</v>
      </c>
      <c r="AQ34" s="8">
        <f t="shared" si="51"/>
        <v>6.1594942484570495E-2</v>
      </c>
      <c r="AR34" s="75"/>
    </row>
    <row r="35" spans="1:44" ht="12.5" x14ac:dyDescent="0.25">
      <c r="A35" s="1" t="s">
        <v>106</v>
      </c>
      <c r="B35" s="1">
        <v>4230</v>
      </c>
      <c r="C35" s="1">
        <v>3201</v>
      </c>
      <c r="D35" s="1">
        <v>7911</v>
      </c>
      <c r="E35" s="1">
        <v>5374</v>
      </c>
      <c r="F35" s="1">
        <v>4275</v>
      </c>
      <c r="G35" s="1">
        <v>6540</v>
      </c>
      <c r="H35" s="1">
        <v>4212</v>
      </c>
      <c r="I35" s="1">
        <v>3266</v>
      </c>
      <c r="J35" s="1">
        <v>2629</v>
      </c>
      <c r="K35" s="1">
        <v>2607</v>
      </c>
      <c r="L35" s="1">
        <v>4066</v>
      </c>
      <c r="M35" s="1">
        <v>3634</v>
      </c>
      <c r="N35" s="1">
        <v>2637</v>
      </c>
      <c r="O35" s="1">
        <v>3604</v>
      </c>
      <c r="P35" s="42">
        <v>58186</v>
      </c>
      <c r="S35" s="88" t="s">
        <v>114</v>
      </c>
      <c r="T35" s="104">
        <f t="shared" ref="T35:T49" si="56">B37/1000</f>
        <v>41.634</v>
      </c>
      <c r="U35" s="104">
        <f t="shared" ref="U35:U49" si="57">C37/1000</f>
        <v>42.758000000000003</v>
      </c>
      <c r="V35" s="104">
        <f t="shared" ref="V35:V49" si="58">D37/1000</f>
        <v>33.179000000000002</v>
      </c>
      <c r="W35" s="104">
        <f t="shared" ref="W35:W49" si="59">E37/1000</f>
        <v>32.399000000000001</v>
      </c>
      <c r="X35" s="104">
        <f t="shared" ref="X35:X49" si="60">F37/1000</f>
        <v>30.222999999999999</v>
      </c>
      <c r="Y35" s="104">
        <f t="shared" ref="Y35:Y49" si="61">G37/1000</f>
        <v>36.652999999999999</v>
      </c>
      <c r="Z35" s="104">
        <f t="shared" ref="Z35:Z49" si="62">H37/1000</f>
        <v>35.567</v>
      </c>
      <c r="AA35" s="104">
        <f t="shared" ref="AA35:AA49" si="63">I37/1000</f>
        <v>33.630000000000003</v>
      </c>
      <c r="AB35" s="104">
        <f t="shared" ref="AB35:AB49" si="64">J37/1000</f>
        <v>29.73</v>
      </c>
      <c r="AC35" s="104">
        <f t="shared" ref="AC35:AC49" si="65">K37/1000</f>
        <v>35.161000000000001</v>
      </c>
      <c r="AD35" s="104">
        <f t="shared" ref="AD35:AD49" si="66">L37/1000</f>
        <v>37.738999999999997</v>
      </c>
      <c r="AE35" s="104">
        <f t="shared" ref="AE35:AE49" si="67">M37/1000</f>
        <v>38.292999999999999</v>
      </c>
      <c r="AF35" s="104">
        <f t="shared" ref="AF35:AF49" si="68">N37/1000</f>
        <v>38.119999999999997</v>
      </c>
      <c r="AG35" s="104">
        <f t="shared" ref="AG35:AG49" si="69">O37/1000</f>
        <v>40.9</v>
      </c>
      <c r="AJ35" s="29" t="s">
        <v>115</v>
      </c>
      <c r="AK35" s="63">
        <f t="shared" si="54"/>
        <v>256.899</v>
      </c>
      <c r="AL35" s="63">
        <f t="shared" si="49"/>
        <v>138.02699999999999</v>
      </c>
      <c r="AM35" s="75">
        <f t="shared" si="55"/>
        <v>1359.114</v>
      </c>
      <c r="AO35" s="29" t="s">
        <v>115</v>
      </c>
      <c r="AP35" s="8">
        <f t="shared" si="50"/>
        <v>0.18901946415091009</v>
      </c>
      <c r="AQ35" s="8">
        <f t="shared" si="51"/>
        <v>0.10155660231592051</v>
      </c>
      <c r="AR35" s="75"/>
    </row>
    <row r="36" spans="1:44" ht="12.5" x14ac:dyDescent="0.25">
      <c r="A36" s="1" t="s">
        <v>105</v>
      </c>
      <c r="B36" s="1">
        <v>4683</v>
      </c>
      <c r="C36" s="1">
        <v>7216</v>
      </c>
      <c r="D36" s="1">
        <v>2654</v>
      </c>
      <c r="E36" s="1">
        <v>2370</v>
      </c>
      <c r="F36" s="1">
        <v>2566</v>
      </c>
      <c r="G36" s="1">
        <v>2796</v>
      </c>
      <c r="H36" s="1">
        <v>2892</v>
      </c>
      <c r="I36" s="1">
        <v>4421</v>
      </c>
      <c r="J36" s="1">
        <v>2935</v>
      </c>
      <c r="K36" s="1">
        <v>2792</v>
      </c>
      <c r="L36" s="1">
        <v>3899</v>
      </c>
      <c r="M36" s="1">
        <v>4271</v>
      </c>
      <c r="N36" s="1">
        <v>3621</v>
      </c>
      <c r="O36" s="1">
        <v>3921</v>
      </c>
      <c r="P36" s="42">
        <v>51037</v>
      </c>
      <c r="S36" s="88" t="s">
        <v>115</v>
      </c>
      <c r="T36" s="104">
        <f t="shared" si="56"/>
        <v>192.86600000000001</v>
      </c>
      <c r="U36" s="104">
        <f t="shared" si="57"/>
        <v>176.68</v>
      </c>
      <c r="V36" s="104">
        <f t="shared" si="58"/>
        <v>180.749</v>
      </c>
      <c r="W36" s="104">
        <f t="shared" si="59"/>
        <v>215.52099999999999</v>
      </c>
      <c r="X36" s="104">
        <f t="shared" si="60"/>
        <v>220.60499999999999</v>
      </c>
      <c r="Y36" s="104">
        <f t="shared" si="61"/>
        <v>237.38399999999999</v>
      </c>
      <c r="Z36" s="104">
        <f t="shared" si="62"/>
        <v>258.19499999999999</v>
      </c>
      <c r="AA36" s="104">
        <f t="shared" si="63"/>
        <v>269.899</v>
      </c>
      <c r="AB36" s="104">
        <f t="shared" si="64"/>
        <v>226.21</v>
      </c>
      <c r="AC36" s="104">
        <f t="shared" si="65"/>
        <v>252.80799999999999</v>
      </c>
      <c r="AD36" s="104">
        <f t="shared" si="66"/>
        <v>300.00299999999999</v>
      </c>
      <c r="AE36" s="104">
        <f t="shared" si="67"/>
        <v>295.303</v>
      </c>
      <c r="AF36" s="104">
        <f t="shared" si="68"/>
        <v>263.524</v>
      </c>
      <c r="AG36" s="104">
        <f t="shared" si="69"/>
        <v>256.899</v>
      </c>
      <c r="AJ36" s="29" t="s">
        <v>116</v>
      </c>
      <c r="AK36" s="63">
        <f t="shared" si="54"/>
        <v>47.866</v>
      </c>
      <c r="AL36" s="63">
        <f t="shared" si="49"/>
        <v>29.777000000000001</v>
      </c>
      <c r="AM36" s="75">
        <f t="shared" si="55"/>
        <v>386.86200000000002</v>
      </c>
      <c r="AO36" s="29" t="s">
        <v>116</v>
      </c>
      <c r="AP36" s="8">
        <f t="shared" si="50"/>
        <v>0.12372887489595773</v>
      </c>
      <c r="AQ36" s="8">
        <f t="shared" si="51"/>
        <v>7.6970599335163439E-2</v>
      </c>
      <c r="AR36" s="75"/>
    </row>
    <row r="37" spans="1:44" ht="12.5" x14ac:dyDescent="0.25">
      <c r="A37" s="1" t="s">
        <v>104</v>
      </c>
      <c r="B37" s="1">
        <v>41634</v>
      </c>
      <c r="C37" s="1">
        <v>42758</v>
      </c>
      <c r="D37" s="1">
        <v>33179</v>
      </c>
      <c r="E37" s="1">
        <v>32399</v>
      </c>
      <c r="F37" s="1">
        <v>30223</v>
      </c>
      <c r="G37" s="1">
        <v>36653</v>
      </c>
      <c r="H37" s="1">
        <v>35567</v>
      </c>
      <c r="I37" s="1">
        <v>33630</v>
      </c>
      <c r="J37" s="1">
        <v>29730</v>
      </c>
      <c r="K37" s="1">
        <v>35161</v>
      </c>
      <c r="L37" s="1">
        <v>37739</v>
      </c>
      <c r="M37" s="1">
        <v>38293</v>
      </c>
      <c r="N37" s="1">
        <v>38120</v>
      </c>
      <c r="O37" s="1">
        <v>40900</v>
      </c>
      <c r="P37" s="42">
        <v>505986</v>
      </c>
      <c r="S37" s="88" t="s">
        <v>116</v>
      </c>
      <c r="T37" s="104">
        <f t="shared" si="56"/>
        <v>50.878</v>
      </c>
      <c r="U37" s="104">
        <f t="shared" si="57"/>
        <v>42.933</v>
      </c>
      <c r="V37" s="104">
        <f t="shared" si="58"/>
        <v>40.572000000000003</v>
      </c>
      <c r="W37" s="104">
        <f t="shared" si="59"/>
        <v>47.603999999999999</v>
      </c>
      <c r="X37" s="104">
        <f t="shared" si="60"/>
        <v>40.079000000000001</v>
      </c>
      <c r="Y37" s="104">
        <f t="shared" si="61"/>
        <v>45.128</v>
      </c>
      <c r="Z37" s="104">
        <f t="shared" si="62"/>
        <v>47.372</v>
      </c>
      <c r="AA37" s="104">
        <f t="shared" si="63"/>
        <v>48.378</v>
      </c>
      <c r="AB37" s="104">
        <f t="shared" si="64"/>
        <v>46.317999999999998</v>
      </c>
      <c r="AC37" s="104">
        <f t="shared" si="65"/>
        <v>44.677</v>
      </c>
      <c r="AD37" s="104">
        <f t="shared" si="66"/>
        <v>52.673999999999999</v>
      </c>
      <c r="AE37" s="104">
        <f t="shared" si="67"/>
        <v>51.146999999999998</v>
      </c>
      <c r="AF37" s="104">
        <f t="shared" si="68"/>
        <v>49.186999999999998</v>
      </c>
      <c r="AG37" s="104">
        <f t="shared" si="69"/>
        <v>47.866</v>
      </c>
      <c r="AJ37" s="29" t="s">
        <v>117</v>
      </c>
      <c r="AK37" s="63">
        <f t="shared" si="54"/>
        <v>139.55600000000001</v>
      </c>
      <c r="AL37" s="63">
        <f t="shared" si="49"/>
        <v>71.358999999999995</v>
      </c>
      <c r="AM37" s="75">
        <f t="shared" si="55"/>
        <v>446.85500000000002</v>
      </c>
      <c r="AO37" s="29" t="s">
        <v>117</v>
      </c>
      <c r="AP37" s="8">
        <f t="shared" si="50"/>
        <v>0.31230712423493079</v>
      </c>
      <c r="AQ37" s="8">
        <f t="shared" si="51"/>
        <v>0.15969162256212863</v>
      </c>
      <c r="AR37" s="75"/>
    </row>
    <row r="38" spans="1:44" ht="12.5" x14ac:dyDescent="0.25">
      <c r="A38" s="1" t="s">
        <v>103</v>
      </c>
      <c r="B38" s="1">
        <v>192866</v>
      </c>
      <c r="C38" s="1">
        <v>176680</v>
      </c>
      <c r="D38" s="1">
        <v>180749</v>
      </c>
      <c r="E38" s="1">
        <v>215521</v>
      </c>
      <c r="F38" s="1">
        <v>220605</v>
      </c>
      <c r="G38" s="1">
        <v>237384</v>
      </c>
      <c r="H38" s="1">
        <v>258195</v>
      </c>
      <c r="I38" s="1">
        <v>269899</v>
      </c>
      <c r="J38" s="1">
        <v>226210</v>
      </c>
      <c r="K38" s="1">
        <v>252808</v>
      </c>
      <c r="L38" s="1">
        <v>300003</v>
      </c>
      <c r="M38" s="1">
        <v>295303</v>
      </c>
      <c r="N38" s="1">
        <v>263524</v>
      </c>
      <c r="O38" s="1">
        <v>256899</v>
      </c>
      <c r="P38" s="42">
        <v>3346646</v>
      </c>
      <c r="S38" s="88" t="s">
        <v>117</v>
      </c>
      <c r="T38" s="104">
        <f t="shared" si="56"/>
        <v>79.95</v>
      </c>
      <c r="U38" s="104">
        <f t="shared" si="57"/>
        <v>74.024000000000001</v>
      </c>
      <c r="V38" s="104">
        <f t="shared" si="58"/>
        <v>80.406999999999996</v>
      </c>
      <c r="W38" s="104">
        <f t="shared" si="59"/>
        <v>88.265000000000001</v>
      </c>
      <c r="X38" s="104">
        <f t="shared" si="60"/>
        <v>99.552000000000007</v>
      </c>
      <c r="Y38" s="104">
        <f t="shared" si="61"/>
        <v>108.678</v>
      </c>
      <c r="Z38" s="104">
        <f t="shared" si="62"/>
        <v>115.864</v>
      </c>
      <c r="AA38" s="104">
        <f t="shared" si="63"/>
        <v>119.916</v>
      </c>
      <c r="AB38" s="104">
        <f t="shared" si="64"/>
        <v>110.919</v>
      </c>
      <c r="AC38" s="104">
        <f t="shared" si="65"/>
        <v>118.099</v>
      </c>
      <c r="AD38" s="104">
        <f t="shared" si="66"/>
        <v>128.648</v>
      </c>
      <c r="AE38" s="104">
        <f t="shared" si="67"/>
        <v>129.02099999999999</v>
      </c>
      <c r="AF38" s="104">
        <f t="shared" si="68"/>
        <v>132.875</v>
      </c>
      <c r="AG38" s="104">
        <f t="shared" si="69"/>
        <v>139.55600000000001</v>
      </c>
      <c r="AJ38" s="29" t="s">
        <v>25</v>
      </c>
      <c r="AK38" s="63">
        <f t="shared" si="54"/>
        <v>46.011000000000003</v>
      </c>
      <c r="AL38" s="63">
        <f t="shared" si="49"/>
        <v>22.916</v>
      </c>
      <c r="AM38" s="75">
        <f t="shared" si="55"/>
        <v>300.255</v>
      </c>
      <c r="AO38" s="29" t="s">
        <v>25</v>
      </c>
      <c r="AP38" s="8">
        <f t="shared" si="50"/>
        <v>0.15323974621571665</v>
      </c>
      <c r="AQ38" s="8">
        <f t="shared" si="51"/>
        <v>7.6321793142495542E-2</v>
      </c>
      <c r="AR38" s="75"/>
    </row>
    <row r="39" spans="1:44" ht="12.5" x14ac:dyDescent="0.25">
      <c r="A39" s="1" t="s">
        <v>102</v>
      </c>
      <c r="B39" s="1">
        <v>50878</v>
      </c>
      <c r="C39" s="1">
        <v>42933</v>
      </c>
      <c r="D39" s="1">
        <v>40572</v>
      </c>
      <c r="E39" s="1">
        <v>47604</v>
      </c>
      <c r="F39" s="1">
        <v>40079</v>
      </c>
      <c r="G39" s="1">
        <v>45128</v>
      </c>
      <c r="H39" s="1">
        <v>47372</v>
      </c>
      <c r="I39" s="1">
        <v>48378</v>
      </c>
      <c r="J39" s="1">
        <v>46318</v>
      </c>
      <c r="K39" s="1">
        <v>44677</v>
      </c>
      <c r="L39" s="1">
        <v>52674</v>
      </c>
      <c r="M39" s="1">
        <v>51147</v>
      </c>
      <c r="N39" s="1">
        <v>49187</v>
      </c>
      <c r="O39" s="1">
        <v>47866</v>
      </c>
      <c r="P39" s="42">
        <v>654813</v>
      </c>
      <c r="S39" s="88" t="s">
        <v>25</v>
      </c>
      <c r="T39" s="104">
        <f t="shared" si="56"/>
        <v>31.954999999999998</v>
      </c>
      <c r="U39" s="104">
        <f t="shared" si="57"/>
        <v>30.248000000000001</v>
      </c>
      <c r="V39" s="104">
        <f t="shared" si="58"/>
        <v>30.061</v>
      </c>
      <c r="W39" s="104">
        <f t="shared" si="59"/>
        <v>33.51</v>
      </c>
      <c r="X39" s="104">
        <f t="shared" si="60"/>
        <v>37.841000000000001</v>
      </c>
      <c r="Y39" s="104">
        <f t="shared" si="61"/>
        <v>38.249000000000002</v>
      </c>
      <c r="Z39" s="104">
        <f t="shared" si="62"/>
        <v>46.378999999999998</v>
      </c>
      <c r="AA39" s="104">
        <f t="shared" si="63"/>
        <v>45.37</v>
      </c>
      <c r="AB39" s="104">
        <f t="shared" si="64"/>
        <v>39.564</v>
      </c>
      <c r="AC39" s="104">
        <f t="shared" si="65"/>
        <v>45.746000000000002</v>
      </c>
      <c r="AD39" s="104">
        <f t="shared" si="66"/>
        <v>54.445</v>
      </c>
      <c r="AE39" s="104">
        <f t="shared" si="67"/>
        <v>50.790999999999997</v>
      </c>
      <c r="AF39" s="104">
        <f t="shared" si="68"/>
        <v>46.439</v>
      </c>
      <c r="AG39" s="104">
        <f t="shared" si="69"/>
        <v>46.011000000000003</v>
      </c>
      <c r="AJ39" s="29" t="s">
        <v>118</v>
      </c>
      <c r="AK39" s="63">
        <f t="shared" si="54"/>
        <v>35.776000000000003</v>
      </c>
      <c r="AL39" s="63">
        <f t="shared" si="49"/>
        <v>11.542</v>
      </c>
      <c r="AM39" s="75">
        <f t="shared" si="55"/>
        <v>211.45400000000001</v>
      </c>
      <c r="AO39" s="29" t="s">
        <v>118</v>
      </c>
      <c r="AP39" s="8">
        <f t="shared" si="50"/>
        <v>0.16919046222819148</v>
      </c>
      <c r="AQ39" s="8">
        <f t="shared" si="51"/>
        <v>5.4583975711029346E-2</v>
      </c>
      <c r="AR39" s="75"/>
    </row>
    <row r="40" spans="1:44" ht="12.5" x14ac:dyDescent="0.25">
      <c r="A40" s="1" t="s">
        <v>101</v>
      </c>
      <c r="B40" s="1">
        <v>79950</v>
      </c>
      <c r="C40" s="1">
        <v>74024</v>
      </c>
      <c r="D40" s="1">
        <v>80407</v>
      </c>
      <c r="E40" s="1">
        <v>88265</v>
      </c>
      <c r="F40" s="1">
        <v>99552</v>
      </c>
      <c r="G40" s="1">
        <v>108678</v>
      </c>
      <c r="H40" s="1">
        <v>115864</v>
      </c>
      <c r="I40" s="1">
        <v>119916</v>
      </c>
      <c r="J40" s="1">
        <v>110919</v>
      </c>
      <c r="K40" s="1">
        <v>118099</v>
      </c>
      <c r="L40" s="1">
        <v>128648</v>
      </c>
      <c r="M40" s="1">
        <v>129021</v>
      </c>
      <c r="N40" s="1">
        <v>132875</v>
      </c>
      <c r="O40" s="1">
        <v>139556</v>
      </c>
      <c r="P40" s="42">
        <v>1525774</v>
      </c>
      <c r="S40" s="88" t="s">
        <v>118</v>
      </c>
      <c r="T40" s="104">
        <f t="shared" si="56"/>
        <v>57.886000000000003</v>
      </c>
      <c r="U40" s="104">
        <f t="shared" si="57"/>
        <v>18.832000000000001</v>
      </c>
      <c r="V40" s="104">
        <f t="shared" si="58"/>
        <v>17.672999999999998</v>
      </c>
      <c r="W40" s="104">
        <f t="shared" si="59"/>
        <v>19.276</v>
      </c>
      <c r="X40" s="104">
        <f t="shared" si="60"/>
        <v>23.472999999999999</v>
      </c>
      <c r="Y40" s="104">
        <f t="shared" si="61"/>
        <v>52.621000000000002</v>
      </c>
      <c r="Z40" s="104">
        <f t="shared" si="62"/>
        <v>32.537999999999997</v>
      </c>
      <c r="AA40" s="104">
        <f t="shared" si="63"/>
        <v>60.012999999999998</v>
      </c>
      <c r="AB40" s="104">
        <f t="shared" si="64"/>
        <v>32.588000000000001</v>
      </c>
      <c r="AC40" s="104">
        <f t="shared" si="65"/>
        <v>31.437000000000001</v>
      </c>
      <c r="AD40" s="104">
        <f t="shared" si="66"/>
        <v>29.268999999999998</v>
      </c>
      <c r="AE40" s="104">
        <f t="shared" si="67"/>
        <v>40.845999999999997</v>
      </c>
      <c r="AF40" s="104">
        <f t="shared" si="68"/>
        <v>28.829000000000001</v>
      </c>
      <c r="AG40" s="104">
        <f t="shared" si="69"/>
        <v>35.776000000000003</v>
      </c>
      <c r="AJ40" s="29" t="s">
        <v>119</v>
      </c>
      <c r="AK40" s="63">
        <f t="shared" si="54"/>
        <v>7.8620000000000001</v>
      </c>
      <c r="AL40" s="63">
        <f t="shared" si="49"/>
        <v>4.1340000000000003</v>
      </c>
      <c r="AM40" s="75">
        <f t="shared" si="55"/>
        <v>62.896999999999998</v>
      </c>
      <c r="AO40" s="29" t="s">
        <v>119</v>
      </c>
      <c r="AP40" s="8">
        <f t="shared" si="50"/>
        <v>0.12499801262381353</v>
      </c>
      <c r="AQ40" s="8">
        <f t="shared" si="51"/>
        <v>6.5726505238723629E-2</v>
      </c>
      <c r="AR40" s="75"/>
    </row>
    <row r="41" spans="1:44" ht="12.5" x14ac:dyDescent="0.25">
      <c r="A41" s="1" t="s">
        <v>100</v>
      </c>
      <c r="B41" s="1">
        <v>31955</v>
      </c>
      <c r="C41" s="1">
        <v>30248</v>
      </c>
      <c r="D41" s="1">
        <v>30061</v>
      </c>
      <c r="E41" s="1">
        <v>33510</v>
      </c>
      <c r="F41" s="1">
        <v>37841</v>
      </c>
      <c r="G41" s="1">
        <v>38249</v>
      </c>
      <c r="H41" s="1">
        <v>46379</v>
      </c>
      <c r="I41" s="1">
        <v>45370</v>
      </c>
      <c r="J41" s="1">
        <v>39564</v>
      </c>
      <c r="K41" s="1">
        <v>45746</v>
      </c>
      <c r="L41" s="1">
        <v>54445</v>
      </c>
      <c r="M41" s="1">
        <v>50791</v>
      </c>
      <c r="N41" s="1">
        <v>46439</v>
      </c>
      <c r="O41" s="1">
        <v>46011</v>
      </c>
      <c r="P41" s="42">
        <v>576609</v>
      </c>
      <c r="S41" s="88" t="s">
        <v>119</v>
      </c>
      <c r="T41" s="104">
        <f t="shared" si="56"/>
        <v>6.48</v>
      </c>
      <c r="U41" s="104">
        <f t="shared" si="57"/>
        <v>5.6420000000000003</v>
      </c>
      <c r="V41" s="104">
        <f t="shared" si="58"/>
        <v>5.6870000000000003</v>
      </c>
      <c r="W41" s="104">
        <f t="shared" si="59"/>
        <v>6.0979999999999999</v>
      </c>
      <c r="X41" s="104">
        <f t="shared" si="60"/>
        <v>6.351</v>
      </c>
      <c r="Y41" s="104">
        <f t="shared" si="61"/>
        <v>6.9139999999999997</v>
      </c>
      <c r="Z41" s="104">
        <f t="shared" si="62"/>
        <v>7.85</v>
      </c>
      <c r="AA41" s="104">
        <f t="shared" si="63"/>
        <v>8.4580000000000002</v>
      </c>
      <c r="AB41" s="104">
        <f t="shared" si="64"/>
        <v>6.7619999999999996</v>
      </c>
      <c r="AC41" s="104">
        <f t="shared" si="65"/>
        <v>7.4059999999999997</v>
      </c>
      <c r="AD41" s="104">
        <f t="shared" si="66"/>
        <v>8.6050000000000004</v>
      </c>
      <c r="AE41" s="104">
        <f t="shared" si="67"/>
        <v>8.5459999999999994</v>
      </c>
      <c r="AF41" s="104">
        <f t="shared" si="68"/>
        <v>8.0030000000000001</v>
      </c>
      <c r="AG41" s="104">
        <f t="shared" si="69"/>
        <v>7.8620000000000001</v>
      </c>
      <c r="AJ41" s="29" t="s">
        <v>120</v>
      </c>
      <c r="AK41" s="63">
        <f t="shared" si="54"/>
        <v>85.582999999999998</v>
      </c>
      <c r="AL41" s="63">
        <f t="shared" si="49"/>
        <v>38.679000000000002</v>
      </c>
      <c r="AM41" s="75">
        <f t="shared" si="55"/>
        <v>498.07299999999998</v>
      </c>
      <c r="AO41" s="29" t="s">
        <v>120</v>
      </c>
      <c r="AP41" s="8">
        <f t="shared" si="50"/>
        <v>0.17182822598293826</v>
      </c>
      <c r="AQ41" s="8">
        <f t="shared" si="51"/>
        <v>7.7657291200285916E-2</v>
      </c>
      <c r="AR41" s="75"/>
    </row>
    <row r="42" spans="1:44" ht="12.5" x14ac:dyDescent="0.25">
      <c r="A42" s="1" t="s">
        <v>99</v>
      </c>
      <c r="B42" s="1">
        <v>57886</v>
      </c>
      <c r="C42" s="1">
        <v>18832</v>
      </c>
      <c r="D42" s="1">
        <v>17673</v>
      </c>
      <c r="E42" s="1">
        <v>19276</v>
      </c>
      <c r="F42" s="1">
        <v>23473</v>
      </c>
      <c r="G42" s="1">
        <v>52621</v>
      </c>
      <c r="H42" s="1">
        <v>32538</v>
      </c>
      <c r="I42" s="1">
        <v>60013</v>
      </c>
      <c r="J42" s="1">
        <v>32588</v>
      </c>
      <c r="K42" s="1">
        <v>31437</v>
      </c>
      <c r="L42" s="1">
        <v>29269</v>
      </c>
      <c r="M42" s="1">
        <v>40846</v>
      </c>
      <c r="N42" s="1">
        <v>28829</v>
      </c>
      <c r="O42" s="1">
        <v>35776</v>
      </c>
      <c r="P42" s="42">
        <v>481057</v>
      </c>
      <c r="S42" s="88" t="s">
        <v>120</v>
      </c>
      <c r="T42" s="104">
        <f t="shared" si="56"/>
        <v>68.423000000000002</v>
      </c>
      <c r="U42" s="104">
        <f t="shared" si="57"/>
        <v>69.02</v>
      </c>
      <c r="V42" s="104">
        <f t="shared" si="58"/>
        <v>60.295000000000002</v>
      </c>
      <c r="W42" s="104">
        <f t="shared" si="59"/>
        <v>67.552000000000007</v>
      </c>
      <c r="X42" s="104">
        <f t="shared" si="60"/>
        <v>68.316000000000003</v>
      </c>
      <c r="Y42" s="104">
        <f t="shared" si="61"/>
        <v>70.385000000000005</v>
      </c>
      <c r="Z42" s="104">
        <f t="shared" si="62"/>
        <v>73.558999999999997</v>
      </c>
      <c r="AA42" s="104">
        <f t="shared" si="63"/>
        <v>80.567999999999998</v>
      </c>
      <c r="AB42" s="104">
        <f t="shared" si="64"/>
        <v>70.655000000000001</v>
      </c>
      <c r="AC42" s="104">
        <f t="shared" si="65"/>
        <v>73.334000000000003</v>
      </c>
      <c r="AD42" s="104">
        <f t="shared" si="66"/>
        <v>81.513999999999996</v>
      </c>
      <c r="AE42" s="104">
        <f t="shared" si="67"/>
        <v>83.424999999999997</v>
      </c>
      <c r="AF42" s="104">
        <f t="shared" si="68"/>
        <v>86.403000000000006</v>
      </c>
      <c r="AG42" s="104">
        <f t="shared" si="69"/>
        <v>85.582999999999998</v>
      </c>
      <c r="AJ42" s="29" t="s">
        <v>121</v>
      </c>
      <c r="AK42" s="63">
        <f t="shared" si="54"/>
        <v>47.66</v>
      </c>
      <c r="AL42" s="63">
        <f t="shared" si="49"/>
        <v>28.713999999999999</v>
      </c>
      <c r="AM42" s="75">
        <f t="shared" si="55"/>
        <v>268.17599999999999</v>
      </c>
      <c r="AO42" s="29" t="s">
        <v>121</v>
      </c>
      <c r="AP42" s="8">
        <f t="shared" si="50"/>
        <v>0.17771910983831513</v>
      </c>
      <c r="AQ42" s="8">
        <f t="shared" si="51"/>
        <v>0.1070714754489589</v>
      </c>
      <c r="AR42" s="75"/>
    </row>
    <row r="43" spans="1:44" ht="12.5" x14ac:dyDescent="0.25">
      <c r="A43" s="1" t="s">
        <v>98</v>
      </c>
      <c r="B43" s="1">
        <v>6480</v>
      </c>
      <c r="C43" s="1">
        <v>5642</v>
      </c>
      <c r="D43" s="1">
        <v>5687</v>
      </c>
      <c r="E43" s="1">
        <v>6098</v>
      </c>
      <c r="F43" s="1">
        <v>6351</v>
      </c>
      <c r="G43" s="1">
        <v>6914</v>
      </c>
      <c r="H43" s="1">
        <v>7850</v>
      </c>
      <c r="I43" s="1">
        <v>8458</v>
      </c>
      <c r="J43" s="1">
        <v>6762</v>
      </c>
      <c r="K43" s="1">
        <v>7406</v>
      </c>
      <c r="L43" s="1">
        <v>8605</v>
      </c>
      <c r="M43" s="1">
        <v>8546</v>
      </c>
      <c r="N43" s="1">
        <v>8003</v>
      </c>
      <c r="O43" s="1">
        <v>7862</v>
      </c>
      <c r="P43" s="42">
        <v>100664</v>
      </c>
      <c r="S43" s="88" t="s">
        <v>121</v>
      </c>
      <c r="T43" s="104">
        <f t="shared" si="56"/>
        <v>43.561999999999998</v>
      </c>
      <c r="U43" s="104">
        <f t="shared" si="57"/>
        <v>41.197000000000003</v>
      </c>
      <c r="V43" s="104">
        <f t="shared" si="58"/>
        <v>42.715000000000003</v>
      </c>
      <c r="W43" s="104">
        <f t="shared" si="59"/>
        <v>43.088000000000001</v>
      </c>
      <c r="X43" s="104">
        <f t="shared" si="60"/>
        <v>41.290999999999997</v>
      </c>
      <c r="Y43" s="104">
        <f t="shared" si="61"/>
        <v>44.527000000000001</v>
      </c>
      <c r="Z43" s="104">
        <f t="shared" si="62"/>
        <v>48.847999999999999</v>
      </c>
      <c r="AA43" s="104">
        <f t="shared" si="63"/>
        <v>52.941000000000003</v>
      </c>
      <c r="AB43" s="104">
        <f t="shared" si="64"/>
        <v>45.378999999999998</v>
      </c>
      <c r="AC43" s="104">
        <f t="shared" si="65"/>
        <v>49.667999999999999</v>
      </c>
      <c r="AD43" s="104">
        <f t="shared" si="66"/>
        <v>52.088999999999999</v>
      </c>
      <c r="AE43" s="104">
        <f t="shared" si="67"/>
        <v>51.835999999999999</v>
      </c>
      <c r="AF43" s="104">
        <f t="shared" si="68"/>
        <v>64.843000000000004</v>
      </c>
      <c r="AG43" s="104">
        <f t="shared" si="69"/>
        <v>47.66</v>
      </c>
      <c r="AJ43" s="29" t="s">
        <v>122</v>
      </c>
      <c r="AK43" s="63">
        <f t="shared" si="54"/>
        <v>25.061</v>
      </c>
      <c r="AL43" s="63">
        <f t="shared" si="49"/>
        <v>25.89</v>
      </c>
      <c r="AM43" s="75">
        <f t="shared" si="55"/>
        <v>595.80399999999997</v>
      </c>
      <c r="AO43" s="29" t="s">
        <v>122</v>
      </c>
      <c r="AP43" s="8">
        <f t="shared" si="50"/>
        <v>4.2062490349175231E-2</v>
      </c>
      <c r="AQ43" s="8">
        <f t="shared" si="51"/>
        <v>4.3453887520056932E-2</v>
      </c>
      <c r="AR43" s="75"/>
    </row>
    <row r="44" spans="1:44" ht="12.5" x14ac:dyDescent="0.25">
      <c r="A44" s="1" t="s">
        <v>97</v>
      </c>
      <c r="B44" s="1">
        <v>68423</v>
      </c>
      <c r="C44" s="1">
        <v>69020</v>
      </c>
      <c r="D44" s="1">
        <v>60295</v>
      </c>
      <c r="E44" s="1">
        <v>67552</v>
      </c>
      <c r="F44" s="1">
        <v>68316</v>
      </c>
      <c r="G44" s="1">
        <v>70385</v>
      </c>
      <c r="H44" s="1">
        <v>73559</v>
      </c>
      <c r="I44" s="1">
        <v>80568</v>
      </c>
      <c r="J44" s="1">
        <v>70655</v>
      </c>
      <c r="K44" s="1">
        <v>73334</v>
      </c>
      <c r="L44" s="1">
        <v>81514</v>
      </c>
      <c r="M44" s="1">
        <v>83425</v>
      </c>
      <c r="N44" s="1">
        <v>86403</v>
      </c>
      <c r="O44" s="1">
        <v>85583</v>
      </c>
      <c r="P44" s="42">
        <v>1039032</v>
      </c>
      <c r="S44" s="88" t="s">
        <v>122</v>
      </c>
      <c r="T44" s="104">
        <f t="shared" si="56"/>
        <v>31.8</v>
      </c>
      <c r="U44" s="104">
        <f t="shared" si="57"/>
        <v>31.64</v>
      </c>
      <c r="V44" s="104">
        <f t="shared" si="58"/>
        <v>81.96</v>
      </c>
      <c r="W44" s="104">
        <f t="shared" si="59"/>
        <v>17.952999999999999</v>
      </c>
      <c r="X44" s="104">
        <f t="shared" si="60"/>
        <v>19.678000000000001</v>
      </c>
      <c r="Y44" s="104">
        <f t="shared" si="61"/>
        <v>22.013000000000002</v>
      </c>
      <c r="Z44" s="104">
        <f t="shared" si="62"/>
        <v>19.93</v>
      </c>
      <c r="AA44" s="104">
        <f t="shared" si="63"/>
        <v>28.05</v>
      </c>
      <c r="AB44" s="104">
        <f t="shared" si="64"/>
        <v>21.957999999999998</v>
      </c>
      <c r="AC44" s="104">
        <f t="shared" si="65"/>
        <v>20.294</v>
      </c>
      <c r="AD44" s="104">
        <f t="shared" si="66"/>
        <v>30.277999999999999</v>
      </c>
      <c r="AE44" s="104">
        <f t="shared" si="67"/>
        <v>27.736999999999998</v>
      </c>
      <c r="AF44" s="104">
        <f t="shared" si="68"/>
        <v>26.007000000000001</v>
      </c>
      <c r="AG44" s="104">
        <f t="shared" si="69"/>
        <v>25.061</v>
      </c>
      <c r="AJ44" s="29" t="s">
        <v>123</v>
      </c>
      <c r="AK44" s="63">
        <f t="shared" si="54"/>
        <v>48.04</v>
      </c>
      <c r="AL44" s="63">
        <f t="shared" si="49"/>
        <v>37.545999999999999</v>
      </c>
      <c r="AM44" s="75">
        <f t="shared" si="55"/>
        <v>557.51199999999994</v>
      </c>
      <c r="AO44" s="29" t="s">
        <v>123</v>
      </c>
      <c r="AP44" s="8">
        <f t="shared" si="50"/>
        <v>8.6168548838410658E-2</v>
      </c>
      <c r="AQ44" s="8">
        <f t="shared" si="51"/>
        <v>6.7345635609637106E-2</v>
      </c>
      <c r="AR44" s="75"/>
    </row>
    <row r="45" spans="1:44" ht="12.5" x14ac:dyDescent="0.25">
      <c r="A45" s="1" t="s">
        <v>96</v>
      </c>
      <c r="B45" s="1">
        <v>43562</v>
      </c>
      <c r="C45" s="1">
        <v>41197</v>
      </c>
      <c r="D45" s="1">
        <v>42715</v>
      </c>
      <c r="E45" s="1">
        <v>43088</v>
      </c>
      <c r="F45" s="1">
        <v>41291</v>
      </c>
      <c r="G45" s="1">
        <v>44527</v>
      </c>
      <c r="H45" s="1">
        <v>48848</v>
      </c>
      <c r="I45" s="1">
        <v>52941</v>
      </c>
      <c r="J45" s="1">
        <v>45379</v>
      </c>
      <c r="K45" s="1">
        <v>49668</v>
      </c>
      <c r="L45" s="1">
        <v>52089</v>
      </c>
      <c r="M45" s="1">
        <v>51836</v>
      </c>
      <c r="N45" s="1">
        <v>64843</v>
      </c>
      <c r="O45" s="1">
        <v>47660</v>
      </c>
      <c r="P45" s="42">
        <v>669644</v>
      </c>
      <c r="S45" s="88" t="s">
        <v>123</v>
      </c>
      <c r="T45" s="104">
        <f t="shared" si="56"/>
        <v>37.055</v>
      </c>
      <c r="U45" s="104">
        <f t="shared" si="57"/>
        <v>33.481999999999999</v>
      </c>
      <c r="V45" s="104">
        <f t="shared" si="58"/>
        <v>29.97</v>
      </c>
      <c r="W45" s="104">
        <f t="shared" si="59"/>
        <v>35.625999999999998</v>
      </c>
      <c r="X45" s="104">
        <f t="shared" si="60"/>
        <v>36.43</v>
      </c>
      <c r="Y45" s="104">
        <f t="shared" si="61"/>
        <v>38.981000000000002</v>
      </c>
      <c r="Z45" s="104">
        <f t="shared" si="62"/>
        <v>45.332000000000001</v>
      </c>
      <c r="AA45" s="104">
        <f t="shared" si="63"/>
        <v>46.819000000000003</v>
      </c>
      <c r="AB45" s="104">
        <f t="shared" si="64"/>
        <v>40.128999999999998</v>
      </c>
      <c r="AC45" s="104">
        <f t="shared" si="65"/>
        <v>48.395000000000003</v>
      </c>
      <c r="AD45" s="104">
        <f t="shared" si="66"/>
        <v>58.728000000000002</v>
      </c>
      <c r="AE45" s="104">
        <f t="shared" si="67"/>
        <v>55.933999999999997</v>
      </c>
      <c r="AF45" s="104">
        <f t="shared" si="68"/>
        <v>54.984000000000002</v>
      </c>
      <c r="AG45" s="104">
        <f t="shared" si="69"/>
        <v>48.04</v>
      </c>
      <c r="AJ45" s="29" t="s">
        <v>124</v>
      </c>
      <c r="AK45" s="63">
        <f t="shared" si="54"/>
        <v>164.83099999999999</v>
      </c>
      <c r="AL45" s="63">
        <f t="shared" si="49"/>
        <v>87.849000000000004</v>
      </c>
      <c r="AM45" s="75">
        <f t="shared" si="55"/>
        <v>1411.126</v>
      </c>
      <c r="AO45" s="29" t="s">
        <v>124</v>
      </c>
      <c r="AP45" s="8">
        <f t="shared" si="50"/>
        <v>0.11680813761492595</v>
      </c>
      <c r="AQ45" s="8">
        <f t="shared" si="51"/>
        <v>6.2254539991467808E-2</v>
      </c>
      <c r="AR45" s="75"/>
    </row>
    <row r="46" spans="1:44" ht="12.5" x14ac:dyDescent="0.25">
      <c r="A46" s="1" t="s">
        <v>95</v>
      </c>
      <c r="B46" s="1">
        <v>31800</v>
      </c>
      <c r="C46" s="1">
        <v>31640</v>
      </c>
      <c r="D46" s="1">
        <v>81960</v>
      </c>
      <c r="E46" s="1">
        <v>17953</v>
      </c>
      <c r="F46" s="1">
        <v>19678</v>
      </c>
      <c r="G46" s="1">
        <v>22013</v>
      </c>
      <c r="H46" s="1">
        <v>19930</v>
      </c>
      <c r="I46" s="1">
        <v>28050</v>
      </c>
      <c r="J46" s="1">
        <v>21958</v>
      </c>
      <c r="K46" s="1">
        <v>20294</v>
      </c>
      <c r="L46" s="1">
        <v>30278</v>
      </c>
      <c r="M46" s="1">
        <v>27737</v>
      </c>
      <c r="N46" s="1">
        <v>26007</v>
      </c>
      <c r="O46" s="1">
        <v>25061</v>
      </c>
      <c r="P46" s="42">
        <v>404359</v>
      </c>
      <c r="S46" s="88" t="s">
        <v>124</v>
      </c>
      <c r="T46" s="104">
        <f t="shared" si="56"/>
        <v>164.40199999999999</v>
      </c>
      <c r="U46" s="104">
        <f t="shared" si="57"/>
        <v>139.76599999999999</v>
      </c>
      <c r="V46" s="104">
        <f t="shared" si="58"/>
        <v>132.749</v>
      </c>
      <c r="W46" s="104">
        <f t="shared" si="59"/>
        <v>179.94499999999999</v>
      </c>
      <c r="X46" s="104">
        <f t="shared" si="60"/>
        <v>164.44300000000001</v>
      </c>
      <c r="Y46" s="104">
        <f t="shared" si="61"/>
        <v>164.52600000000001</v>
      </c>
      <c r="Z46" s="104">
        <f t="shared" si="62"/>
        <v>163.42699999999999</v>
      </c>
      <c r="AA46" s="104">
        <f t="shared" si="63"/>
        <v>169.19800000000001</v>
      </c>
      <c r="AB46" s="104">
        <f t="shared" si="64"/>
        <v>152.018</v>
      </c>
      <c r="AC46" s="104">
        <f t="shared" si="65"/>
        <v>163.852</v>
      </c>
      <c r="AD46" s="104">
        <f t="shared" si="66"/>
        <v>177.03299999999999</v>
      </c>
      <c r="AE46" s="104">
        <f t="shared" si="67"/>
        <v>181.01599999999999</v>
      </c>
      <c r="AF46" s="104">
        <f t="shared" si="68"/>
        <v>208.464</v>
      </c>
      <c r="AG46" s="104">
        <f t="shared" si="69"/>
        <v>164.83099999999999</v>
      </c>
      <c r="AJ46" s="29" t="s">
        <v>125</v>
      </c>
      <c r="AK46" s="63">
        <f t="shared" si="54"/>
        <v>24.949000000000002</v>
      </c>
      <c r="AL46" s="63">
        <f t="shared" si="49"/>
        <v>15.343</v>
      </c>
      <c r="AM46" s="75">
        <f t="shared" si="55"/>
        <v>133.268</v>
      </c>
      <c r="AO46" s="29" t="s">
        <v>125</v>
      </c>
      <c r="AP46" s="8">
        <f t="shared" si="50"/>
        <v>0.18720923252393673</v>
      </c>
      <c r="AQ46" s="8">
        <f t="shared" si="51"/>
        <v>0.11512891316745205</v>
      </c>
      <c r="AR46" s="75"/>
    </row>
    <row r="47" spans="1:44" ht="12.5" x14ac:dyDescent="0.25">
      <c r="A47" s="1" t="s">
        <v>94</v>
      </c>
      <c r="B47" s="1">
        <v>37055</v>
      </c>
      <c r="C47" s="1">
        <v>33482</v>
      </c>
      <c r="D47" s="1">
        <v>29970</v>
      </c>
      <c r="E47" s="1">
        <v>35626</v>
      </c>
      <c r="F47" s="1">
        <v>36430</v>
      </c>
      <c r="G47" s="1">
        <v>38981</v>
      </c>
      <c r="H47" s="1">
        <v>45332</v>
      </c>
      <c r="I47" s="1">
        <v>46819</v>
      </c>
      <c r="J47" s="1">
        <v>40129</v>
      </c>
      <c r="K47" s="1">
        <v>48395</v>
      </c>
      <c r="L47" s="1">
        <v>58728</v>
      </c>
      <c r="M47" s="1">
        <v>55934</v>
      </c>
      <c r="N47" s="1">
        <v>54984</v>
      </c>
      <c r="O47" s="1">
        <v>48040</v>
      </c>
      <c r="P47" s="42">
        <v>609905</v>
      </c>
      <c r="S47" s="88" t="s">
        <v>125</v>
      </c>
      <c r="T47" s="104">
        <f t="shared" si="56"/>
        <v>17.779</v>
      </c>
      <c r="U47" s="104">
        <f t="shared" si="57"/>
        <v>18.838000000000001</v>
      </c>
      <c r="V47" s="104">
        <f t="shared" si="58"/>
        <v>17.783999999999999</v>
      </c>
      <c r="W47" s="104">
        <f t="shared" si="59"/>
        <v>17.940999999999999</v>
      </c>
      <c r="X47" s="104">
        <f t="shared" si="60"/>
        <v>19.13</v>
      </c>
      <c r="Y47" s="104">
        <f t="shared" si="61"/>
        <v>19.762</v>
      </c>
      <c r="Z47" s="104">
        <f t="shared" si="62"/>
        <v>24.547000000000001</v>
      </c>
      <c r="AA47" s="104">
        <f t="shared" si="63"/>
        <v>22.437999999999999</v>
      </c>
      <c r="AB47" s="104">
        <f t="shared" si="64"/>
        <v>20.437999999999999</v>
      </c>
      <c r="AC47" s="104">
        <f t="shared" si="65"/>
        <v>21.553000000000001</v>
      </c>
      <c r="AD47" s="104">
        <f t="shared" si="66"/>
        <v>22.905999999999999</v>
      </c>
      <c r="AE47" s="104">
        <f t="shared" si="67"/>
        <v>24.09</v>
      </c>
      <c r="AF47" s="104">
        <f t="shared" si="68"/>
        <v>23.57</v>
      </c>
      <c r="AG47" s="104">
        <f t="shared" si="69"/>
        <v>24.949000000000002</v>
      </c>
      <c r="AJ47" s="29" t="s">
        <v>126</v>
      </c>
      <c r="AK47" s="63">
        <f t="shared" si="54"/>
        <v>15.861000000000001</v>
      </c>
      <c r="AL47" s="63">
        <f t="shared" si="49"/>
        <v>11.715</v>
      </c>
      <c r="AM47" s="75">
        <f t="shared" si="55"/>
        <v>119.383</v>
      </c>
      <c r="AO47" s="29" t="s">
        <v>126</v>
      </c>
      <c r="AP47" s="8">
        <f t="shared" si="50"/>
        <v>0.13285811212651719</v>
      </c>
      <c r="AQ47" s="8">
        <f t="shared" si="51"/>
        <v>9.8129549433336405E-2</v>
      </c>
      <c r="AR47" s="75"/>
    </row>
    <row r="48" spans="1:44" ht="12.5" x14ac:dyDescent="0.25">
      <c r="A48" s="1" t="s">
        <v>93</v>
      </c>
      <c r="B48" s="1">
        <v>164402</v>
      </c>
      <c r="C48" s="1">
        <v>139766</v>
      </c>
      <c r="D48" s="1">
        <v>132749</v>
      </c>
      <c r="E48" s="1">
        <v>179945</v>
      </c>
      <c r="F48" s="1">
        <v>164443</v>
      </c>
      <c r="G48" s="1">
        <v>164526</v>
      </c>
      <c r="H48" s="1">
        <v>163427</v>
      </c>
      <c r="I48" s="1">
        <v>169198</v>
      </c>
      <c r="J48" s="1">
        <v>152018</v>
      </c>
      <c r="K48" s="1">
        <v>163852</v>
      </c>
      <c r="L48" s="1">
        <v>177033</v>
      </c>
      <c r="M48" s="1">
        <v>181016</v>
      </c>
      <c r="N48" s="1">
        <v>208464</v>
      </c>
      <c r="O48" s="1">
        <v>164831</v>
      </c>
      <c r="P48" s="42">
        <v>2325670</v>
      </c>
      <c r="S48" s="88" t="s">
        <v>126</v>
      </c>
      <c r="T48" s="104">
        <f t="shared" si="56"/>
        <v>18.353000000000002</v>
      </c>
      <c r="U48" s="104">
        <f t="shared" si="57"/>
        <v>19.826000000000001</v>
      </c>
      <c r="V48" s="104">
        <f t="shared" si="58"/>
        <v>22.582999999999998</v>
      </c>
      <c r="W48" s="104">
        <f t="shared" si="59"/>
        <v>21.077000000000002</v>
      </c>
      <c r="X48" s="104">
        <f t="shared" si="60"/>
        <v>16.173999999999999</v>
      </c>
      <c r="Y48" s="104">
        <f t="shared" si="61"/>
        <v>16.785</v>
      </c>
      <c r="Z48" s="104">
        <f t="shared" si="62"/>
        <v>18.606000000000002</v>
      </c>
      <c r="AA48" s="104">
        <f t="shared" si="63"/>
        <v>23.038</v>
      </c>
      <c r="AB48" s="104">
        <f t="shared" si="64"/>
        <v>17.343</v>
      </c>
      <c r="AC48" s="104">
        <f t="shared" si="65"/>
        <v>17.927</v>
      </c>
      <c r="AD48" s="104">
        <f t="shared" si="66"/>
        <v>22.254000000000001</v>
      </c>
      <c r="AE48" s="104">
        <f t="shared" si="67"/>
        <v>18.513999999999999</v>
      </c>
      <c r="AF48" s="104">
        <f t="shared" si="68"/>
        <v>16.960999999999999</v>
      </c>
      <c r="AG48" s="104">
        <f t="shared" si="69"/>
        <v>15.861000000000001</v>
      </c>
      <c r="AJ48" s="29" t="s">
        <v>159</v>
      </c>
      <c r="AK48" s="63">
        <f t="shared" si="54"/>
        <v>234.02199999999999</v>
      </c>
      <c r="AL48" s="63">
        <f t="shared" si="49"/>
        <v>157.13999999999999</v>
      </c>
      <c r="AM48" s="75">
        <f t="shared" si="55"/>
        <v>671.43100000000004</v>
      </c>
      <c r="AO48" s="29" t="s">
        <v>159</v>
      </c>
      <c r="AP48" s="8">
        <f t="shared" si="50"/>
        <v>0.34854214357097002</v>
      </c>
      <c r="AQ48" s="8">
        <f t="shared" si="51"/>
        <v>0.23403745135389933</v>
      </c>
      <c r="AR48" s="75"/>
    </row>
    <row r="49" spans="1:44" ht="12.5" x14ac:dyDescent="0.25">
      <c r="A49" s="1" t="s">
        <v>92</v>
      </c>
      <c r="B49" s="1">
        <v>17779</v>
      </c>
      <c r="C49" s="1">
        <v>18838</v>
      </c>
      <c r="D49" s="1">
        <v>17784</v>
      </c>
      <c r="E49" s="1">
        <v>17941</v>
      </c>
      <c r="F49" s="1">
        <v>19130</v>
      </c>
      <c r="G49" s="1">
        <v>19762</v>
      </c>
      <c r="H49" s="1">
        <v>24547</v>
      </c>
      <c r="I49" s="1">
        <v>22438</v>
      </c>
      <c r="J49" s="1">
        <v>20438</v>
      </c>
      <c r="K49" s="1">
        <v>21553</v>
      </c>
      <c r="L49" s="1">
        <v>22906</v>
      </c>
      <c r="M49" s="1">
        <v>24090</v>
      </c>
      <c r="N49" s="1">
        <v>23570</v>
      </c>
      <c r="O49" s="1">
        <v>24949</v>
      </c>
      <c r="P49" s="42">
        <v>295725</v>
      </c>
      <c r="S49" s="88" t="s">
        <v>159</v>
      </c>
      <c r="T49" s="104">
        <f t="shared" si="56"/>
        <v>184.16800000000001</v>
      </c>
      <c r="U49" s="104">
        <f t="shared" si="57"/>
        <v>170.57400000000001</v>
      </c>
      <c r="V49" s="104">
        <f t="shared" si="58"/>
        <v>178.245</v>
      </c>
      <c r="W49" s="104">
        <f t="shared" si="59"/>
        <v>203.774</v>
      </c>
      <c r="X49" s="104">
        <f t="shared" si="60"/>
        <v>272.87200000000001</v>
      </c>
      <c r="Y49" s="104">
        <f t="shared" si="61"/>
        <v>262.80099999999999</v>
      </c>
      <c r="Z49" s="104">
        <f t="shared" si="62"/>
        <v>276.31700000000001</v>
      </c>
      <c r="AA49" s="104">
        <f t="shared" si="63"/>
        <v>310.209</v>
      </c>
      <c r="AB49" s="104">
        <f t="shared" si="64"/>
        <v>296.81599999999997</v>
      </c>
      <c r="AC49" s="104">
        <f t="shared" si="65"/>
        <v>241.19499999999999</v>
      </c>
      <c r="AD49" s="104">
        <f t="shared" si="66"/>
        <v>291.47300000000001</v>
      </c>
      <c r="AE49" s="104">
        <f t="shared" si="67"/>
        <v>274.154</v>
      </c>
      <c r="AF49" s="104">
        <f t="shared" si="68"/>
        <v>241.19300000000001</v>
      </c>
      <c r="AG49" s="104">
        <f t="shared" si="69"/>
        <v>234.02199999999999</v>
      </c>
      <c r="AJ49" s="29"/>
      <c r="AK49" s="63"/>
      <c r="AL49" s="63"/>
      <c r="AM49" s="75"/>
      <c r="AO49" s="29"/>
      <c r="AP49" s="8"/>
      <c r="AQ49" s="8"/>
      <c r="AR49" s="75"/>
    </row>
    <row r="50" spans="1:44" ht="12.5" x14ac:dyDescent="0.25">
      <c r="A50" s="1" t="s">
        <v>91</v>
      </c>
      <c r="B50" s="1">
        <v>18353</v>
      </c>
      <c r="C50" s="1">
        <v>19826</v>
      </c>
      <c r="D50" s="1">
        <v>22583</v>
      </c>
      <c r="E50" s="1">
        <v>21077</v>
      </c>
      <c r="F50" s="1">
        <v>16174</v>
      </c>
      <c r="G50" s="1">
        <v>16785</v>
      </c>
      <c r="H50" s="1">
        <v>18606</v>
      </c>
      <c r="I50" s="1">
        <v>23038</v>
      </c>
      <c r="J50" s="1">
        <v>17343</v>
      </c>
      <c r="K50" s="1">
        <v>17927</v>
      </c>
      <c r="L50" s="1">
        <v>22254</v>
      </c>
      <c r="M50" s="1">
        <v>18514</v>
      </c>
      <c r="N50" s="1">
        <v>16961</v>
      </c>
      <c r="O50" s="1">
        <v>15861</v>
      </c>
      <c r="P50" s="42">
        <v>265302</v>
      </c>
      <c r="S50" s="88"/>
      <c r="T50" s="104"/>
      <c r="U50" s="104"/>
      <c r="V50" s="104"/>
      <c r="W50" s="104"/>
      <c r="X50" s="104"/>
      <c r="Y50" s="104"/>
      <c r="Z50" s="104"/>
      <c r="AA50" s="104"/>
      <c r="AB50" s="104"/>
      <c r="AC50" s="104"/>
      <c r="AD50" s="104"/>
      <c r="AE50" s="104"/>
      <c r="AF50" s="104"/>
      <c r="AG50" s="104"/>
      <c r="AJ50" s="29" t="s">
        <v>31</v>
      </c>
      <c r="AK50" s="63">
        <f>O53/1000</f>
        <v>1316.4749999999999</v>
      </c>
      <c r="AL50" s="63">
        <f t="shared" si="49"/>
        <v>768.71799999999996</v>
      </c>
      <c r="AM50" s="75">
        <f>O26/1000</f>
        <v>8261.7909999999993</v>
      </c>
      <c r="AO50" s="29" t="s">
        <v>31</v>
      </c>
      <c r="AP50" s="8">
        <f t="shared" ref="AP50" si="70">AK50/AM50</f>
        <v>0.15934498948230474</v>
      </c>
      <c r="AQ50" s="8">
        <f t="shared" ref="AQ50" si="71">AL50/AM50</f>
        <v>9.3044958411559922E-2</v>
      </c>
      <c r="AR50" s="75"/>
    </row>
    <row r="51" spans="1:44" ht="12.5" x14ac:dyDescent="0.25">
      <c r="A51" s="1" t="s">
        <v>90</v>
      </c>
      <c r="B51" s="1">
        <v>184168</v>
      </c>
      <c r="C51" s="1">
        <v>170574</v>
      </c>
      <c r="D51" s="1">
        <v>178245</v>
      </c>
      <c r="E51" s="1">
        <v>203774</v>
      </c>
      <c r="F51" s="1">
        <v>272872</v>
      </c>
      <c r="G51" s="1">
        <v>262801</v>
      </c>
      <c r="H51" s="1">
        <v>276317</v>
      </c>
      <c r="I51" s="1">
        <v>310209</v>
      </c>
      <c r="J51" s="1">
        <v>296816</v>
      </c>
      <c r="K51" s="1">
        <v>241195</v>
      </c>
      <c r="L51" s="1">
        <v>291473</v>
      </c>
      <c r="M51" s="1">
        <v>274154</v>
      </c>
      <c r="N51" s="1">
        <v>241193</v>
      </c>
      <c r="O51" s="1">
        <v>234022</v>
      </c>
      <c r="P51" s="42">
        <v>3437813</v>
      </c>
      <c r="S51" s="88" t="s">
        <v>31</v>
      </c>
      <c r="T51" s="104">
        <f t="shared" ref="T51" si="72">B53/1000</f>
        <v>1122.9380000000001</v>
      </c>
      <c r="U51" s="104">
        <f t="shared" ref="U51" si="73">C53/1000</f>
        <v>1001.65</v>
      </c>
      <c r="V51" s="104">
        <f t="shared" ref="V51" si="74">D53/1000</f>
        <v>1037.5920000000001</v>
      </c>
      <c r="W51" s="104">
        <f t="shared" ref="W51" si="75">E53/1000</f>
        <v>1117.9649999999999</v>
      </c>
      <c r="X51" s="104">
        <f t="shared" ref="X51" si="76">F53/1000</f>
        <v>1175.5440000000001</v>
      </c>
      <c r="Y51" s="104">
        <f t="shared" ref="Y51" si="77">G53/1000</f>
        <v>1250.0170000000001</v>
      </c>
      <c r="Z51" s="104">
        <f t="shared" ref="Z51" si="78">H53/1000</f>
        <v>1305.9749999999999</v>
      </c>
      <c r="AA51" s="104">
        <f t="shared" ref="AA51" si="79">I53/1000</f>
        <v>1415.0029999999999</v>
      </c>
      <c r="AB51" s="104">
        <f t="shared" ref="AB51" si="80">J53/1000</f>
        <v>1241.338</v>
      </c>
      <c r="AC51" s="104">
        <f t="shared" ref="AC51" si="81">K53/1000</f>
        <v>1263.509</v>
      </c>
      <c r="AD51" s="104">
        <f t="shared" ref="AD51" si="82">L53/1000</f>
        <v>1452.932</v>
      </c>
      <c r="AE51" s="104">
        <f t="shared" ref="AE51" si="83">M53/1000</f>
        <v>1432.567</v>
      </c>
      <c r="AF51" s="104">
        <f t="shared" ref="AF51" si="84">N53/1000</f>
        <v>1386.164</v>
      </c>
      <c r="AG51" s="104">
        <f>O53/1000</f>
        <v>1316.4749999999999</v>
      </c>
      <c r="AJ51" s="5"/>
      <c r="AK51" s="39"/>
      <c r="AL51" s="39"/>
      <c r="AM51" s="5"/>
      <c r="AO51" s="5"/>
      <c r="AP51" s="76">
        <f>AP50</f>
        <v>0.15934498948230474</v>
      </c>
      <c r="AQ51" s="76">
        <f>AQ50</f>
        <v>9.3044958411559922E-2</v>
      </c>
      <c r="AR51" s="5"/>
    </row>
    <row r="52" spans="1:44" ht="12.5" x14ac:dyDescent="0.25">
      <c r="T52" s="14" t="b">
        <f>SUM(T32:T49)=T51</f>
        <v>1</v>
      </c>
      <c r="U52" s="14" t="b">
        <f t="shared" ref="U52" si="85">SUM(U32:U49)=U51</f>
        <v>1</v>
      </c>
      <c r="V52" s="14" t="b">
        <f t="shared" ref="V52" si="86">SUM(V32:V49)=V51</f>
        <v>1</v>
      </c>
      <c r="W52" s="14" t="b">
        <f t="shared" ref="W52" si="87">SUM(W32:W49)=W51</f>
        <v>1</v>
      </c>
      <c r="X52" s="14" t="b">
        <f t="shared" ref="X52" si="88">SUM(X32:X49)=X51</f>
        <v>1</v>
      </c>
      <c r="Y52" s="14" t="b">
        <f t="shared" ref="Y52" si="89">SUM(Y32:Y49)=Y51</f>
        <v>1</v>
      </c>
      <c r="Z52" s="14" t="b">
        <f t="shared" ref="Z52" si="90">SUM(Z32:Z49)=Z51</f>
        <v>1</v>
      </c>
      <c r="AA52" s="14" t="b">
        <f t="shared" ref="AA52" si="91">SUM(AA32:AA49)=AA51</f>
        <v>1</v>
      </c>
      <c r="AB52" s="14" t="b">
        <f t="shared" ref="AB52" si="92">SUM(AB32:AB49)=AB51</f>
        <v>1</v>
      </c>
      <c r="AC52" s="14" t="b">
        <f t="shared" ref="AC52" si="93">SUM(AC32:AC49)=AC51</f>
        <v>1</v>
      </c>
      <c r="AD52" s="14" t="b">
        <f t="shared" ref="AD52" si="94">SUM(AD32:AD49)=AD51</f>
        <v>1</v>
      </c>
      <c r="AE52" s="14" t="b">
        <f t="shared" ref="AE52" si="95">SUM(AE32:AE49)=AE51</f>
        <v>1</v>
      </c>
      <c r="AF52" s="14" t="b">
        <f t="shared" ref="AF52" si="96">SUM(AF32:AF49)=AF51</f>
        <v>1</v>
      </c>
      <c r="AG52" s="14" t="b">
        <f t="shared" ref="AG52" si="97">SUM(AG32:AG49)=AG51</f>
        <v>1</v>
      </c>
      <c r="AJ52" s="5"/>
      <c r="AK52" s="8"/>
      <c r="AL52" s="8"/>
      <c r="AM52" s="5"/>
      <c r="AO52" s="5"/>
      <c r="AP52" s="8"/>
      <c r="AQ52" s="8"/>
      <c r="AR52" s="5"/>
    </row>
    <row r="53" spans="1:44" ht="12.5" x14ac:dyDescent="0.25">
      <c r="A53" s="1" t="s">
        <v>2</v>
      </c>
      <c r="B53" s="1">
        <v>1122938</v>
      </c>
      <c r="C53" s="1">
        <v>1001650</v>
      </c>
      <c r="D53" s="1">
        <v>1037592</v>
      </c>
      <c r="E53" s="1">
        <v>1117965</v>
      </c>
      <c r="F53" s="1">
        <v>1175544</v>
      </c>
      <c r="G53" s="1">
        <v>1250017</v>
      </c>
      <c r="H53" s="1">
        <v>1305975</v>
      </c>
      <c r="I53" s="1">
        <v>1415003</v>
      </c>
      <c r="J53" s="1">
        <v>1241338</v>
      </c>
      <c r="K53" s="1">
        <v>1263509</v>
      </c>
      <c r="L53" s="1">
        <v>1452932</v>
      </c>
      <c r="M53" s="1">
        <v>1432567</v>
      </c>
      <c r="N53" s="1">
        <v>1386164</v>
      </c>
      <c r="O53" s="1">
        <v>1316475</v>
      </c>
      <c r="P53" s="42">
        <v>17519669</v>
      </c>
    </row>
    <row r="56" spans="1:44" ht="13" x14ac:dyDescent="0.3">
      <c r="A56" s="1" t="s">
        <v>170</v>
      </c>
    </row>
    <row r="57" spans="1:44" ht="13" x14ac:dyDescent="0.3">
      <c r="A57" s="1" t="s">
        <v>110</v>
      </c>
      <c r="B57" s="1">
        <v>2011</v>
      </c>
      <c r="C57" s="1">
        <v>2012</v>
      </c>
      <c r="D57" s="1">
        <v>2013</v>
      </c>
      <c r="E57" s="1">
        <v>2014</v>
      </c>
      <c r="F57" s="1">
        <v>2015</v>
      </c>
      <c r="G57" s="1">
        <v>2016</v>
      </c>
      <c r="H57" s="1">
        <v>2017</v>
      </c>
      <c r="I57" s="1">
        <v>2018</v>
      </c>
      <c r="J57" s="1">
        <v>2019</v>
      </c>
      <c r="K57" s="1">
        <v>2020</v>
      </c>
      <c r="L57" s="1">
        <v>2021</v>
      </c>
      <c r="M57" s="1">
        <v>2022</v>
      </c>
      <c r="N57" s="1">
        <v>2023</v>
      </c>
      <c r="O57" s="1">
        <v>2024</v>
      </c>
      <c r="P57" s="42" t="s">
        <v>2</v>
      </c>
      <c r="S57" s="93" t="s">
        <v>234</v>
      </c>
      <c r="T57" s="94"/>
      <c r="U57" s="94"/>
      <c r="V57" s="94"/>
      <c r="W57" s="94"/>
      <c r="X57" s="94"/>
      <c r="Y57" s="94"/>
      <c r="Z57" s="94"/>
      <c r="AA57" s="94"/>
      <c r="AB57" s="94"/>
      <c r="AC57" s="94"/>
      <c r="AD57" s="94"/>
      <c r="AE57" s="94"/>
      <c r="AF57" s="94"/>
      <c r="AG57" s="94"/>
    </row>
    <row r="58" spans="1:44" ht="13" x14ac:dyDescent="0.3">
      <c r="S58" s="94"/>
      <c r="T58" s="103">
        <v>2011</v>
      </c>
      <c r="U58" s="103">
        <v>2012</v>
      </c>
      <c r="V58" s="103">
        <v>2013</v>
      </c>
      <c r="W58" s="103">
        <v>2014</v>
      </c>
      <c r="X58" s="103">
        <v>2015</v>
      </c>
      <c r="Y58" s="103">
        <v>2016</v>
      </c>
      <c r="Z58" s="103">
        <v>2017</v>
      </c>
      <c r="AA58" s="103">
        <v>2018</v>
      </c>
      <c r="AB58" s="103">
        <v>2019</v>
      </c>
      <c r="AC58" s="103">
        <v>2020</v>
      </c>
      <c r="AD58" s="103">
        <v>2021</v>
      </c>
      <c r="AE58" s="103">
        <v>2022</v>
      </c>
      <c r="AF58" s="103">
        <v>2023</v>
      </c>
      <c r="AG58" s="103">
        <v>2024</v>
      </c>
    </row>
    <row r="59" spans="1:44" ht="12.5" x14ac:dyDescent="0.25">
      <c r="A59" s="1" t="s">
        <v>109</v>
      </c>
      <c r="B59" s="1">
        <v>10000</v>
      </c>
      <c r="C59" s="1">
        <v>9754</v>
      </c>
      <c r="D59" s="1">
        <v>9739</v>
      </c>
      <c r="E59" s="1">
        <v>9230</v>
      </c>
      <c r="F59" s="1">
        <v>8900</v>
      </c>
      <c r="G59" s="1">
        <v>8287</v>
      </c>
      <c r="H59" s="1">
        <v>7907</v>
      </c>
      <c r="I59" s="1">
        <v>16619</v>
      </c>
      <c r="J59" s="1">
        <v>14653</v>
      </c>
      <c r="K59" s="1">
        <v>12781</v>
      </c>
      <c r="L59" s="1">
        <v>18078</v>
      </c>
      <c r="M59" s="1">
        <v>16936</v>
      </c>
      <c r="N59" s="1">
        <v>16538</v>
      </c>
      <c r="O59" s="1">
        <v>16446</v>
      </c>
      <c r="P59" s="42">
        <v>175868</v>
      </c>
      <c r="S59" s="88" t="s">
        <v>111</v>
      </c>
      <c r="T59" s="104">
        <f t="shared" ref="T59:AF59" si="98">B59/1000</f>
        <v>10</v>
      </c>
      <c r="U59" s="104">
        <f t="shared" si="98"/>
        <v>9.7539999999999996</v>
      </c>
      <c r="V59" s="104">
        <f t="shared" si="98"/>
        <v>9.7390000000000008</v>
      </c>
      <c r="W59" s="104">
        <f t="shared" si="98"/>
        <v>9.23</v>
      </c>
      <c r="X59" s="104">
        <f t="shared" si="98"/>
        <v>8.9</v>
      </c>
      <c r="Y59" s="104">
        <f t="shared" si="98"/>
        <v>8.2870000000000008</v>
      </c>
      <c r="Z59" s="104">
        <f t="shared" si="98"/>
        <v>7.907</v>
      </c>
      <c r="AA59" s="104">
        <f t="shared" si="98"/>
        <v>16.619</v>
      </c>
      <c r="AB59" s="104">
        <f t="shared" si="98"/>
        <v>14.653</v>
      </c>
      <c r="AC59" s="104">
        <f t="shared" si="98"/>
        <v>12.781000000000001</v>
      </c>
      <c r="AD59" s="104">
        <f t="shared" si="98"/>
        <v>18.077999999999999</v>
      </c>
      <c r="AE59" s="104">
        <f t="shared" si="98"/>
        <v>16.936</v>
      </c>
      <c r="AF59" s="104">
        <f t="shared" si="98"/>
        <v>16.538</v>
      </c>
      <c r="AG59" s="104">
        <f>O59/1000</f>
        <v>16.446000000000002</v>
      </c>
    </row>
    <row r="60" spans="1:44" ht="12.5" x14ac:dyDescent="0.25">
      <c r="A60" s="1" t="s">
        <v>108</v>
      </c>
      <c r="B60" s="1">
        <v>542</v>
      </c>
      <c r="C60" s="1">
        <v>440</v>
      </c>
      <c r="D60" s="1">
        <v>539</v>
      </c>
      <c r="E60" s="1">
        <v>605</v>
      </c>
      <c r="F60" s="1">
        <v>786</v>
      </c>
      <c r="G60" s="1">
        <v>1039</v>
      </c>
      <c r="H60" s="1">
        <v>526</v>
      </c>
      <c r="I60" s="1">
        <v>559</v>
      </c>
      <c r="J60" s="1">
        <v>504</v>
      </c>
      <c r="K60" s="1">
        <v>795</v>
      </c>
      <c r="L60" s="1">
        <v>435</v>
      </c>
      <c r="M60" s="1">
        <v>519</v>
      </c>
      <c r="N60" s="1">
        <v>482</v>
      </c>
      <c r="O60" s="1">
        <v>635</v>
      </c>
      <c r="P60" s="42">
        <v>8406</v>
      </c>
      <c r="S60" s="88" t="s">
        <v>180</v>
      </c>
      <c r="T60" s="104">
        <f t="shared" ref="T60:AG60" si="99">(B60+B61)/1000</f>
        <v>41.828000000000003</v>
      </c>
      <c r="U60" s="104">
        <f t="shared" si="99"/>
        <v>43.317</v>
      </c>
      <c r="V60" s="104">
        <f t="shared" si="99"/>
        <v>37.627000000000002</v>
      </c>
      <c r="W60" s="104">
        <f t="shared" si="99"/>
        <v>35.113</v>
      </c>
      <c r="X60" s="104">
        <f t="shared" si="99"/>
        <v>32.036000000000001</v>
      </c>
      <c r="Y60" s="104">
        <f t="shared" si="99"/>
        <v>31.539000000000001</v>
      </c>
      <c r="Z60" s="104">
        <f t="shared" si="99"/>
        <v>31.62</v>
      </c>
      <c r="AA60" s="104">
        <f t="shared" si="99"/>
        <v>36.383000000000003</v>
      </c>
      <c r="AB60" s="104">
        <f t="shared" si="99"/>
        <v>41.951999999999998</v>
      </c>
      <c r="AC60" s="104">
        <f t="shared" si="99"/>
        <v>39.097999999999999</v>
      </c>
      <c r="AD60" s="104">
        <f t="shared" si="99"/>
        <v>39.347999999999999</v>
      </c>
      <c r="AE60" s="104">
        <f t="shared" si="99"/>
        <v>42.301000000000002</v>
      </c>
      <c r="AF60" s="104">
        <f t="shared" si="99"/>
        <v>46.692</v>
      </c>
      <c r="AG60" s="104">
        <f t="shared" si="99"/>
        <v>46.856000000000002</v>
      </c>
    </row>
    <row r="61" spans="1:44" ht="12.5" x14ac:dyDescent="0.25">
      <c r="A61" s="1" t="s">
        <v>107</v>
      </c>
      <c r="B61" s="1">
        <v>41286</v>
      </c>
      <c r="C61" s="1">
        <v>42877</v>
      </c>
      <c r="D61" s="1">
        <v>37088</v>
      </c>
      <c r="E61" s="1">
        <v>34508</v>
      </c>
      <c r="F61" s="1">
        <v>31250</v>
      </c>
      <c r="G61" s="1">
        <v>30500</v>
      </c>
      <c r="H61" s="1">
        <v>31094</v>
      </c>
      <c r="I61" s="1">
        <v>35824</v>
      </c>
      <c r="J61" s="1">
        <v>41448</v>
      </c>
      <c r="K61" s="1">
        <v>38303</v>
      </c>
      <c r="L61" s="1">
        <v>38913</v>
      </c>
      <c r="M61" s="1">
        <v>41782</v>
      </c>
      <c r="N61" s="1">
        <v>46210</v>
      </c>
      <c r="O61" s="1">
        <v>46221</v>
      </c>
      <c r="P61" s="42">
        <v>537304</v>
      </c>
      <c r="S61" s="88" t="s">
        <v>181</v>
      </c>
      <c r="T61" s="104">
        <f t="shared" ref="T61:AG61" si="100">(B62+B63)/1000</f>
        <v>2.58</v>
      </c>
      <c r="U61" s="104">
        <f t="shared" si="100"/>
        <v>3.1230000000000002</v>
      </c>
      <c r="V61" s="104">
        <f t="shared" si="100"/>
        <v>2.9159999999999999</v>
      </c>
      <c r="W61" s="104">
        <f t="shared" si="100"/>
        <v>2.84</v>
      </c>
      <c r="X61" s="104">
        <f t="shared" si="100"/>
        <v>2.762</v>
      </c>
      <c r="Y61" s="104">
        <f t="shared" si="100"/>
        <v>2.7639999999999998</v>
      </c>
      <c r="Z61" s="104">
        <f t="shared" si="100"/>
        <v>2.843</v>
      </c>
      <c r="AA61" s="104">
        <f t="shared" si="100"/>
        <v>3.165</v>
      </c>
      <c r="AB61" s="104">
        <f t="shared" si="100"/>
        <v>3.3239999999999998</v>
      </c>
      <c r="AC61" s="104">
        <f t="shared" si="100"/>
        <v>3.113</v>
      </c>
      <c r="AD61" s="104">
        <f t="shared" si="100"/>
        <v>3.129</v>
      </c>
      <c r="AE61" s="104">
        <f t="shared" si="100"/>
        <v>4.5430000000000001</v>
      </c>
      <c r="AF61" s="104">
        <f t="shared" si="100"/>
        <v>3.8090000000000002</v>
      </c>
      <c r="AG61" s="104">
        <f t="shared" si="100"/>
        <v>4.266</v>
      </c>
    </row>
    <row r="62" spans="1:44" ht="12.5" x14ac:dyDescent="0.25">
      <c r="A62" s="1" t="s">
        <v>106</v>
      </c>
      <c r="B62" s="1">
        <v>958</v>
      </c>
      <c r="C62" s="1">
        <v>1246</v>
      </c>
      <c r="D62" s="1">
        <v>1330</v>
      </c>
      <c r="E62" s="1">
        <v>1394</v>
      </c>
      <c r="F62" s="1">
        <v>1353</v>
      </c>
      <c r="G62" s="1">
        <v>1401</v>
      </c>
      <c r="H62" s="1">
        <v>1420</v>
      </c>
      <c r="I62" s="1">
        <v>1584</v>
      </c>
      <c r="J62" s="1">
        <v>1470</v>
      </c>
      <c r="K62" s="1">
        <v>1458</v>
      </c>
      <c r="L62" s="1">
        <v>1498</v>
      </c>
      <c r="M62" s="1">
        <v>2666</v>
      </c>
      <c r="N62" s="1">
        <v>1709</v>
      </c>
      <c r="O62" s="1">
        <v>2088</v>
      </c>
      <c r="P62" s="42">
        <v>21575</v>
      </c>
      <c r="S62" s="88" t="s">
        <v>114</v>
      </c>
      <c r="T62" s="104">
        <f t="shared" ref="T62:AF76" si="101">B64/1000</f>
        <v>28.123000000000001</v>
      </c>
      <c r="U62" s="104">
        <f t="shared" si="101"/>
        <v>31.283999999999999</v>
      </c>
      <c r="V62" s="104">
        <f t="shared" si="101"/>
        <v>22.768999999999998</v>
      </c>
      <c r="W62" s="104">
        <f t="shared" si="101"/>
        <v>18.416</v>
      </c>
      <c r="X62" s="104">
        <f t="shared" si="101"/>
        <v>14.746</v>
      </c>
      <c r="Y62" s="104">
        <f t="shared" si="101"/>
        <v>13.606</v>
      </c>
      <c r="Z62" s="104">
        <f t="shared" si="101"/>
        <v>15.009</v>
      </c>
      <c r="AA62" s="104">
        <f t="shared" si="101"/>
        <v>17.11</v>
      </c>
      <c r="AB62" s="104">
        <f t="shared" si="101"/>
        <v>19.164999999999999</v>
      </c>
      <c r="AC62" s="104">
        <f t="shared" si="101"/>
        <v>19.434000000000001</v>
      </c>
      <c r="AD62" s="104">
        <f t="shared" si="101"/>
        <v>20.376999999999999</v>
      </c>
      <c r="AE62" s="104">
        <f t="shared" si="101"/>
        <v>21.695</v>
      </c>
      <c r="AF62" s="104">
        <f t="shared" si="101"/>
        <v>22.512</v>
      </c>
      <c r="AG62" s="104">
        <f t="shared" ref="AG62:AG76" si="102">O64/1000</f>
        <v>20.518999999999998</v>
      </c>
    </row>
    <row r="63" spans="1:44" ht="12.5" x14ac:dyDescent="0.25">
      <c r="A63" s="1" t="s">
        <v>105</v>
      </c>
      <c r="B63" s="1">
        <v>1622</v>
      </c>
      <c r="C63" s="1">
        <v>1877</v>
      </c>
      <c r="D63" s="1">
        <v>1586</v>
      </c>
      <c r="E63" s="1">
        <v>1446</v>
      </c>
      <c r="F63" s="1">
        <v>1409</v>
      </c>
      <c r="G63" s="1">
        <v>1363</v>
      </c>
      <c r="H63" s="1">
        <v>1423</v>
      </c>
      <c r="I63" s="1">
        <v>1581</v>
      </c>
      <c r="J63" s="1">
        <v>1854</v>
      </c>
      <c r="K63" s="1">
        <v>1655</v>
      </c>
      <c r="L63" s="1">
        <v>1631</v>
      </c>
      <c r="M63" s="1">
        <v>1877</v>
      </c>
      <c r="N63" s="1">
        <v>2100</v>
      </c>
      <c r="O63" s="1">
        <v>2178</v>
      </c>
      <c r="P63" s="42">
        <v>23602</v>
      </c>
      <c r="S63" s="88" t="s">
        <v>115</v>
      </c>
      <c r="T63" s="104">
        <f t="shared" si="101"/>
        <v>125.104</v>
      </c>
      <c r="U63" s="104">
        <f t="shared" si="101"/>
        <v>135.12200000000001</v>
      </c>
      <c r="V63" s="104">
        <f t="shared" si="101"/>
        <v>127.965</v>
      </c>
      <c r="W63" s="104">
        <f t="shared" si="101"/>
        <v>127.383</v>
      </c>
      <c r="X63" s="104">
        <f t="shared" si="101"/>
        <v>127.22199999999999</v>
      </c>
      <c r="Y63" s="104">
        <f t="shared" si="101"/>
        <v>117.779</v>
      </c>
      <c r="Z63" s="104">
        <f t="shared" si="101"/>
        <v>119.745</v>
      </c>
      <c r="AA63" s="104">
        <f t="shared" si="101"/>
        <v>126.649</v>
      </c>
      <c r="AB63" s="104">
        <f t="shared" si="101"/>
        <v>136.87200000000001</v>
      </c>
      <c r="AC63" s="104">
        <f t="shared" si="101"/>
        <v>119.35</v>
      </c>
      <c r="AD63" s="104">
        <f t="shared" si="101"/>
        <v>123.687</v>
      </c>
      <c r="AE63" s="104">
        <f t="shared" si="101"/>
        <v>131.78299999999999</v>
      </c>
      <c r="AF63" s="104">
        <f t="shared" si="101"/>
        <v>135.756</v>
      </c>
      <c r="AG63" s="104">
        <f t="shared" si="102"/>
        <v>138.02699999999999</v>
      </c>
    </row>
    <row r="64" spans="1:44" ht="12.5" x14ac:dyDescent="0.25">
      <c r="A64" s="1" t="s">
        <v>104</v>
      </c>
      <c r="B64" s="1">
        <v>28123</v>
      </c>
      <c r="C64" s="1">
        <v>31284</v>
      </c>
      <c r="D64" s="1">
        <v>22769</v>
      </c>
      <c r="E64" s="1">
        <v>18416</v>
      </c>
      <c r="F64" s="1">
        <v>14746</v>
      </c>
      <c r="G64" s="1">
        <v>13606</v>
      </c>
      <c r="H64" s="1">
        <v>15009</v>
      </c>
      <c r="I64" s="1">
        <v>17110</v>
      </c>
      <c r="J64" s="1">
        <v>19165</v>
      </c>
      <c r="K64" s="1">
        <v>19434</v>
      </c>
      <c r="L64" s="1">
        <v>20377</v>
      </c>
      <c r="M64" s="1">
        <v>21695</v>
      </c>
      <c r="N64" s="1">
        <v>22512</v>
      </c>
      <c r="O64" s="1">
        <v>20519</v>
      </c>
      <c r="P64" s="42">
        <v>284765</v>
      </c>
      <c r="S64" s="88" t="s">
        <v>116</v>
      </c>
      <c r="T64" s="104">
        <f t="shared" si="101"/>
        <v>27.754999999999999</v>
      </c>
      <c r="U64" s="104">
        <f t="shared" si="101"/>
        <v>28.108000000000001</v>
      </c>
      <c r="V64" s="104">
        <f t="shared" si="101"/>
        <v>26.129000000000001</v>
      </c>
      <c r="W64" s="104">
        <f t="shared" si="101"/>
        <v>24.798999999999999</v>
      </c>
      <c r="X64" s="104">
        <f t="shared" si="101"/>
        <v>23.591000000000001</v>
      </c>
      <c r="Y64" s="104">
        <f t="shared" si="101"/>
        <v>22.134</v>
      </c>
      <c r="Z64" s="104">
        <f t="shared" si="101"/>
        <v>22.72</v>
      </c>
      <c r="AA64" s="104">
        <f t="shared" si="101"/>
        <v>25.588000000000001</v>
      </c>
      <c r="AB64" s="104">
        <f t="shared" si="101"/>
        <v>32.225999999999999</v>
      </c>
      <c r="AC64" s="104">
        <f t="shared" si="101"/>
        <v>26.535</v>
      </c>
      <c r="AD64" s="104">
        <f t="shared" si="101"/>
        <v>27.059000000000001</v>
      </c>
      <c r="AE64" s="104">
        <f t="shared" si="101"/>
        <v>28.809000000000001</v>
      </c>
      <c r="AF64" s="104">
        <f t="shared" si="101"/>
        <v>29.465</v>
      </c>
      <c r="AG64" s="104">
        <f t="shared" si="102"/>
        <v>29.777000000000001</v>
      </c>
    </row>
    <row r="65" spans="1:33" ht="12.5" x14ac:dyDescent="0.25">
      <c r="A65" s="1" t="s">
        <v>103</v>
      </c>
      <c r="B65" s="1">
        <v>125104</v>
      </c>
      <c r="C65" s="1">
        <v>135122</v>
      </c>
      <c r="D65" s="1">
        <v>127965</v>
      </c>
      <c r="E65" s="1">
        <v>127383</v>
      </c>
      <c r="F65" s="1">
        <v>127222</v>
      </c>
      <c r="G65" s="1">
        <v>117779</v>
      </c>
      <c r="H65" s="1">
        <v>119745</v>
      </c>
      <c r="I65" s="1">
        <v>126649</v>
      </c>
      <c r="J65" s="1">
        <v>136872</v>
      </c>
      <c r="K65" s="1">
        <v>119350</v>
      </c>
      <c r="L65" s="1">
        <v>123687</v>
      </c>
      <c r="M65" s="1">
        <v>131783</v>
      </c>
      <c r="N65" s="1">
        <v>135756</v>
      </c>
      <c r="O65" s="1">
        <v>138027</v>
      </c>
      <c r="P65" s="42">
        <v>1792444</v>
      </c>
      <c r="S65" s="88" t="s">
        <v>117</v>
      </c>
      <c r="T65" s="104">
        <f t="shared" si="101"/>
        <v>50.597000000000001</v>
      </c>
      <c r="U65" s="104">
        <f t="shared" si="101"/>
        <v>53.433999999999997</v>
      </c>
      <c r="V65" s="104">
        <f t="shared" si="101"/>
        <v>52.262999999999998</v>
      </c>
      <c r="W65" s="104">
        <f t="shared" si="101"/>
        <v>52.097999999999999</v>
      </c>
      <c r="X65" s="104">
        <f t="shared" si="101"/>
        <v>52.277000000000001</v>
      </c>
      <c r="Y65" s="104">
        <f t="shared" si="101"/>
        <v>54.076000000000001</v>
      </c>
      <c r="Z65" s="104">
        <f t="shared" si="101"/>
        <v>55.808999999999997</v>
      </c>
      <c r="AA65" s="104">
        <f t="shared" si="101"/>
        <v>59.811</v>
      </c>
      <c r="AB65" s="104">
        <f t="shared" si="101"/>
        <v>70.049000000000007</v>
      </c>
      <c r="AC65" s="104">
        <f t="shared" si="101"/>
        <v>54.356999999999999</v>
      </c>
      <c r="AD65" s="104">
        <f t="shared" si="101"/>
        <v>60.292000000000002</v>
      </c>
      <c r="AE65" s="104">
        <f t="shared" si="101"/>
        <v>66.798000000000002</v>
      </c>
      <c r="AF65" s="104">
        <f t="shared" si="101"/>
        <v>71.751999999999995</v>
      </c>
      <c r="AG65" s="104">
        <f t="shared" si="102"/>
        <v>71.358999999999995</v>
      </c>
    </row>
    <row r="66" spans="1:33" ht="12.5" x14ac:dyDescent="0.25">
      <c r="A66" s="1" t="s">
        <v>102</v>
      </c>
      <c r="B66" s="1">
        <v>27755</v>
      </c>
      <c r="C66" s="1">
        <v>28108</v>
      </c>
      <c r="D66" s="1">
        <v>26129</v>
      </c>
      <c r="E66" s="1">
        <v>24799</v>
      </c>
      <c r="F66" s="1">
        <v>23591</v>
      </c>
      <c r="G66" s="1">
        <v>22134</v>
      </c>
      <c r="H66" s="1">
        <v>22720</v>
      </c>
      <c r="I66" s="1">
        <v>25588</v>
      </c>
      <c r="J66" s="1">
        <v>32226</v>
      </c>
      <c r="K66" s="1">
        <v>26535</v>
      </c>
      <c r="L66" s="1">
        <v>27059</v>
      </c>
      <c r="M66" s="1">
        <v>28809</v>
      </c>
      <c r="N66" s="1">
        <v>29465</v>
      </c>
      <c r="O66" s="1">
        <v>29777</v>
      </c>
      <c r="P66" s="42">
        <v>374695</v>
      </c>
      <c r="S66" s="88" t="s">
        <v>25</v>
      </c>
      <c r="T66" s="104">
        <f t="shared" si="101"/>
        <v>17.975000000000001</v>
      </c>
      <c r="U66" s="104">
        <f t="shared" si="101"/>
        <v>19.244</v>
      </c>
      <c r="V66" s="104">
        <f t="shared" si="101"/>
        <v>17.780999999999999</v>
      </c>
      <c r="W66" s="104">
        <f t="shared" si="101"/>
        <v>16.562999999999999</v>
      </c>
      <c r="X66" s="104">
        <f t="shared" si="101"/>
        <v>16.806999999999999</v>
      </c>
      <c r="Y66" s="104">
        <f t="shared" si="101"/>
        <v>17.321999999999999</v>
      </c>
      <c r="Z66" s="104">
        <f t="shared" si="101"/>
        <v>18.623000000000001</v>
      </c>
      <c r="AA66" s="104">
        <f t="shared" si="101"/>
        <v>19.837</v>
      </c>
      <c r="AB66" s="104">
        <f t="shared" si="101"/>
        <v>21.023</v>
      </c>
      <c r="AC66" s="104">
        <f t="shared" si="101"/>
        <v>17.553000000000001</v>
      </c>
      <c r="AD66" s="104">
        <f t="shared" si="101"/>
        <v>19.207999999999998</v>
      </c>
      <c r="AE66" s="104">
        <f t="shared" si="101"/>
        <v>21.494</v>
      </c>
      <c r="AF66" s="104">
        <f t="shared" si="101"/>
        <v>22.884</v>
      </c>
      <c r="AG66" s="104">
        <f t="shared" si="102"/>
        <v>22.916</v>
      </c>
    </row>
    <row r="67" spans="1:33" ht="12.5" x14ac:dyDescent="0.25">
      <c r="A67" s="1" t="s">
        <v>101</v>
      </c>
      <c r="B67" s="1">
        <v>50597</v>
      </c>
      <c r="C67" s="1">
        <v>53434</v>
      </c>
      <c r="D67" s="1">
        <v>52263</v>
      </c>
      <c r="E67" s="1">
        <v>52098</v>
      </c>
      <c r="F67" s="1">
        <v>52277</v>
      </c>
      <c r="G67" s="1">
        <v>54076</v>
      </c>
      <c r="H67" s="1">
        <v>55809</v>
      </c>
      <c r="I67" s="1">
        <v>59811</v>
      </c>
      <c r="J67" s="1">
        <v>70049</v>
      </c>
      <c r="K67" s="1">
        <v>54357</v>
      </c>
      <c r="L67" s="1">
        <v>60292</v>
      </c>
      <c r="M67" s="1">
        <v>66798</v>
      </c>
      <c r="N67" s="1">
        <v>71752</v>
      </c>
      <c r="O67" s="1">
        <v>71359</v>
      </c>
      <c r="P67" s="42">
        <v>824972</v>
      </c>
      <c r="S67" s="88" t="s">
        <v>118</v>
      </c>
      <c r="T67" s="104">
        <f t="shared" si="101"/>
        <v>15.154</v>
      </c>
      <c r="U67" s="104">
        <f t="shared" si="101"/>
        <v>15.593999999999999</v>
      </c>
      <c r="V67" s="104">
        <f t="shared" si="101"/>
        <v>16.09</v>
      </c>
      <c r="W67" s="104">
        <f t="shared" si="101"/>
        <v>14.647</v>
      </c>
      <c r="X67" s="104">
        <f t="shared" si="101"/>
        <v>15.013999999999999</v>
      </c>
      <c r="Y67" s="104">
        <f t="shared" si="101"/>
        <v>15.608000000000001</v>
      </c>
      <c r="Z67" s="104">
        <f t="shared" si="101"/>
        <v>13.516999999999999</v>
      </c>
      <c r="AA67" s="104">
        <f t="shared" si="101"/>
        <v>12.029</v>
      </c>
      <c r="AB67" s="104">
        <f t="shared" si="101"/>
        <v>11.468999999999999</v>
      </c>
      <c r="AC67" s="104">
        <f t="shared" si="101"/>
        <v>10.683</v>
      </c>
      <c r="AD67" s="104">
        <f t="shared" si="101"/>
        <v>11.125999999999999</v>
      </c>
      <c r="AE67" s="104">
        <f t="shared" si="101"/>
        <v>11.387</v>
      </c>
      <c r="AF67" s="104">
        <f t="shared" si="101"/>
        <v>11.382999999999999</v>
      </c>
      <c r="AG67" s="104">
        <f t="shared" si="102"/>
        <v>11.542</v>
      </c>
    </row>
    <row r="68" spans="1:33" ht="12.5" x14ac:dyDescent="0.25">
      <c r="A68" s="1" t="s">
        <v>100</v>
      </c>
      <c r="B68" s="1">
        <v>17975</v>
      </c>
      <c r="C68" s="1">
        <v>19244</v>
      </c>
      <c r="D68" s="1">
        <v>17781</v>
      </c>
      <c r="E68" s="1">
        <v>16563</v>
      </c>
      <c r="F68" s="1">
        <v>16807</v>
      </c>
      <c r="G68" s="1">
        <v>17322</v>
      </c>
      <c r="H68" s="1">
        <v>18623</v>
      </c>
      <c r="I68" s="1">
        <v>19837</v>
      </c>
      <c r="J68" s="1">
        <v>21023</v>
      </c>
      <c r="K68" s="1">
        <v>17553</v>
      </c>
      <c r="L68" s="1">
        <v>19208</v>
      </c>
      <c r="M68" s="1">
        <v>21494</v>
      </c>
      <c r="N68" s="1">
        <v>22884</v>
      </c>
      <c r="O68" s="1">
        <v>22916</v>
      </c>
      <c r="P68" s="42">
        <v>269230</v>
      </c>
      <c r="S68" s="88" t="s">
        <v>119</v>
      </c>
      <c r="T68" s="104">
        <f t="shared" si="101"/>
        <v>4.9960000000000004</v>
      </c>
      <c r="U68" s="104">
        <f t="shared" si="101"/>
        <v>4.8849999999999998</v>
      </c>
      <c r="V68" s="104">
        <f t="shared" si="101"/>
        <v>4.6559999999999997</v>
      </c>
      <c r="W68" s="104">
        <f t="shared" si="101"/>
        <v>4.6159999999999997</v>
      </c>
      <c r="X68" s="104">
        <f t="shared" si="101"/>
        <v>3.968</v>
      </c>
      <c r="Y68" s="104">
        <f t="shared" si="101"/>
        <v>3.988</v>
      </c>
      <c r="Z68" s="104">
        <f t="shared" si="101"/>
        <v>3.8650000000000002</v>
      </c>
      <c r="AA68" s="104">
        <f t="shared" si="101"/>
        <v>3.6760000000000002</v>
      </c>
      <c r="AB68" s="104">
        <f t="shared" si="101"/>
        <v>4.2430000000000003</v>
      </c>
      <c r="AC68" s="104">
        <f t="shared" si="101"/>
        <v>3.7949999999999999</v>
      </c>
      <c r="AD68" s="104">
        <f t="shared" si="101"/>
        <v>3.794</v>
      </c>
      <c r="AE68" s="104">
        <f t="shared" si="101"/>
        <v>4.0289999999999999</v>
      </c>
      <c r="AF68" s="104">
        <f t="shared" si="101"/>
        <v>3.9710000000000001</v>
      </c>
      <c r="AG68" s="104">
        <f t="shared" si="102"/>
        <v>4.1340000000000003</v>
      </c>
    </row>
    <row r="69" spans="1:33" ht="12.5" x14ac:dyDescent="0.25">
      <c r="A69" s="1" t="s">
        <v>99</v>
      </c>
      <c r="B69" s="1">
        <v>15154</v>
      </c>
      <c r="C69" s="1">
        <v>15594</v>
      </c>
      <c r="D69" s="1">
        <v>16090</v>
      </c>
      <c r="E69" s="1">
        <v>14647</v>
      </c>
      <c r="F69" s="1">
        <v>15014</v>
      </c>
      <c r="G69" s="1">
        <v>15608</v>
      </c>
      <c r="H69" s="1">
        <v>13517</v>
      </c>
      <c r="I69" s="1">
        <v>12029</v>
      </c>
      <c r="J69" s="1">
        <v>11469</v>
      </c>
      <c r="K69" s="1">
        <v>10683</v>
      </c>
      <c r="L69" s="1">
        <v>11126</v>
      </c>
      <c r="M69" s="1">
        <v>11387</v>
      </c>
      <c r="N69" s="1">
        <v>11383</v>
      </c>
      <c r="O69" s="1">
        <v>11542</v>
      </c>
      <c r="P69" s="42">
        <v>185243</v>
      </c>
      <c r="S69" s="88" t="s">
        <v>120</v>
      </c>
      <c r="T69" s="104">
        <f t="shared" si="101"/>
        <v>38.146999999999998</v>
      </c>
      <c r="U69" s="104">
        <f t="shared" si="101"/>
        <v>40.115000000000002</v>
      </c>
      <c r="V69" s="104">
        <f t="shared" si="101"/>
        <v>35.433</v>
      </c>
      <c r="W69" s="104">
        <f t="shared" si="101"/>
        <v>35.731000000000002</v>
      </c>
      <c r="X69" s="104">
        <f t="shared" si="101"/>
        <v>32.54</v>
      </c>
      <c r="Y69" s="104">
        <f t="shared" si="101"/>
        <v>32.735999999999997</v>
      </c>
      <c r="Z69" s="104">
        <f t="shared" si="101"/>
        <v>31.175999999999998</v>
      </c>
      <c r="AA69" s="104">
        <f t="shared" si="101"/>
        <v>33.744999999999997</v>
      </c>
      <c r="AB69" s="104">
        <f t="shared" si="101"/>
        <v>36.914000000000001</v>
      </c>
      <c r="AC69" s="104">
        <f t="shared" si="101"/>
        <v>31.931000000000001</v>
      </c>
      <c r="AD69" s="104">
        <f t="shared" si="101"/>
        <v>32.795000000000002</v>
      </c>
      <c r="AE69" s="104">
        <f t="shared" si="101"/>
        <v>36.362000000000002</v>
      </c>
      <c r="AF69" s="104">
        <f t="shared" si="101"/>
        <v>37.689</v>
      </c>
      <c r="AG69" s="104">
        <f t="shared" si="102"/>
        <v>38.679000000000002</v>
      </c>
    </row>
    <row r="70" spans="1:33" ht="12.5" x14ac:dyDescent="0.25">
      <c r="A70" s="1" t="s">
        <v>98</v>
      </c>
      <c r="B70" s="1">
        <v>4996</v>
      </c>
      <c r="C70" s="1">
        <v>4885</v>
      </c>
      <c r="D70" s="1">
        <v>4656</v>
      </c>
      <c r="E70" s="1">
        <v>4616</v>
      </c>
      <c r="F70" s="1">
        <v>3968</v>
      </c>
      <c r="G70" s="1">
        <v>3988</v>
      </c>
      <c r="H70" s="1">
        <v>3865</v>
      </c>
      <c r="I70" s="1">
        <v>3676</v>
      </c>
      <c r="J70" s="1">
        <v>4243</v>
      </c>
      <c r="K70" s="1">
        <v>3795</v>
      </c>
      <c r="L70" s="1">
        <v>3794</v>
      </c>
      <c r="M70" s="1">
        <v>4029</v>
      </c>
      <c r="N70" s="1">
        <v>3971</v>
      </c>
      <c r="O70" s="1">
        <v>4134</v>
      </c>
      <c r="P70" s="42">
        <v>58616</v>
      </c>
      <c r="S70" s="88" t="s">
        <v>121</v>
      </c>
      <c r="T70" s="104">
        <f t="shared" si="101"/>
        <v>28.001000000000001</v>
      </c>
      <c r="U70" s="104">
        <f t="shared" si="101"/>
        <v>30.739000000000001</v>
      </c>
      <c r="V70" s="104">
        <f t="shared" si="101"/>
        <v>27.475000000000001</v>
      </c>
      <c r="W70" s="104">
        <f t="shared" si="101"/>
        <v>26.44</v>
      </c>
      <c r="X70" s="104">
        <f t="shared" si="101"/>
        <v>24.885999999999999</v>
      </c>
      <c r="Y70" s="104">
        <f t="shared" si="101"/>
        <v>23.338000000000001</v>
      </c>
      <c r="Z70" s="104">
        <f t="shared" si="101"/>
        <v>22.925999999999998</v>
      </c>
      <c r="AA70" s="104">
        <f t="shared" si="101"/>
        <v>26.244</v>
      </c>
      <c r="AB70" s="104">
        <f t="shared" si="101"/>
        <v>29.637</v>
      </c>
      <c r="AC70" s="104">
        <f t="shared" si="101"/>
        <v>24.948</v>
      </c>
      <c r="AD70" s="104">
        <f t="shared" si="101"/>
        <v>25.681000000000001</v>
      </c>
      <c r="AE70" s="104">
        <f t="shared" si="101"/>
        <v>28.460999999999999</v>
      </c>
      <c r="AF70" s="104">
        <f t="shared" si="101"/>
        <v>29.280999999999999</v>
      </c>
      <c r="AG70" s="104">
        <f t="shared" si="102"/>
        <v>28.713999999999999</v>
      </c>
    </row>
    <row r="71" spans="1:33" ht="12.5" x14ac:dyDescent="0.25">
      <c r="A71" s="1" t="s">
        <v>97</v>
      </c>
      <c r="B71" s="1">
        <v>38147</v>
      </c>
      <c r="C71" s="1">
        <v>40115</v>
      </c>
      <c r="D71" s="1">
        <v>35433</v>
      </c>
      <c r="E71" s="1">
        <v>35731</v>
      </c>
      <c r="F71" s="1">
        <v>32540</v>
      </c>
      <c r="G71" s="1">
        <v>32736</v>
      </c>
      <c r="H71" s="1">
        <v>31176</v>
      </c>
      <c r="I71" s="1">
        <v>33745</v>
      </c>
      <c r="J71" s="1">
        <v>36914</v>
      </c>
      <c r="K71" s="1">
        <v>31931</v>
      </c>
      <c r="L71" s="1">
        <v>32795</v>
      </c>
      <c r="M71" s="1">
        <v>36362</v>
      </c>
      <c r="N71" s="1">
        <v>37689</v>
      </c>
      <c r="O71" s="1">
        <v>38679</v>
      </c>
      <c r="P71" s="42">
        <v>493993</v>
      </c>
      <c r="S71" s="88" t="s">
        <v>122</v>
      </c>
      <c r="T71" s="104">
        <f t="shared" si="101"/>
        <v>19.172000000000001</v>
      </c>
      <c r="U71" s="104">
        <f t="shared" si="101"/>
        <v>16.475999999999999</v>
      </c>
      <c r="V71" s="104">
        <f t="shared" si="101"/>
        <v>17.462</v>
      </c>
      <c r="W71" s="104">
        <f t="shared" si="101"/>
        <v>16.312000000000001</v>
      </c>
      <c r="X71" s="104">
        <f t="shared" si="101"/>
        <v>17.568999999999999</v>
      </c>
      <c r="Y71" s="104">
        <f t="shared" si="101"/>
        <v>17.152000000000001</v>
      </c>
      <c r="Z71" s="104">
        <f t="shared" si="101"/>
        <v>16.963000000000001</v>
      </c>
      <c r="AA71" s="104">
        <f t="shared" si="101"/>
        <v>16.916</v>
      </c>
      <c r="AB71" s="104">
        <f t="shared" si="101"/>
        <v>20.366</v>
      </c>
      <c r="AC71" s="104">
        <f t="shared" si="101"/>
        <v>20.478999999999999</v>
      </c>
      <c r="AD71" s="104">
        <f t="shared" si="101"/>
        <v>21.035</v>
      </c>
      <c r="AE71" s="104">
        <f t="shared" si="101"/>
        <v>22.172999999999998</v>
      </c>
      <c r="AF71" s="104">
        <f t="shared" si="101"/>
        <v>23.911000000000001</v>
      </c>
      <c r="AG71" s="104">
        <f t="shared" si="102"/>
        <v>25.89</v>
      </c>
    </row>
    <row r="72" spans="1:33" ht="12.5" x14ac:dyDescent="0.25">
      <c r="A72" s="1" t="s">
        <v>96</v>
      </c>
      <c r="B72" s="1">
        <v>28001</v>
      </c>
      <c r="C72" s="1">
        <v>30739</v>
      </c>
      <c r="D72" s="1">
        <v>27475</v>
      </c>
      <c r="E72" s="1">
        <v>26440</v>
      </c>
      <c r="F72" s="1">
        <v>24886</v>
      </c>
      <c r="G72" s="1">
        <v>23338</v>
      </c>
      <c r="H72" s="1">
        <v>22926</v>
      </c>
      <c r="I72" s="1">
        <v>26244</v>
      </c>
      <c r="J72" s="1">
        <v>29637</v>
      </c>
      <c r="K72" s="1">
        <v>24948</v>
      </c>
      <c r="L72" s="1">
        <v>25681</v>
      </c>
      <c r="M72" s="1">
        <v>28461</v>
      </c>
      <c r="N72" s="1">
        <v>29281</v>
      </c>
      <c r="O72" s="1">
        <v>28714</v>
      </c>
      <c r="P72" s="42">
        <v>376771</v>
      </c>
      <c r="S72" s="88" t="s">
        <v>123</v>
      </c>
      <c r="T72" s="104">
        <f t="shared" si="101"/>
        <v>33.478999999999999</v>
      </c>
      <c r="U72" s="104">
        <f t="shared" si="101"/>
        <v>32.186999999999998</v>
      </c>
      <c r="V72" s="104">
        <f t="shared" si="101"/>
        <v>30.474</v>
      </c>
      <c r="W72" s="104">
        <f t="shared" si="101"/>
        <v>30.79</v>
      </c>
      <c r="X72" s="104">
        <f t="shared" si="101"/>
        <v>30.404</v>
      </c>
      <c r="Y72" s="104">
        <f t="shared" si="101"/>
        <v>30.777000000000001</v>
      </c>
      <c r="Z72" s="104">
        <f t="shared" si="101"/>
        <v>31.146999999999998</v>
      </c>
      <c r="AA72" s="104">
        <f t="shared" si="101"/>
        <v>31.670999999999999</v>
      </c>
      <c r="AB72" s="104">
        <f t="shared" si="101"/>
        <v>33.453000000000003</v>
      </c>
      <c r="AC72" s="104">
        <f t="shared" si="101"/>
        <v>32.542999999999999</v>
      </c>
      <c r="AD72" s="104">
        <f t="shared" si="101"/>
        <v>35.018000000000001</v>
      </c>
      <c r="AE72" s="104">
        <f t="shared" si="101"/>
        <v>36.847999999999999</v>
      </c>
      <c r="AF72" s="104">
        <f t="shared" si="101"/>
        <v>38.130000000000003</v>
      </c>
      <c r="AG72" s="104">
        <f t="shared" si="102"/>
        <v>37.545999999999999</v>
      </c>
    </row>
    <row r="73" spans="1:33" ht="12.5" x14ac:dyDescent="0.25">
      <c r="A73" s="1" t="s">
        <v>95</v>
      </c>
      <c r="B73" s="1">
        <v>19172</v>
      </c>
      <c r="C73" s="1">
        <v>16476</v>
      </c>
      <c r="D73" s="1">
        <v>17462</v>
      </c>
      <c r="E73" s="1">
        <v>16312</v>
      </c>
      <c r="F73" s="1">
        <v>17569</v>
      </c>
      <c r="G73" s="1">
        <v>17152</v>
      </c>
      <c r="H73" s="1">
        <v>16963</v>
      </c>
      <c r="I73" s="1">
        <v>16916</v>
      </c>
      <c r="J73" s="1">
        <v>20366</v>
      </c>
      <c r="K73" s="1">
        <v>20479</v>
      </c>
      <c r="L73" s="1">
        <v>21035</v>
      </c>
      <c r="M73" s="1">
        <v>22173</v>
      </c>
      <c r="N73" s="1">
        <v>23911</v>
      </c>
      <c r="O73" s="1">
        <v>25890</v>
      </c>
      <c r="P73" s="42">
        <v>271876</v>
      </c>
      <c r="S73" s="88" t="s">
        <v>124</v>
      </c>
      <c r="T73" s="104">
        <f t="shared" si="101"/>
        <v>79.957999999999998</v>
      </c>
      <c r="U73" s="104">
        <f t="shared" si="101"/>
        <v>87.162000000000006</v>
      </c>
      <c r="V73" s="104">
        <f t="shared" si="101"/>
        <v>86.718999999999994</v>
      </c>
      <c r="W73" s="104">
        <f t="shared" si="101"/>
        <v>87.649000000000001</v>
      </c>
      <c r="X73" s="104">
        <f t="shared" si="101"/>
        <v>73.861000000000004</v>
      </c>
      <c r="Y73" s="104">
        <f t="shared" si="101"/>
        <v>65.668000000000006</v>
      </c>
      <c r="Z73" s="104">
        <f t="shared" si="101"/>
        <v>66.828999999999994</v>
      </c>
      <c r="AA73" s="104">
        <f t="shared" si="101"/>
        <v>68.167000000000002</v>
      </c>
      <c r="AB73" s="104">
        <f t="shared" si="101"/>
        <v>74.813000000000002</v>
      </c>
      <c r="AC73" s="104">
        <f t="shared" si="101"/>
        <v>75.45</v>
      </c>
      <c r="AD73" s="104">
        <f t="shared" si="101"/>
        <v>83.319000000000003</v>
      </c>
      <c r="AE73" s="104">
        <f t="shared" si="101"/>
        <v>84.831000000000003</v>
      </c>
      <c r="AF73" s="104">
        <f t="shared" si="101"/>
        <v>87.751999999999995</v>
      </c>
      <c r="AG73" s="104">
        <f t="shared" si="102"/>
        <v>87.849000000000004</v>
      </c>
    </row>
    <row r="74" spans="1:33" ht="12.5" x14ac:dyDescent="0.25">
      <c r="A74" s="1" t="s">
        <v>94</v>
      </c>
      <c r="B74" s="1">
        <v>33479</v>
      </c>
      <c r="C74" s="1">
        <v>32187</v>
      </c>
      <c r="D74" s="1">
        <v>30474</v>
      </c>
      <c r="E74" s="1">
        <v>30790</v>
      </c>
      <c r="F74" s="1">
        <v>30404</v>
      </c>
      <c r="G74" s="1">
        <v>30777</v>
      </c>
      <c r="H74" s="1">
        <v>31147</v>
      </c>
      <c r="I74" s="1">
        <v>31671</v>
      </c>
      <c r="J74" s="1">
        <v>33453</v>
      </c>
      <c r="K74" s="1">
        <v>32543</v>
      </c>
      <c r="L74" s="1">
        <v>35018</v>
      </c>
      <c r="M74" s="1">
        <v>36848</v>
      </c>
      <c r="N74" s="1">
        <v>38130</v>
      </c>
      <c r="O74" s="1">
        <v>37546</v>
      </c>
      <c r="P74" s="42">
        <v>464467</v>
      </c>
      <c r="S74" s="88" t="s">
        <v>125</v>
      </c>
      <c r="T74" s="104">
        <f t="shared" si="101"/>
        <v>13.363</v>
      </c>
      <c r="U74" s="104">
        <f t="shared" si="101"/>
        <v>14.339</v>
      </c>
      <c r="V74" s="104">
        <f t="shared" si="101"/>
        <v>12.82</v>
      </c>
      <c r="W74" s="104">
        <f t="shared" si="101"/>
        <v>12.712999999999999</v>
      </c>
      <c r="X74" s="104">
        <f t="shared" si="101"/>
        <v>11.901999999999999</v>
      </c>
      <c r="Y74" s="104">
        <f t="shared" si="101"/>
        <v>11.801</v>
      </c>
      <c r="Z74" s="104">
        <f t="shared" si="101"/>
        <v>11.861000000000001</v>
      </c>
      <c r="AA74" s="104">
        <f t="shared" si="101"/>
        <v>12.936999999999999</v>
      </c>
      <c r="AB74" s="104">
        <f t="shared" si="101"/>
        <v>14.491</v>
      </c>
      <c r="AC74" s="104">
        <f t="shared" si="101"/>
        <v>11.701000000000001</v>
      </c>
      <c r="AD74" s="104">
        <f t="shared" si="101"/>
        <v>12.542</v>
      </c>
      <c r="AE74" s="104">
        <f t="shared" si="101"/>
        <v>14.109</v>
      </c>
      <c r="AF74" s="104">
        <f t="shared" si="101"/>
        <v>14.75</v>
      </c>
      <c r="AG74" s="104">
        <f t="shared" si="102"/>
        <v>15.343</v>
      </c>
    </row>
    <row r="75" spans="1:33" ht="12.5" x14ac:dyDescent="0.25">
      <c r="A75" s="1" t="s">
        <v>93</v>
      </c>
      <c r="B75" s="1">
        <v>79958</v>
      </c>
      <c r="C75" s="1">
        <v>87162</v>
      </c>
      <c r="D75" s="1">
        <v>86719</v>
      </c>
      <c r="E75" s="1">
        <v>87649</v>
      </c>
      <c r="F75" s="1">
        <v>73861</v>
      </c>
      <c r="G75" s="1">
        <v>65668</v>
      </c>
      <c r="H75" s="1">
        <v>66829</v>
      </c>
      <c r="I75" s="1">
        <v>68167</v>
      </c>
      <c r="J75" s="1">
        <v>74813</v>
      </c>
      <c r="K75" s="1">
        <v>75450</v>
      </c>
      <c r="L75" s="1">
        <v>83319</v>
      </c>
      <c r="M75" s="1">
        <v>84831</v>
      </c>
      <c r="N75" s="1">
        <v>87752</v>
      </c>
      <c r="O75" s="1">
        <v>87849</v>
      </c>
      <c r="P75" s="42">
        <v>1110027</v>
      </c>
      <c r="S75" s="88" t="s">
        <v>126</v>
      </c>
      <c r="T75" s="104">
        <f t="shared" si="101"/>
        <v>14.112</v>
      </c>
      <c r="U75" s="104">
        <f t="shared" si="101"/>
        <v>13.868</v>
      </c>
      <c r="V75" s="104">
        <f t="shared" si="101"/>
        <v>13.382999999999999</v>
      </c>
      <c r="W75" s="104">
        <f t="shared" si="101"/>
        <v>12.473000000000001</v>
      </c>
      <c r="X75" s="104">
        <f t="shared" si="101"/>
        <v>11.611000000000001</v>
      </c>
      <c r="Y75" s="104">
        <f t="shared" si="101"/>
        <v>11.252000000000001</v>
      </c>
      <c r="Z75" s="104">
        <f t="shared" si="101"/>
        <v>10.909000000000001</v>
      </c>
      <c r="AA75" s="104">
        <f t="shared" si="101"/>
        <v>11.247</v>
      </c>
      <c r="AB75" s="104">
        <f t="shared" si="101"/>
        <v>12.351000000000001</v>
      </c>
      <c r="AC75" s="104">
        <f t="shared" si="101"/>
        <v>10.848000000000001</v>
      </c>
      <c r="AD75" s="104">
        <f t="shared" si="101"/>
        <v>10.779</v>
      </c>
      <c r="AE75" s="104">
        <f t="shared" si="101"/>
        <v>11.14</v>
      </c>
      <c r="AF75" s="104">
        <f t="shared" si="101"/>
        <v>11.34</v>
      </c>
      <c r="AG75" s="104">
        <f t="shared" si="102"/>
        <v>11.715</v>
      </c>
    </row>
    <row r="76" spans="1:33" ht="12.5" x14ac:dyDescent="0.25">
      <c r="A76" s="1" t="s">
        <v>92</v>
      </c>
      <c r="B76" s="1">
        <v>13363</v>
      </c>
      <c r="C76" s="1">
        <v>14339</v>
      </c>
      <c r="D76" s="1">
        <v>12820</v>
      </c>
      <c r="E76" s="1">
        <v>12713</v>
      </c>
      <c r="F76" s="1">
        <v>11902</v>
      </c>
      <c r="G76" s="1">
        <v>11801</v>
      </c>
      <c r="H76" s="1">
        <v>11861</v>
      </c>
      <c r="I76" s="1">
        <v>12937</v>
      </c>
      <c r="J76" s="1">
        <v>14491</v>
      </c>
      <c r="K76" s="1">
        <v>11701</v>
      </c>
      <c r="L76" s="1">
        <v>12542</v>
      </c>
      <c r="M76" s="1">
        <v>14109</v>
      </c>
      <c r="N76" s="1">
        <v>14750</v>
      </c>
      <c r="O76" s="1">
        <v>15343</v>
      </c>
      <c r="P76" s="42">
        <v>184672</v>
      </c>
      <c r="S76" s="88" t="s">
        <v>159</v>
      </c>
      <c r="T76" s="104">
        <f t="shared" si="101"/>
        <v>106.67400000000001</v>
      </c>
      <c r="U76" s="104">
        <f t="shared" si="101"/>
        <v>106.035</v>
      </c>
      <c r="V76" s="104">
        <f t="shared" si="101"/>
        <v>102.006</v>
      </c>
      <c r="W76" s="104">
        <f t="shared" si="101"/>
        <v>99.721000000000004</v>
      </c>
      <c r="X76" s="104">
        <f t="shared" si="101"/>
        <v>101.89</v>
      </c>
      <c r="Y76" s="104">
        <f t="shared" si="101"/>
        <v>101.703</v>
      </c>
      <c r="Z76" s="104">
        <f t="shared" si="101"/>
        <v>108.658</v>
      </c>
      <c r="AA76" s="104">
        <f t="shared" si="101"/>
        <v>181.048</v>
      </c>
      <c r="AB76" s="104">
        <f t="shared" si="101"/>
        <v>181.87100000000001</v>
      </c>
      <c r="AC76" s="104">
        <f t="shared" si="101"/>
        <v>113.36799999999999</v>
      </c>
      <c r="AD76" s="104">
        <f t="shared" si="101"/>
        <v>169.71299999999999</v>
      </c>
      <c r="AE76" s="104">
        <f t="shared" si="101"/>
        <v>188.346</v>
      </c>
      <c r="AF76" s="104">
        <f t="shared" si="101"/>
        <v>167.44499999999999</v>
      </c>
      <c r="AG76" s="104">
        <f t="shared" si="102"/>
        <v>157.13999999999999</v>
      </c>
    </row>
    <row r="77" spans="1:33" ht="12.5" x14ac:dyDescent="0.25">
      <c r="A77" s="1" t="s">
        <v>91</v>
      </c>
      <c r="B77" s="1">
        <v>14112</v>
      </c>
      <c r="C77" s="1">
        <v>13868</v>
      </c>
      <c r="D77" s="1">
        <v>13383</v>
      </c>
      <c r="E77" s="1">
        <v>12473</v>
      </c>
      <c r="F77" s="1">
        <v>11611</v>
      </c>
      <c r="G77" s="1">
        <v>11252</v>
      </c>
      <c r="H77" s="1">
        <v>10909</v>
      </c>
      <c r="I77" s="1">
        <v>11247</v>
      </c>
      <c r="J77" s="1">
        <v>12351</v>
      </c>
      <c r="K77" s="1">
        <v>10848</v>
      </c>
      <c r="L77" s="1">
        <v>10779</v>
      </c>
      <c r="M77" s="1">
        <v>11140</v>
      </c>
      <c r="N77" s="1">
        <v>11340</v>
      </c>
      <c r="O77" s="1">
        <v>11715</v>
      </c>
      <c r="P77" s="42">
        <v>167028</v>
      </c>
      <c r="S77" s="88"/>
      <c r="T77" s="104"/>
      <c r="U77" s="104"/>
      <c r="V77" s="104"/>
      <c r="W77" s="104"/>
      <c r="X77" s="104"/>
      <c r="Y77" s="104"/>
      <c r="Z77" s="104"/>
      <c r="AA77" s="104"/>
      <c r="AB77" s="104"/>
      <c r="AC77" s="104"/>
      <c r="AD77" s="104"/>
      <c r="AE77" s="104"/>
      <c r="AF77" s="104"/>
      <c r="AG77" s="104"/>
    </row>
    <row r="78" spans="1:33" ht="12.5" x14ac:dyDescent="0.25">
      <c r="A78" s="1" t="s">
        <v>90</v>
      </c>
      <c r="B78" s="1">
        <v>106674</v>
      </c>
      <c r="C78" s="1">
        <v>106035</v>
      </c>
      <c r="D78" s="1">
        <v>102006</v>
      </c>
      <c r="E78" s="1">
        <v>99721</v>
      </c>
      <c r="F78" s="1">
        <v>101890</v>
      </c>
      <c r="G78" s="1">
        <v>101703</v>
      </c>
      <c r="H78" s="1">
        <v>108658</v>
      </c>
      <c r="I78" s="1">
        <v>181048</v>
      </c>
      <c r="J78" s="1">
        <v>181871</v>
      </c>
      <c r="K78" s="1">
        <v>113368</v>
      </c>
      <c r="L78" s="1">
        <v>169713</v>
      </c>
      <c r="M78" s="1">
        <v>188346</v>
      </c>
      <c r="N78" s="1">
        <v>167445</v>
      </c>
      <c r="O78" s="1">
        <v>157140</v>
      </c>
      <c r="P78" s="42">
        <v>1885618</v>
      </c>
      <c r="S78" s="88" t="s">
        <v>31</v>
      </c>
      <c r="T78" s="104">
        <f t="shared" ref="T78:AF78" si="103">B80/1000</f>
        <v>657.01800000000003</v>
      </c>
      <c r="U78" s="104">
        <f t="shared" si="103"/>
        <v>684.78599999999994</v>
      </c>
      <c r="V78" s="104">
        <f t="shared" si="103"/>
        <v>643.70699999999999</v>
      </c>
      <c r="W78" s="104">
        <f t="shared" si="103"/>
        <v>627.53399999999999</v>
      </c>
      <c r="X78" s="104">
        <f t="shared" si="103"/>
        <v>601.98599999999999</v>
      </c>
      <c r="Y78" s="104">
        <f t="shared" si="103"/>
        <v>581.53</v>
      </c>
      <c r="Z78" s="104">
        <f t="shared" si="103"/>
        <v>592.12699999999995</v>
      </c>
      <c r="AA78" s="104">
        <f t="shared" si="103"/>
        <v>702.84199999999998</v>
      </c>
      <c r="AB78" s="104">
        <f t="shared" si="103"/>
        <v>758.87199999999996</v>
      </c>
      <c r="AC78" s="104">
        <f t="shared" si="103"/>
        <v>627.96699999999998</v>
      </c>
      <c r="AD78" s="104">
        <f t="shared" si="103"/>
        <v>716.98</v>
      </c>
      <c r="AE78" s="104">
        <f t="shared" si="103"/>
        <v>772.04499999999996</v>
      </c>
      <c r="AF78" s="104">
        <f t="shared" si="103"/>
        <v>775.06</v>
      </c>
      <c r="AG78" s="104">
        <f>O80/1000</f>
        <v>768.71799999999996</v>
      </c>
    </row>
    <row r="79" spans="1:33" ht="12.5" x14ac:dyDescent="0.25">
      <c r="T79" s="14" t="b">
        <f>SUM(T59:T76)=T78</f>
        <v>1</v>
      </c>
      <c r="U79" s="14" t="b">
        <f t="shared" ref="U79:AG79" si="104">SUM(U59:U76)=U78</f>
        <v>1</v>
      </c>
      <c r="V79" s="14" t="b">
        <f t="shared" si="104"/>
        <v>1</v>
      </c>
      <c r="W79" s="14" t="b">
        <f t="shared" si="104"/>
        <v>1</v>
      </c>
      <c r="X79" s="14" t="b">
        <f t="shared" si="104"/>
        <v>1</v>
      </c>
      <c r="Y79" s="14" t="b">
        <f t="shared" si="104"/>
        <v>1</v>
      </c>
      <c r="Z79" s="14" t="b">
        <f t="shared" si="104"/>
        <v>1</v>
      </c>
      <c r="AA79" s="14" t="b">
        <f t="shared" si="104"/>
        <v>1</v>
      </c>
      <c r="AB79" s="14" t="b">
        <f t="shared" si="104"/>
        <v>1</v>
      </c>
      <c r="AC79" s="14" t="b">
        <f t="shared" si="104"/>
        <v>1</v>
      </c>
      <c r="AD79" s="14" t="b">
        <f t="shared" si="104"/>
        <v>1</v>
      </c>
      <c r="AE79" s="14" t="b">
        <f t="shared" si="104"/>
        <v>1</v>
      </c>
      <c r="AF79" s="14" t="b">
        <f t="shared" si="104"/>
        <v>1</v>
      </c>
      <c r="AG79" s="14" t="b">
        <f t="shared" si="104"/>
        <v>1</v>
      </c>
    </row>
    <row r="80" spans="1:33" ht="12.5" x14ac:dyDescent="0.25">
      <c r="A80" s="1" t="s">
        <v>2</v>
      </c>
      <c r="B80" s="1">
        <v>657018</v>
      </c>
      <c r="C80" s="1">
        <v>684786</v>
      </c>
      <c r="D80" s="1">
        <v>643707</v>
      </c>
      <c r="E80" s="1">
        <v>627534</v>
      </c>
      <c r="F80" s="1">
        <v>601986</v>
      </c>
      <c r="G80" s="1">
        <v>581530</v>
      </c>
      <c r="H80" s="1">
        <v>592127</v>
      </c>
      <c r="I80" s="1">
        <v>702842</v>
      </c>
      <c r="J80" s="1">
        <v>758872</v>
      </c>
      <c r="K80" s="1">
        <v>627967</v>
      </c>
      <c r="L80" s="1">
        <v>716980</v>
      </c>
      <c r="M80" s="1">
        <v>772045</v>
      </c>
      <c r="N80" s="1">
        <v>775060</v>
      </c>
      <c r="O80" s="1">
        <v>768718</v>
      </c>
      <c r="P80" s="42">
        <v>9511172</v>
      </c>
    </row>
    <row r="82" spans="1:33" ht="12.75" customHeight="1" x14ac:dyDescent="0.3">
      <c r="A82" s="110" t="s">
        <v>196</v>
      </c>
      <c r="B82" s="111"/>
      <c r="C82" s="112"/>
      <c r="D82" s="112"/>
      <c r="E82" s="112"/>
      <c r="F82" s="112"/>
      <c r="G82" s="112"/>
      <c r="H82" s="107"/>
      <c r="I82" s="107"/>
      <c r="J82" s="107"/>
      <c r="K82" s="107"/>
      <c r="L82" s="107"/>
      <c r="M82" s="107"/>
      <c r="N82" s="107"/>
      <c r="O82" s="107"/>
      <c r="P82" s="107"/>
    </row>
    <row r="83" spans="1:33" ht="12.75" customHeight="1" x14ac:dyDescent="0.25">
      <c r="A83" s="60"/>
      <c r="B83" s="60"/>
      <c r="C83" s="107"/>
      <c r="D83" s="107"/>
      <c r="E83" s="107"/>
      <c r="F83" s="107"/>
      <c r="G83" s="107"/>
      <c r="H83" s="107"/>
      <c r="I83" s="107"/>
      <c r="J83" s="107"/>
      <c r="K83" s="107"/>
      <c r="L83" s="107"/>
      <c r="M83" s="107"/>
      <c r="N83" s="107"/>
      <c r="O83" s="107"/>
      <c r="P83" s="107"/>
    </row>
    <row r="84" spans="1:33" ht="12.75" customHeight="1" x14ac:dyDescent="0.3">
      <c r="A84" s="60"/>
      <c r="B84" s="105">
        <v>2011</v>
      </c>
      <c r="C84" s="106">
        <v>2012</v>
      </c>
      <c r="D84" s="106">
        <v>2013</v>
      </c>
      <c r="E84" s="106">
        <v>2014</v>
      </c>
      <c r="F84" s="106">
        <v>2015</v>
      </c>
      <c r="G84" s="106">
        <v>2016</v>
      </c>
      <c r="H84" s="106">
        <v>2017</v>
      </c>
      <c r="I84" s="106">
        <v>2018</v>
      </c>
      <c r="J84" s="106">
        <v>2019</v>
      </c>
      <c r="K84" s="106">
        <v>2020</v>
      </c>
      <c r="L84" s="106">
        <v>2021</v>
      </c>
      <c r="M84" s="106">
        <v>2022</v>
      </c>
      <c r="N84" s="106">
        <v>2023</v>
      </c>
      <c r="O84" s="105">
        <v>2024</v>
      </c>
      <c r="P84" s="106" t="s">
        <v>2</v>
      </c>
      <c r="S84" s="93" t="s">
        <v>234</v>
      </c>
      <c r="T84" s="94"/>
      <c r="U84" s="94"/>
      <c r="V84" s="94"/>
      <c r="W84" s="94"/>
      <c r="X84" s="94"/>
      <c r="Y84" s="94"/>
      <c r="Z84" s="94"/>
      <c r="AA84" s="94"/>
      <c r="AB84" s="94"/>
      <c r="AC84" s="94"/>
      <c r="AD84" s="94"/>
      <c r="AE84" s="94"/>
      <c r="AF84" s="94"/>
      <c r="AG84" s="94"/>
    </row>
    <row r="85" spans="1:33" ht="12.75" customHeight="1" x14ac:dyDescent="0.3">
      <c r="A85" s="60"/>
      <c r="B85" s="60"/>
      <c r="C85" s="107"/>
      <c r="D85" s="107"/>
      <c r="E85" s="107"/>
      <c r="F85" s="107"/>
      <c r="G85" s="107"/>
      <c r="H85" s="107"/>
      <c r="I85" s="107"/>
      <c r="J85" s="107"/>
      <c r="K85" s="107"/>
      <c r="L85" s="107"/>
      <c r="M85" s="107"/>
      <c r="N85" s="107"/>
      <c r="O85" s="60"/>
      <c r="P85" s="107"/>
      <c r="S85" s="94"/>
      <c r="T85" s="103">
        <v>2011</v>
      </c>
      <c r="U85" s="103">
        <v>2012</v>
      </c>
      <c r="V85" s="103">
        <v>2013</v>
      </c>
      <c r="W85" s="103">
        <v>2014</v>
      </c>
      <c r="X85" s="103">
        <v>2015</v>
      </c>
      <c r="Y85" s="103">
        <v>2016</v>
      </c>
      <c r="Z85" s="103">
        <v>2017</v>
      </c>
      <c r="AA85" s="103">
        <v>2018</v>
      </c>
      <c r="AB85" s="103">
        <v>2019</v>
      </c>
      <c r="AC85" s="103">
        <v>2020</v>
      </c>
      <c r="AD85" s="103">
        <v>2021</v>
      </c>
      <c r="AE85" s="103">
        <v>2022</v>
      </c>
      <c r="AF85" s="103">
        <v>2023</v>
      </c>
      <c r="AG85" s="103">
        <v>2024</v>
      </c>
    </row>
    <row r="86" spans="1:33" ht="12.75" customHeight="1" x14ac:dyDescent="0.25">
      <c r="A86" s="60">
        <v>1</v>
      </c>
      <c r="B86" s="108">
        <v>79947</v>
      </c>
      <c r="C86" s="109">
        <v>81072</v>
      </c>
      <c r="D86" s="109">
        <v>80436</v>
      </c>
      <c r="E86" s="109">
        <v>79710</v>
      </c>
      <c r="F86" s="109">
        <v>80350</v>
      </c>
      <c r="G86" s="109">
        <v>80543</v>
      </c>
      <c r="H86" s="109">
        <v>102139</v>
      </c>
      <c r="I86" s="109">
        <v>98174</v>
      </c>
      <c r="J86" s="109">
        <v>96632</v>
      </c>
      <c r="K86" s="109">
        <v>104614</v>
      </c>
      <c r="L86" s="109">
        <v>101921</v>
      </c>
      <c r="M86" s="109">
        <v>100499</v>
      </c>
      <c r="N86" s="109">
        <v>100601</v>
      </c>
      <c r="O86" s="109">
        <v>96360</v>
      </c>
      <c r="P86" s="109">
        <v>1282998</v>
      </c>
      <c r="S86" s="88" t="s">
        <v>111</v>
      </c>
      <c r="T86" s="104">
        <f t="shared" ref="T86" si="105">B86/1000</f>
        <v>79.947000000000003</v>
      </c>
      <c r="U86" s="104">
        <f t="shared" ref="U86" si="106">C86/1000</f>
        <v>81.072000000000003</v>
      </c>
      <c r="V86" s="104">
        <f t="shared" ref="V86" si="107">D86/1000</f>
        <v>80.436000000000007</v>
      </c>
      <c r="W86" s="104">
        <f t="shared" ref="W86" si="108">E86/1000</f>
        <v>79.709999999999994</v>
      </c>
      <c r="X86" s="104">
        <f t="shared" ref="X86" si="109">F86/1000</f>
        <v>80.349999999999994</v>
      </c>
      <c r="Y86" s="104">
        <f t="shared" ref="Y86" si="110">G86/1000</f>
        <v>80.543000000000006</v>
      </c>
      <c r="Z86" s="104">
        <f t="shared" ref="Z86" si="111">H86/1000</f>
        <v>102.139</v>
      </c>
      <c r="AA86" s="104">
        <f t="shared" ref="AA86" si="112">I86/1000</f>
        <v>98.174000000000007</v>
      </c>
      <c r="AB86" s="104">
        <f t="shared" ref="AB86" si="113">J86/1000</f>
        <v>96.632000000000005</v>
      </c>
      <c r="AC86" s="104">
        <f t="shared" ref="AC86" si="114">K86/1000</f>
        <v>104.614</v>
      </c>
      <c r="AD86" s="104">
        <f t="shared" ref="AD86" si="115">L86/1000</f>
        <v>101.92100000000001</v>
      </c>
      <c r="AE86" s="104">
        <f t="shared" ref="AE86" si="116">M86/1000</f>
        <v>100.499</v>
      </c>
      <c r="AF86" s="104">
        <f t="shared" ref="AF86" si="117">N86/1000</f>
        <v>100.601</v>
      </c>
      <c r="AG86" s="104">
        <f>O86/1000</f>
        <v>96.36</v>
      </c>
    </row>
    <row r="87" spans="1:33" ht="12.75" customHeight="1" x14ac:dyDescent="0.25">
      <c r="A87" s="60">
        <v>2</v>
      </c>
      <c r="B87" s="108">
        <v>8059</v>
      </c>
      <c r="C87" s="109">
        <v>9814</v>
      </c>
      <c r="D87" s="109">
        <v>10300</v>
      </c>
      <c r="E87" s="109">
        <v>10195</v>
      </c>
      <c r="F87" s="109">
        <v>9661</v>
      </c>
      <c r="G87" s="109">
        <v>7921</v>
      </c>
      <c r="H87" s="109">
        <v>8052</v>
      </c>
      <c r="I87" s="109">
        <v>8114</v>
      </c>
      <c r="J87" s="109">
        <v>8069</v>
      </c>
      <c r="K87" s="109">
        <v>7406</v>
      </c>
      <c r="L87" s="109">
        <v>7676</v>
      </c>
      <c r="M87" s="109">
        <v>7972</v>
      </c>
      <c r="N87" s="109">
        <v>8001</v>
      </c>
      <c r="O87" s="109">
        <v>8077</v>
      </c>
      <c r="P87" s="109">
        <v>119317</v>
      </c>
      <c r="S87" s="88" t="s">
        <v>180</v>
      </c>
      <c r="T87" s="104">
        <f t="shared" ref="T87:AG87" si="118">(B87+B88)/1000</f>
        <v>630.56600000000003</v>
      </c>
      <c r="U87" s="104">
        <f t="shared" si="118"/>
        <v>618.779</v>
      </c>
      <c r="V87" s="104">
        <f t="shared" si="118"/>
        <v>615.74599999999998</v>
      </c>
      <c r="W87" s="104">
        <f t="shared" si="118"/>
        <v>617.62199999999996</v>
      </c>
      <c r="X87" s="104">
        <f t="shared" si="118"/>
        <v>625.08399999999995</v>
      </c>
      <c r="Y87" s="104">
        <f t="shared" si="118"/>
        <v>636.95399999999995</v>
      </c>
      <c r="Z87" s="104">
        <f t="shared" si="118"/>
        <v>666.76700000000005</v>
      </c>
      <c r="AA87" s="104">
        <f t="shared" si="118"/>
        <v>684.87699999999995</v>
      </c>
      <c r="AB87" s="104">
        <f t="shared" si="118"/>
        <v>678.38900000000001</v>
      </c>
      <c r="AC87" s="104">
        <f t="shared" si="118"/>
        <v>686.45</v>
      </c>
      <c r="AD87" s="104">
        <f t="shared" si="118"/>
        <v>705.827</v>
      </c>
      <c r="AE87" s="104">
        <f t="shared" si="118"/>
        <v>721.94200000000001</v>
      </c>
      <c r="AF87" s="104">
        <f t="shared" si="118"/>
        <v>725.26599999999996</v>
      </c>
      <c r="AG87" s="104">
        <f t="shared" si="118"/>
        <v>724.95500000000004</v>
      </c>
    </row>
    <row r="88" spans="1:33" ht="12.75" customHeight="1" x14ac:dyDescent="0.25">
      <c r="A88" s="60">
        <v>3</v>
      </c>
      <c r="B88" s="108">
        <v>622507</v>
      </c>
      <c r="C88" s="109">
        <v>608965</v>
      </c>
      <c r="D88" s="109">
        <v>605446</v>
      </c>
      <c r="E88" s="109">
        <v>607427</v>
      </c>
      <c r="F88" s="109">
        <v>615423</v>
      </c>
      <c r="G88" s="109">
        <v>629033</v>
      </c>
      <c r="H88" s="109">
        <v>658715</v>
      </c>
      <c r="I88" s="109">
        <v>676763</v>
      </c>
      <c r="J88" s="109">
        <v>670320</v>
      </c>
      <c r="K88" s="109">
        <v>679044</v>
      </c>
      <c r="L88" s="109">
        <v>698151</v>
      </c>
      <c r="M88" s="109">
        <v>713970</v>
      </c>
      <c r="N88" s="109">
        <v>717265</v>
      </c>
      <c r="O88" s="109">
        <v>716878</v>
      </c>
      <c r="P88" s="109">
        <v>9219907</v>
      </c>
      <c r="S88" s="88" t="s">
        <v>181</v>
      </c>
      <c r="T88" s="104">
        <f t="shared" ref="T88:AG88" si="119">(B89+B90)/1000</f>
        <v>62.537999999999997</v>
      </c>
      <c r="U88" s="104">
        <f t="shared" si="119"/>
        <v>56.948</v>
      </c>
      <c r="V88" s="104">
        <f t="shared" si="119"/>
        <v>57.012999999999998</v>
      </c>
      <c r="W88" s="104">
        <f t="shared" si="119"/>
        <v>57.866999999999997</v>
      </c>
      <c r="X88" s="104">
        <f t="shared" si="119"/>
        <v>57.710999999999999</v>
      </c>
      <c r="Y88" s="104">
        <f t="shared" si="119"/>
        <v>58.72</v>
      </c>
      <c r="Z88" s="104">
        <f t="shared" si="119"/>
        <v>60.709000000000003</v>
      </c>
      <c r="AA88" s="104">
        <f t="shared" si="119"/>
        <v>61.539000000000001</v>
      </c>
      <c r="AB88" s="104">
        <f t="shared" si="119"/>
        <v>63.021999999999998</v>
      </c>
      <c r="AC88" s="104">
        <f t="shared" si="119"/>
        <v>65.825000000000003</v>
      </c>
      <c r="AD88" s="104">
        <f t="shared" si="119"/>
        <v>68.754999999999995</v>
      </c>
      <c r="AE88" s="104">
        <f t="shared" si="119"/>
        <v>71.977000000000004</v>
      </c>
      <c r="AF88" s="104">
        <f t="shared" si="119"/>
        <v>77.287000000000006</v>
      </c>
      <c r="AG88" s="104">
        <f t="shared" si="119"/>
        <v>81.022000000000006</v>
      </c>
    </row>
    <row r="89" spans="1:33" ht="12.75" customHeight="1" x14ac:dyDescent="0.25">
      <c r="A89" s="60">
        <v>4</v>
      </c>
      <c r="B89" s="108">
        <v>26130</v>
      </c>
      <c r="C89" s="109">
        <v>25628</v>
      </c>
      <c r="D89" s="109">
        <v>25479</v>
      </c>
      <c r="E89" s="109">
        <v>26631</v>
      </c>
      <c r="F89" s="109">
        <v>26000</v>
      </c>
      <c r="G89" s="109">
        <v>26079</v>
      </c>
      <c r="H89" s="109">
        <v>26482</v>
      </c>
      <c r="I89" s="109">
        <v>26776</v>
      </c>
      <c r="J89" s="109">
        <v>27827</v>
      </c>
      <c r="K89" s="109">
        <v>29701</v>
      </c>
      <c r="L89" s="109">
        <v>31655</v>
      </c>
      <c r="M89" s="109">
        <v>34158</v>
      </c>
      <c r="N89" s="109">
        <v>38736</v>
      </c>
      <c r="O89" s="109">
        <v>40598</v>
      </c>
      <c r="P89" s="109">
        <v>411880</v>
      </c>
      <c r="S89" s="88" t="s">
        <v>114</v>
      </c>
      <c r="T89" s="104">
        <f t="shared" ref="T89:T103" si="120">B91/1000</f>
        <v>322.63499999999999</v>
      </c>
      <c r="U89" s="104">
        <f t="shared" ref="U89:U103" si="121">C91/1000</f>
        <v>294.07600000000002</v>
      </c>
      <c r="V89" s="104">
        <f t="shared" ref="V89:V103" si="122">D91/1000</f>
        <v>279.81099999999998</v>
      </c>
      <c r="W89" s="104">
        <f t="shared" ref="W89:W103" si="123">E91/1000</f>
        <v>273.85599999999999</v>
      </c>
      <c r="X89" s="104">
        <f t="shared" ref="X89:X103" si="124">F91/1000</f>
        <v>275.58499999999998</v>
      </c>
      <c r="Y89" s="104">
        <f t="shared" ref="Y89:Y103" si="125">G91/1000</f>
        <v>284.29199999999997</v>
      </c>
      <c r="Z89" s="104">
        <f t="shared" ref="Z89:Z103" si="126">H91/1000</f>
        <v>298.37700000000001</v>
      </c>
      <c r="AA89" s="104">
        <f t="shared" ref="AA89:AA103" si="127">I91/1000</f>
        <v>307.59300000000002</v>
      </c>
      <c r="AB89" s="104">
        <f t="shared" ref="AB89:AB103" si="128">J91/1000</f>
        <v>311.875</v>
      </c>
      <c r="AC89" s="104">
        <f t="shared" ref="AC89:AC103" si="129">K91/1000</f>
        <v>318.81</v>
      </c>
      <c r="AD89" s="104">
        <f t="shared" ref="AD89:AD103" si="130">L91/1000</f>
        <v>326.56700000000001</v>
      </c>
      <c r="AE89" s="104">
        <f t="shared" ref="AE89:AE103" si="131">M91/1000</f>
        <v>330.97199999999998</v>
      </c>
      <c r="AF89" s="104">
        <f t="shared" ref="AF89:AF103" si="132">N91/1000</f>
        <v>332.77199999999999</v>
      </c>
      <c r="AG89" s="104">
        <f t="shared" ref="AG89:AG103" si="133">O91/1000</f>
        <v>344.43200000000002</v>
      </c>
    </row>
    <row r="90" spans="1:33" ht="12.75" customHeight="1" x14ac:dyDescent="0.25">
      <c r="A90" s="60">
        <v>5</v>
      </c>
      <c r="B90" s="108">
        <v>36408</v>
      </c>
      <c r="C90" s="109">
        <v>31320</v>
      </c>
      <c r="D90" s="109">
        <v>31534</v>
      </c>
      <c r="E90" s="109">
        <v>31236</v>
      </c>
      <c r="F90" s="109">
        <v>31711</v>
      </c>
      <c r="G90" s="109">
        <v>32641</v>
      </c>
      <c r="H90" s="109">
        <v>34227</v>
      </c>
      <c r="I90" s="109">
        <v>34763</v>
      </c>
      <c r="J90" s="109">
        <v>35195</v>
      </c>
      <c r="K90" s="109">
        <v>36124</v>
      </c>
      <c r="L90" s="109">
        <v>37100</v>
      </c>
      <c r="M90" s="109">
        <v>37819</v>
      </c>
      <c r="N90" s="109">
        <v>38551</v>
      </c>
      <c r="O90" s="109">
        <v>40424</v>
      </c>
      <c r="P90" s="109">
        <v>489053</v>
      </c>
      <c r="S90" s="88" t="s">
        <v>115</v>
      </c>
      <c r="T90" s="104">
        <f t="shared" si="120"/>
        <v>1195.2739999999999</v>
      </c>
      <c r="U90" s="104">
        <f t="shared" si="121"/>
        <v>1181.07</v>
      </c>
      <c r="V90" s="104">
        <f t="shared" si="122"/>
        <v>1181.4000000000001</v>
      </c>
      <c r="W90" s="104">
        <f t="shared" si="123"/>
        <v>1197.443</v>
      </c>
      <c r="X90" s="104">
        <f t="shared" si="124"/>
        <v>1209.566</v>
      </c>
      <c r="Y90" s="104">
        <f t="shared" si="125"/>
        <v>1242.653</v>
      </c>
      <c r="Z90" s="104">
        <f t="shared" si="126"/>
        <v>1279.288</v>
      </c>
      <c r="AA90" s="104">
        <f t="shared" si="127"/>
        <v>1290.162</v>
      </c>
      <c r="AB90" s="104">
        <f t="shared" si="128"/>
        <v>1297.6030000000001</v>
      </c>
      <c r="AC90" s="104">
        <f t="shared" si="129"/>
        <v>1307.482</v>
      </c>
      <c r="AD90" s="104">
        <f t="shared" si="130"/>
        <v>1313.4570000000001</v>
      </c>
      <c r="AE90" s="104">
        <f t="shared" si="131"/>
        <v>1307.828</v>
      </c>
      <c r="AF90" s="104">
        <f t="shared" si="132"/>
        <v>1311.748</v>
      </c>
      <c r="AG90" s="104">
        <f t="shared" si="133"/>
        <v>1294.115</v>
      </c>
    </row>
    <row r="91" spans="1:33" ht="12.75" customHeight="1" x14ac:dyDescent="0.25">
      <c r="A91" s="60">
        <v>6</v>
      </c>
      <c r="B91" s="108">
        <v>322635</v>
      </c>
      <c r="C91" s="109">
        <v>294076</v>
      </c>
      <c r="D91" s="109">
        <v>279811</v>
      </c>
      <c r="E91" s="109">
        <v>273856</v>
      </c>
      <c r="F91" s="109">
        <v>275585</v>
      </c>
      <c r="G91" s="109">
        <v>284292</v>
      </c>
      <c r="H91" s="109">
        <v>298377</v>
      </c>
      <c r="I91" s="109">
        <v>307593</v>
      </c>
      <c r="J91" s="109">
        <v>311875</v>
      </c>
      <c r="K91" s="109">
        <v>318810</v>
      </c>
      <c r="L91" s="109">
        <v>326567</v>
      </c>
      <c r="M91" s="109">
        <v>330972</v>
      </c>
      <c r="N91" s="109">
        <v>332772</v>
      </c>
      <c r="O91" s="109">
        <v>344432</v>
      </c>
      <c r="P91" s="109">
        <v>4301653</v>
      </c>
      <c r="S91" s="88" t="s">
        <v>116</v>
      </c>
      <c r="T91" s="104">
        <f t="shared" si="120"/>
        <v>348.25</v>
      </c>
      <c r="U91" s="104">
        <f t="shared" si="121"/>
        <v>342.971</v>
      </c>
      <c r="V91" s="104">
        <f t="shared" si="122"/>
        <v>338.88099999999997</v>
      </c>
      <c r="W91" s="104">
        <f t="shared" si="123"/>
        <v>337.80700000000002</v>
      </c>
      <c r="X91" s="104">
        <f t="shared" si="124"/>
        <v>339.91699999999997</v>
      </c>
      <c r="Y91" s="104">
        <f t="shared" si="125"/>
        <v>345.13499999999999</v>
      </c>
      <c r="Z91" s="104">
        <f t="shared" si="126"/>
        <v>368.18599999999998</v>
      </c>
      <c r="AA91" s="104">
        <f t="shared" si="127"/>
        <v>373.04899999999998</v>
      </c>
      <c r="AB91" s="104">
        <f t="shared" si="128"/>
        <v>366.46300000000002</v>
      </c>
      <c r="AC91" s="104">
        <f t="shared" si="129"/>
        <v>373.13900000000001</v>
      </c>
      <c r="AD91" s="104">
        <f t="shared" si="130"/>
        <v>381.49599999999998</v>
      </c>
      <c r="AE91" s="104">
        <f t="shared" si="131"/>
        <v>385.51499999999999</v>
      </c>
      <c r="AF91" s="104">
        <f t="shared" si="132"/>
        <v>387.084</v>
      </c>
      <c r="AG91" s="104">
        <f t="shared" si="133"/>
        <v>391.22</v>
      </c>
    </row>
    <row r="92" spans="1:33" ht="12.75" customHeight="1" x14ac:dyDescent="0.25">
      <c r="A92" s="60">
        <v>7</v>
      </c>
      <c r="B92" s="108">
        <v>1195274</v>
      </c>
      <c r="C92" s="109">
        <v>1181070</v>
      </c>
      <c r="D92" s="109">
        <v>1181400</v>
      </c>
      <c r="E92" s="109">
        <v>1197443</v>
      </c>
      <c r="F92" s="109">
        <v>1209566</v>
      </c>
      <c r="G92" s="109">
        <v>1242653</v>
      </c>
      <c r="H92" s="109">
        <v>1279288</v>
      </c>
      <c r="I92" s="109">
        <v>1290162</v>
      </c>
      <c r="J92" s="109">
        <v>1297603</v>
      </c>
      <c r="K92" s="109">
        <v>1307482</v>
      </c>
      <c r="L92" s="109">
        <v>1313457</v>
      </c>
      <c r="M92" s="109">
        <v>1307828</v>
      </c>
      <c r="N92" s="109">
        <v>1311748</v>
      </c>
      <c r="O92" s="109">
        <v>1294115</v>
      </c>
      <c r="P92" s="109">
        <v>17609089</v>
      </c>
      <c r="S92" s="88" t="s">
        <v>117</v>
      </c>
      <c r="T92" s="104">
        <f t="shared" si="120"/>
        <v>302.60199999999998</v>
      </c>
      <c r="U92" s="104">
        <f t="shared" si="121"/>
        <v>306.38600000000002</v>
      </c>
      <c r="V92" s="104">
        <f t="shared" si="122"/>
        <v>317.98200000000003</v>
      </c>
      <c r="W92" s="104">
        <f t="shared" si="123"/>
        <v>331.517</v>
      </c>
      <c r="X92" s="104">
        <f t="shared" si="124"/>
        <v>349.11900000000003</v>
      </c>
      <c r="Y92" s="104">
        <f t="shared" si="125"/>
        <v>361.99299999999999</v>
      </c>
      <c r="Z92" s="104">
        <f t="shared" si="126"/>
        <v>376.82600000000002</v>
      </c>
      <c r="AA92" s="104">
        <f t="shared" si="127"/>
        <v>387.93700000000001</v>
      </c>
      <c r="AB92" s="104">
        <f t="shared" si="128"/>
        <v>369.59300000000002</v>
      </c>
      <c r="AC92" s="104">
        <f t="shared" si="129"/>
        <v>376.33800000000002</v>
      </c>
      <c r="AD92" s="104">
        <f t="shared" si="130"/>
        <v>403.65300000000002</v>
      </c>
      <c r="AE92" s="104">
        <f t="shared" si="131"/>
        <v>423.76100000000002</v>
      </c>
      <c r="AF92" s="104">
        <f t="shared" si="132"/>
        <v>429.61099999999999</v>
      </c>
      <c r="AG92" s="104">
        <f t="shared" si="133"/>
        <v>426.36799999999999</v>
      </c>
    </row>
    <row r="93" spans="1:33" ht="12.75" customHeight="1" x14ac:dyDescent="0.25">
      <c r="A93" s="60">
        <v>8</v>
      </c>
      <c r="B93" s="108">
        <v>348250</v>
      </c>
      <c r="C93" s="109">
        <v>342971</v>
      </c>
      <c r="D93" s="109">
        <v>338881</v>
      </c>
      <c r="E93" s="109">
        <v>337807</v>
      </c>
      <c r="F93" s="109">
        <v>339917</v>
      </c>
      <c r="G93" s="109">
        <v>345135</v>
      </c>
      <c r="H93" s="109">
        <v>368186</v>
      </c>
      <c r="I93" s="109">
        <v>373049</v>
      </c>
      <c r="J93" s="109">
        <v>366463</v>
      </c>
      <c r="K93" s="109">
        <v>373139</v>
      </c>
      <c r="L93" s="109">
        <v>381496</v>
      </c>
      <c r="M93" s="109">
        <v>385515</v>
      </c>
      <c r="N93" s="109">
        <v>387084</v>
      </c>
      <c r="O93" s="109">
        <v>391220</v>
      </c>
      <c r="P93" s="109">
        <v>5079113</v>
      </c>
      <c r="S93" s="88" t="s">
        <v>25</v>
      </c>
      <c r="T93" s="104">
        <f t="shared" si="120"/>
        <v>213.05199999999999</v>
      </c>
      <c r="U93" s="104">
        <f t="shared" si="121"/>
        <v>207.81399999999999</v>
      </c>
      <c r="V93" s="104">
        <f t="shared" si="122"/>
        <v>214.571</v>
      </c>
      <c r="W93" s="104">
        <f t="shared" si="123"/>
        <v>220.31399999999999</v>
      </c>
      <c r="X93" s="104">
        <f t="shared" si="124"/>
        <v>230.405</v>
      </c>
      <c r="Y93" s="104">
        <f t="shared" si="125"/>
        <v>242.756</v>
      </c>
      <c r="Z93" s="104">
        <f t="shared" si="126"/>
        <v>253.94499999999999</v>
      </c>
      <c r="AA93" s="104">
        <f t="shared" si="127"/>
        <v>262.74700000000001</v>
      </c>
      <c r="AB93" s="104">
        <f t="shared" si="128"/>
        <v>268.36799999999999</v>
      </c>
      <c r="AC93" s="104">
        <f t="shared" si="129"/>
        <v>283.26900000000001</v>
      </c>
      <c r="AD93" s="104">
        <f t="shared" si="130"/>
        <v>301.10500000000002</v>
      </c>
      <c r="AE93" s="104">
        <f t="shared" si="131"/>
        <v>305.45699999999999</v>
      </c>
      <c r="AF93" s="104">
        <f t="shared" si="132"/>
        <v>300.20600000000002</v>
      </c>
      <c r="AG93" s="104">
        <f t="shared" si="133"/>
        <v>296.17</v>
      </c>
    </row>
    <row r="94" spans="1:33" ht="12.75" customHeight="1" x14ac:dyDescent="0.25">
      <c r="A94" s="60">
        <v>9</v>
      </c>
      <c r="B94" s="108">
        <v>302602</v>
      </c>
      <c r="C94" s="109">
        <v>306386</v>
      </c>
      <c r="D94" s="109">
        <v>317982</v>
      </c>
      <c r="E94" s="109">
        <v>331517</v>
      </c>
      <c r="F94" s="109">
        <v>349119</v>
      </c>
      <c r="G94" s="109">
        <v>361993</v>
      </c>
      <c r="H94" s="109">
        <v>376826</v>
      </c>
      <c r="I94" s="109">
        <v>387937</v>
      </c>
      <c r="J94" s="109">
        <v>369593</v>
      </c>
      <c r="K94" s="109">
        <v>376338</v>
      </c>
      <c r="L94" s="109">
        <v>403653</v>
      </c>
      <c r="M94" s="109">
        <v>423761</v>
      </c>
      <c r="N94" s="109">
        <v>429611</v>
      </c>
      <c r="O94" s="109">
        <v>426368</v>
      </c>
      <c r="P94" s="109">
        <v>5163686</v>
      </c>
      <c r="S94" s="88" t="s">
        <v>118</v>
      </c>
      <c r="T94" s="104">
        <f t="shared" si="120"/>
        <v>228.607</v>
      </c>
      <c r="U94" s="104">
        <f t="shared" si="121"/>
        <v>221.47499999999999</v>
      </c>
      <c r="V94" s="104">
        <f t="shared" si="122"/>
        <v>212.66900000000001</v>
      </c>
      <c r="W94" s="104">
        <f t="shared" si="123"/>
        <v>218.24299999999999</v>
      </c>
      <c r="X94" s="104">
        <f t="shared" si="124"/>
        <v>212.59</v>
      </c>
      <c r="Y94" s="104">
        <f t="shared" si="125"/>
        <v>201.095</v>
      </c>
      <c r="Z94" s="104">
        <f t="shared" si="126"/>
        <v>198.75899999999999</v>
      </c>
      <c r="AA94" s="104">
        <f t="shared" si="127"/>
        <v>193.45599999999999</v>
      </c>
      <c r="AB94" s="104">
        <f t="shared" si="128"/>
        <v>202.81700000000001</v>
      </c>
      <c r="AC94" s="104">
        <f t="shared" si="129"/>
        <v>205.22200000000001</v>
      </c>
      <c r="AD94" s="104">
        <f t="shared" si="130"/>
        <v>211.173</v>
      </c>
      <c r="AE94" s="104">
        <f t="shared" si="131"/>
        <v>214.81</v>
      </c>
      <c r="AF94" s="104">
        <f t="shared" si="132"/>
        <v>211.48099999999999</v>
      </c>
      <c r="AG94" s="104">
        <f t="shared" si="133"/>
        <v>211.97</v>
      </c>
    </row>
    <row r="95" spans="1:33" ht="12.75" customHeight="1" x14ac:dyDescent="0.25">
      <c r="A95" s="60">
        <v>10</v>
      </c>
      <c r="B95" s="108">
        <v>213052</v>
      </c>
      <c r="C95" s="109">
        <v>207814</v>
      </c>
      <c r="D95" s="109">
        <v>214571</v>
      </c>
      <c r="E95" s="109">
        <v>220314</v>
      </c>
      <c r="F95" s="109">
        <v>230405</v>
      </c>
      <c r="G95" s="109">
        <v>242756</v>
      </c>
      <c r="H95" s="109">
        <v>253945</v>
      </c>
      <c r="I95" s="109">
        <v>262747</v>
      </c>
      <c r="J95" s="109">
        <v>268368</v>
      </c>
      <c r="K95" s="109">
        <v>283269</v>
      </c>
      <c r="L95" s="109">
        <v>301105</v>
      </c>
      <c r="M95" s="109">
        <v>305457</v>
      </c>
      <c r="N95" s="109">
        <v>300206</v>
      </c>
      <c r="O95" s="109">
        <v>296170</v>
      </c>
      <c r="P95" s="109">
        <v>3600179</v>
      </c>
      <c r="S95" s="88" t="s">
        <v>119</v>
      </c>
      <c r="T95" s="104">
        <f t="shared" si="120"/>
        <v>57.713999999999999</v>
      </c>
      <c r="U95" s="104">
        <f t="shared" si="121"/>
        <v>56.139000000000003</v>
      </c>
      <c r="V95" s="104">
        <f t="shared" si="122"/>
        <v>55.37</v>
      </c>
      <c r="W95" s="104">
        <f t="shared" si="123"/>
        <v>54.848999999999997</v>
      </c>
      <c r="X95" s="104">
        <f t="shared" si="124"/>
        <v>55.387</v>
      </c>
      <c r="Y95" s="104">
        <f t="shared" si="125"/>
        <v>56.183</v>
      </c>
      <c r="Z95" s="104">
        <f t="shared" si="126"/>
        <v>56.773000000000003</v>
      </c>
      <c r="AA95" s="104">
        <f t="shared" si="127"/>
        <v>57.8</v>
      </c>
      <c r="AB95" s="104">
        <f t="shared" si="128"/>
        <v>58.503999999999998</v>
      </c>
      <c r="AC95" s="104">
        <f t="shared" si="129"/>
        <v>59.220999999999997</v>
      </c>
      <c r="AD95" s="104">
        <f t="shared" si="130"/>
        <v>59.536000000000001</v>
      </c>
      <c r="AE95" s="104">
        <f t="shared" si="131"/>
        <v>60.878999999999998</v>
      </c>
      <c r="AF95" s="104">
        <f t="shared" si="132"/>
        <v>62.863</v>
      </c>
      <c r="AG95" s="104">
        <f t="shared" si="133"/>
        <v>65.603999999999999</v>
      </c>
    </row>
    <row r="96" spans="1:33" ht="12.75" customHeight="1" x14ac:dyDescent="0.25">
      <c r="A96" s="60">
        <v>11</v>
      </c>
      <c r="B96" s="108">
        <v>228607</v>
      </c>
      <c r="C96" s="109">
        <v>221475</v>
      </c>
      <c r="D96" s="109">
        <v>212669</v>
      </c>
      <c r="E96" s="109">
        <v>218243</v>
      </c>
      <c r="F96" s="109">
        <v>212590</v>
      </c>
      <c r="G96" s="109">
        <v>201095</v>
      </c>
      <c r="H96" s="109">
        <v>198759</v>
      </c>
      <c r="I96" s="109">
        <v>193456</v>
      </c>
      <c r="J96" s="109">
        <v>202817</v>
      </c>
      <c r="K96" s="109">
        <v>205222</v>
      </c>
      <c r="L96" s="109">
        <v>211173</v>
      </c>
      <c r="M96" s="109">
        <v>214810</v>
      </c>
      <c r="N96" s="109">
        <v>211481</v>
      </c>
      <c r="O96" s="109">
        <v>211970</v>
      </c>
      <c r="P96" s="109">
        <v>2944367</v>
      </c>
      <c r="S96" s="88" t="s">
        <v>120</v>
      </c>
      <c r="T96" s="104">
        <f t="shared" si="120"/>
        <v>408.69299999999998</v>
      </c>
      <c r="U96" s="104">
        <f t="shared" si="121"/>
        <v>398.79199999999997</v>
      </c>
      <c r="V96" s="104">
        <f t="shared" si="122"/>
        <v>402.94900000000001</v>
      </c>
      <c r="W96" s="104">
        <f t="shared" si="123"/>
        <v>398.34</v>
      </c>
      <c r="X96" s="104">
        <f t="shared" si="124"/>
        <v>410.64800000000002</v>
      </c>
      <c r="Y96" s="104">
        <f t="shared" si="125"/>
        <v>416.90199999999999</v>
      </c>
      <c r="Z96" s="104">
        <f t="shared" si="126"/>
        <v>436.48500000000001</v>
      </c>
      <c r="AA96" s="104">
        <f t="shared" si="127"/>
        <v>452.76400000000001</v>
      </c>
      <c r="AB96" s="104">
        <f t="shared" si="128"/>
        <v>451.15600000000001</v>
      </c>
      <c r="AC96" s="104">
        <f t="shared" si="129"/>
        <v>461.64299999999997</v>
      </c>
      <c r="AD96" s="104">
        <f t="shared" si="130"/>
        <v>481.48700000000002</v>
      </c>
      <c r="AE96" s="104">
        <f t="shared" si="131"/>
        <v>496.149</v>
      </c>
      <c r="AF96" s="104">
        <f t="shared" si="132"/>
        <v>497.85899999999998</v>
      </c>
      <c r="AG96" s="104">
        <f t="shared" si="133"/>
        <v>501.64699999999999</v>
      </c>
    </row>
    <row r="97" spans="1:33" ht="12.75" customHeight="1" x14ac:dyDescent="0.25">
      <c r="A97" s="60">
        <v>12</v>
      </c>
      <c r="B97" s="108">
        <v>57714</v>
      </c>
      <c r="C97" s="109">
        <v>56139</v>
      </c>
      <c r="D97" s="109">
        <v>55370</v>
      </c>
      <c r="E97" s="109">
        <v>54849</v>
      </c>
      <c r="F97" s="109">
        <v>55387</v>
      </c>
      <c r="G97" s="109">
        <v>56183</v>
      </c>
      <c r="H97" s="109">
        <v>56773</v>
      </c>
      <c r="I97" s="109">
        <v>57800</v>
      </c>
      <c r="J97" s="109">
        <v>58504</v>
      </c>
      <c r="K97" s="109">
        <v>59221</v>
      </c>
      <c r="L97" s="109">
        <v>59536</v>
      </c>
      <c r="M97" s="109">
        <v>60879</v>
      </c>
      <c r="N97" s="109">
        <v>62863</v>
      </c>
      <c r="O97" s="109">
        <v>65604</v>
      </c>
      <c r="P97" s="109">
        <v>816822</v>
      </c>
      <c r="S97" s="88" t="s">
        <v>121</v>
      </c>
      <c r="T97" s="104">
        <f t="shared" si="120"/>
        <v>245.37700000000001</v>
      </c>
      <c r="U97" s="104">
        <f t="shared" si="121"/>
        <v>241.809</v>
      </c>
      <c r="V97" s="104">
        <f t="shared" si="122"/>
        <v>243.27</v>
      </c>
      <c r="W97" s="104">
        <f t="shared" si="123"/>
        <v>246.55500000000001</v>
      </c>
      <c r="X97" s="104">
        <f t="shared" si="124"/>
        <v>250.90199999999999</v>
      </c>
      <c r="Y97" s="104">
        <f t="shared" si="125"/>
        <v>259.12099999999998</v>
      </c>
      <c r="Z97" s="104">
        <f t="shared" si="126"/>
        <v>270.32</v>
      </c>
      <c r="AA97" s="104">
        <f t="shared" si="127"/>
        <v>271.53500000000003</v>
      </c>
      <c r="AB97" s="104">
        <f t="shared" si="128"/>
        <v>269.42200000000003</v>
      </c>
      <c r="AC97" s="104">
        <f t="shared" si="129"/>
        <v>268.92099999999999</v>
      </c>
      <c r="AD97" s="104">
        <f t="shared" si="130"/>
        <v>275.64999999999998</v>
      </c>
      <c r="AE97" s="104">
        <f t="shared" si="131"/>
        <v>278.02300000000002</v>
      </c>
      <c r="AF97" s="104">
        <f t="shared" si="132"/>
        <v>267.62299999999999</v>
      </c>
      <c r="AG97" s="104">
        <f t="shared" si="133"/>
        <v>269.012</v>
      </c>
    </row>
    <row r="98" spans="1:33" ht="12.75" customHeight="1" x14ac:dyDescent="0.25">
      <c r="A98" s="60">
        <v>13</v>
      </c>
      <c r="B98" s="108">
        <v>408693</v>
      </c>
      <c r="C98" s="109">
        <v>398792</v>
      </c>
      <c r="D98" s="109">
        <v>402949</v>
      </c>
      <c r="E98" s="109">
        <v>398340</v>
      </c>
      <c r="F98" s="109">
        <v>410648</v>
      </c>
      <c r="G98" s="109">
        <v>416902</v>
      </c>
      <c r="H98" s="109">
        <v>436485</v>
      </c>
      <c r="I98" s="109">
        <v>452764</v>
      </c>
      <c r="J98" s="109">
        <v>451156</v>
      </c>
      <c r="K98" s="109">
        <v>461643</v>
      </c>
      <c r="L98" s="109">
        <v>481487</v>
      </c>
      <c r="M98" s="109">
        <v>496149</v>
      </c>
      <c r="N98" s="109">
        <v>497859</v>
      </c>
      <c r="O98" s="109">
        <v>501647</v>
      </c>
      <c r="P98" s="109">
        <v>6215514</v>
      </c>
      <c r="S98" s="88" t="s">
        <v>122</v>
      </c>
      <c r="T98" s="104">
        <f t="shared" si="120"/>
        <v>479.005</v>
      </c>
      <c r="U98" s="104">
        <f t="shared" si="121"/>
        <v>476.577</v>
      </c>
      <c r="V98" s="104">
        <f t="shared" si="122"/>
        <v>471.21300000000002</v>
      </c>
      <c r="W98" s="104">
        <f t="shared" si="123"/>
        <v>466.82299999999998</v>
      </c>
      <c r="X98" s="104">
        <f t="shared" si="124"/>
        <v>464.32</v>
      </c>
      <c r="Y98" s="104">
        <f t="shared" si="125"/>
        <v>469.91199999999998</v>
      </c>
      <c r="Z98" s="104">
        <f t="shared" si="126"/>
        <v>478.70600000000002</v>
      </c>
      <c r="AA98" s="104">
        <f t="shared" si="127"/>
        <v>492.24700000000001</v>
      </c>
      <c r="AB98" s="104">
        <f t="shared" si="128"/>
        <v>508.94299999999998</v>
      </c>
      <c r="AC98" s="104">
        <f t="shared" si="129"/>
        <v>526.678</v>
      </c>
      <c r="AD98" s="104">
        <f t="shared" si="130"/>
        <v>542.745</v>
      </c>
      <c r="AE98" s="104">
        <f t="shared" si="131"/>
        <v>567.78899999999999</v>
      </c>
      <c r="AF98" s="104">
        <f t="shared" si="132"/>
        <v>595.85699999999997</v>
      </c>
      <c r="AG98" s="104">
        <f t="shared" si="133"/>
        <v>619.85900000000004</v>
      </c>
    </row>
    <row r="99" spans="1:33" ht="12.75" customHeight="1" x14ac:dyDescent="0.25">
      <c r="A99" s="60">
        <v>14</v>
      </c>
      <c r="B99" s="108">
        <v>245377</v>
      </c>
      <c r="C99" s="109">
        <v>241809</v>
      </c>
      <c r="D99" s="109">
        <v>243270</v>
      </c>
      <c r="E99" s="109">
        <v>246555</v>
      </c>
      <c r="F99" s="109">
        <v>250902</v>
      </c>
      <c r="G99" s="109">
        <v>259121</v>
      </c>
      <c r="H99" s="109">
        <v>270320</v>
      </c>
      <c r="I99" s="109">
        <v>271535</v>
      </c>
      <c r="J99" s="109">
        <v>269422</v>
      </c>
      <c r="K99" s="109">
        <v>268921</v>
      </c>
      <c r="L99" s="109">
        <v>275650</v>
      </c>
      <c r="M99" s="109">
        <v>278023</v>
      </c>
      <c r="N99" s="109">
        <v>267623</v>
      </c>
      <c r="O99" s="109">
        <v>269012</v>
      </c>
      <c r="P99" s="109">
        <v>3657540</v>
      </c>
      <c r="S99" s="88" t="s">
        <v>123</v>
      </c>
      <c r="T99" s="104">
        <f t="shared" si="120"/>
        <v>474.49799999999999</v>
      </c>
      <c r="U99" s="104">
        <f t="shared" si="121"/>
        <v>467.36500000000001</v>
      </c>
      <c r="V99" s="104">
        <f t="shared" si="122"/>
        <v>467.41699999999997</v>
      </c>
      <c r="W99" s="104">
        <f t="shared" si="123"/>
        <v>471.06200000000001</v>
      </c>
      <c r="X99" s="104">
        <f t="shared" si="124"/>
        <v>477.80700000000002</v>
      </c>
      <c r="Y99" s="104">
        <f t="shared" si="125"/>
        <v>482.80099999999999</v>
      </c>
      <c r="Z99" s="104">
        <f t="shared" si="126"/>
        <v>492.84500000000003</v>
      </c>
      <c r="AA99" s="104">
        <f t="shared" si="127"/>
        <v>501.036</v>
      </c>
      <c r="AB99" s="104">
        <f t="shared" si="128"/>
        <v>510.83699999999999</v>
      </c>
      <c r="AC99" s="104">
        <f t="shared" si="129"/>
        <v>531.71600000000001</v>
      </c>
      <c r="AD99" s="104">
        <f t="shared" si="130"/>
        <v>548.09500000000003</v>
      </c>
      <c r="AE99" s="104">
        <f t="shared" si="131"/>
        <v>555.86900000000003</v>
      </c>
      <c r="AF99" s="104">
        <f t="shared" si="132"/>
        <v>557.54200000000003</v>
      </c>
      <c r="AG99" s="104">
        <f t="shared" si="133"/>
        <v>552.822</v>
      </c>
    </row>
    <row r="100" spans="1:33" ht="12.75" customHeight="1" x14ac:dyDescent="0.25">
      <c r="A100" s="60">
        <v>15</v>
      </c>
      <c r="B100" s="108">
        <v>479005</v>
      </c>
      <c r="C100" s="109">
        <v>476577</v>
      </c>
      <c r="D100" s="109">
        <v>471213</v>
      </c>
      <c r="E100" s="109">
        <v>466823</v>
      </c>
      <c r="F100" s="109">
        <v>464320</v>
      </c>
      <c r="G100" s="109">
        <v>469912</v>
      </c>
      <c r="H100" s="109">
        <v>478706</v>
      </c>
      <c r="I100" s="109">
        <v>492247</v>
      </c>
      <c r="J100" s="109">
        <v>508943</v>
      </c>
      <c r="K100" s="109">
        <v>526678</v>
      </c>
      <c r="L100" s="109">
        <v>542745</v>
      </c>
      <c r="M100" s="109">
        <v>567789</v>
      </c>
      <c r="N100" s="109">
        <v>595857</v>
      </c>
      <c r="O100" s="109">
        <v>619859</v>
      </c>
      <c r="P100" s="109">
        <v>7160674</v>
      </c>
      <c r="S100" s="88" t="s">
        <v>124</v>
      </c>
      <c r="T100" s="104">
        <f t="shared" si="120"/>
        <v>1243.4290000000001</v>
      </c>
      <c r="U100" s="104">
        <f t="shared" si="121"/>
        <v>1225.1990000000001</v>
      </c>
      <c r="V100" s="104">
        <f t="shared" si="122"/>
        <v>1193.172</v>
      </c>
      <c r="W100" s="104">
        <f t="shared" si="123"/>
        <v>1168.702</v>
      </c>
      <c r="X100" s="104">
        <f t="shared" si="124"/>
        <v>1169.923</v>
      </c>
      <c r="Y100" s="104">
        <f t="shared" si="125"/>
        <v>1196.838</v>
      </c>
      <c r="Z100" s="104">
        <f t="shared" si="126"/>
        <v>1235.3309999999999</v>
      </c>
      <c r="AA100" s="104">
        <f t="shared" si="127"/>
        <v>1282.9639999999999</v>
      </c>
      <c r="AB100" s="104">
        <f t="shared" si="128"/>
        <v>1314.319</v>
      </c>
      <c r="AC100" s="104">
        <f t="shared" si="129"/>
        <v>1341.991</v>
      </c>
      <c r="AD100" s="104">
        <f t="shared" si="130"/>
        <v>1360.309</v>
      </c>
      <c r="AE100" s="104">
        <f t="shared" si="131"/>
        <v>1383.0650000000001</v>
      </c>
      <c r="AF100" s="104">
        <f t="shared" si="132"/>
        <v>1410.972</v>
      </c>
      <c r="AG100" s="104">
        <f t="shared" si="133"/>
        <v>1451.3420000000001</v>
      </c>
    </row>
    <row r="101" spans="1:33" ht="12.75" customHeight="1" x14ac:dyDescent="0.25">
      <c r="A101" s="60">
        <v>16</v>
      </c>
      <c r="B101" s="108">
        <v>474498</v>
      </c>
      <c r="C101" s="109">
        <v>467365</v>
      </c>
      <c r="D101" s="109">
        <v>467417</v>
      </c>
      <c r="E101" s="109">
        <v>471062</v>
      </c>
      <c r="F101" s="109">
        <v>477807</v>
      </c>
      <c r="G101" s="109">
        <v>482801</v>
      </c>
      <c r="H101" s="109">
        <v>492845</v>
      </c>
      <c r="I101" s="109">
        <v>501036</v>
      </c>
      <c r="J101" s="109">
        <v>510837</v>
      </c>
      <c r="K101" s="109">
        <v>531716</v>
      </c>
      <c r="L101" s="109">
        <v>548095</v>
      </c>
      <c r="M101" s="109">
        <v>555869</v>
      </c>
      <c r="N101" s="109">
        <v>557542</v>
      </c>
      <c r="O101" s="109">
        <v>552822</v>
      </c>
      <c r="P101" s="109">
        <v>7091712</v>
      </c>
      <c r="S101" s="88" t="s">
        <v>125</v>
      </c>
      <c r="T101" s="104">
        <f t="shared" si="120"/>
        <v>105.691</v>
      </c>
      <c r="U101" s="104">
        <f t="shared" si="121"/>
        <v>103.474</v>
      </c>
      <c r="V101" s="104">
        <f t="shared" si="122"/>
        <v>104.438</v>
      </c>
      <c r="W101" s="104">
        <f t="shared" si="123"/>
        <v>103.875</v>
      </c>
      <c r="X101" s="104">
        <f t="shared" si="124"/>
        <v>105.815</v>
      </c>
      <c r="Y101" s="104">
        <f t="shared" si="125"/>
        <v>110.096</v>
      </c>
      <c r="Z101" s="104">
        <f t="shared" si="126"/>
        <v>114.18899999999999</v>
      </c>
      <c r="AA101" s="104">
        <f t="shared" si="127"/>
        <v>116.598</v>
      </c>
      <c r="AB101" s="104">
        <f t="shared" si="128"/>
        <v>111.64400000000001</v>
      </c>
      <c r="AC101" s="104">
        <f t="shared" si="129"/>
        <v>113.318</v>
      </c>
      <c r="AD101" s="104">
        <f t="shared" si="130"/>
        <v>122.991</v>
      </c>
      <c r="AE101" s="104">
        <f t="shared" si="131"/>
        <v>127.383</v>
      </c>
      <c r="AF101" s="104">
        <f t="shared" si="132"/>
        <v>132.18</v>
      </c>
      <c r="AG101" s="104">
        <f t="shared" si="133"/>
        <v>132.89500000000001</v>
      </c>
    </row>
    <row r="102" spans="1:33" ht="12.75" customHeight="1" x14ac:dyDescent="0.25">
      <c r="A102" s="60">
        <v>17</v>
      </c>
      <c r="B102" s="108">
        <v>1243429</v>
      </c>
      <c r="C102" s="109">
        <v>1225199</v>
      </c>
      <c r="D102" s="109">
        <v>1193172</v>
      </c>
      <c r="E102" s="109">
        <v>1168702</v>
      </c>
      <c r="F102" s="109">
        <v>1169923</v>
      </c>
      <c r="G102" s="109">
        <v>1196838</v>
      </c>
      <c r="H102" s="109">
        <v>1235331</v>
      </c>
      <c r="I102" s="109">
        <v>1282964</v>
      </c>
      <c r="J102" s="109">
        <v>1314319</v>
      </c>
      <c r="K102" s="109">
        <v>1341991</v>
      </c>
      <c r="L102" s="109">
        <v>1360309</v>
      </c>
      <c r="M102" s="109">
        <v>1383065</v>
      </c>
      <c r="N102" s="109">
        <v>1410972</v>
      </c>
      <c r="O102" s="109">
        <v>1451342</v>
      </c>
      <c r="P102" s="109">
        <v>17977556</v>
      </c>
      <c r="S102" s="88" t="s">
        <v>126</v>
      </c>
      <c r="T102" s="104">
        <f t="shared" si="120"/>
        <v>127.146</v>
      </c>
      <c r="U102" s="104">
        <f t="shared" si="121"/>
        <v>122.925</v>
      </c>
      <c r="V102" s="104">
        <f t="shared" si="122"/>
        <v>119.499</v>
      </c>
      <c r="W102" s="104">
        <f t="shared" si="123"/>
        <v>115.849</v>
      </c>
      <c r="X102" s="104">
        <f t="shared" si="124"/>
        <v>117.01300000000001</v>
      </c>
      <c r="Y102" s="104">
        <f t="shared" si="125"/>
        <v>119.06699999999999</v>
      </c>
      <c r="Z102" s="104">
        <f t="shared" si="126"/>
        <v>122.154</v>
      </c>
      <c r="AA102" s="104">
        <f t="shared" si="127"/>
        <v>123.139</v>
      </c>
      <c r="AB102" s="104">
        <f t="shared" si="128"/>
        <v>121.10599999999999</v>
      </c>
      <c r="AC102" s="104">
        <f t="shared" si="129"/>
        <v>119.80800000000001</v>
      </c>
      <c r="AD102" s="104">
        <f t="shared" si="130"/>
        <v>117.526</v>
      </c>
      <c r="AE102" s="104">
        <f t="shared" si="131"/>
        <v>118.44799999999999</v>
      </c>
      <c r="AF102" s="104">
        <f t="shared" si="132"/>
        <v>119.2</v>
      </c>
      <c r="AG102" s="104">
        <f t="shared" si="133"/>
        <v>121.126</v>
      </c>
    </row>
    <row r="103" spans="1:33" ht="12.75" customHeight="1" x14ac:dyDescent="0.25">
      <c r="A103" s="60">
        <v>18</v>
      </c>
      <c r="B103" s="108">
        <v>105691</v>
      </c>
      <c r="C103" s="109">
        <v>103474</v>
      </c>
      <c r="D103" s="109">
        <v>104438</v>
      </c>
      <c r="E103" s="109">
        <v>103875</v>
      </c>
      <c r="F103" s="109">
        <v>105815</v>
      </c>
      <c r="G103" s="109">
        <v>110096</v>
      </c>
      <c r="H103" s="109">
        <v>114189</v>
      </c>
      <c r="I103" s="109">
        <v>116598</v>
      </c>
      <c r="J103" s="109">
        <v>111644</v>
      </c>
      <c r="K103" s="109">
        <v>113318</v>
      </c>
      <c r="L103" s="109">
        <v>122991</v>
      </c>
      <c r="M103" s="109">
        <v>127383</v>
      </c>
      <c r="N103" s="109">
        <v>132180</v>
      </c>
      <c r="O103" s="109">
        <v>132895</v>
      </c>
      <c r="P103" s="109">
        <v>1604587</v>
      </c>
      <c r="S103" s="88" t="s">
        <v>159</v>
      </c>
      <c r="T103" s="104">
        <f t="shared" si="120"/>
        <v>463.75799999999998</v>
      </c>
      <c r="U103" s="104">
        <f t="shared" si="121"/>
        <v>478.48200000000003</v>
      </c>
      <c r="V103" s="104">
        <f t="shared" si="122"/>
        <v>509.916</v>
      </c>
      <c r="W103" s="104">
        <f t="shared" si="123"/>
        <v>561.06899999999996</v>
      </c>
      <c r="X103" s="104">
        <f t="shared" si="124"/>
        <v>606.96400000000006</v>
      </c>
      <c r="Y103" s="104">
        <f t="shared" si="125"/>
        <v>649.14099999999996</v>
      </c>
      <c r="Z103" s="104">
        <f t="shared" si="126"/>
        <v>808.87800000000004</v>
      </c>
      <c r="AA103" s="104">
        <f t="shared" si="127"/>
        <v>754.77700000000004</v>
      </c>
      <c r="AB103" s="104">
        <f t="shared" si="128"/>
        <v>618.851</v>
      </c>
      <c r="AC103" s="104">
        <f t="shared" si="129"/>
        <v>738.37599999999998</v>
      </c>
      <c r="AD103" s="104">
        <f t="shared" si="130"/>
        <v>752.76599999999996</v>
      </c>
      <c r="AE103" s="104">
        <f t="shared" si="131"/>
        <v>694.02200000000005</v>
      </c>
      <c r="AF103" s="104">
        <f t="shared" si="132"/>
        <v>668.58100000000002</v>
      </c>
      <c r="AG103" s="104">
        <f t="shared" si="133"/>
        <v>616.50099999999998</v>
      </c>
    </row>
    <row r="104" spans="1:33" ht="12.75" customHeight="1" x14ac:dyDescent="0.25">
      <c r="A104" s="60">
        <v>19</v>
      </c>
      <c r="B104" s="108">
        <v>127146</v>
      </c>
      <c r="C104" s="109">
        <v>122925</v>
      </c>
      <c r="D104" s="109">
        <v>119499</v>
      </c>
      <c r="E104" s="109">
        <v>115849</v>
      </c>
      <c r="F104" s="109">
        <v>117013</v>
      </c>
      <c r="G104" s="109">
        <v>119067</v>
      </c>
      <c r="H104" s="109">
        <v>122154</v>
      </c>
      <c r="I104" s="109">
        <v>123139</v>
      </c>
      <c r="J104" s="109">
        <v>121106</v>
      </c>
      <c r="K104" s="109">
        <v>119808</v>
      </c>
      <c r="L104" s="109">
        <v>117526</v>
      </c>
      <c r="M104" s="109">
        <v>118448</v>
      </c>
      <c r="N104" s="109">
        <v>119200</v>
      </c>
      <c r="O104" s="109">
        <v>121126</v>
      </c>
      <c r="P104" s="109">
        <v>1684006</v>
      </c>
      <c r="S104" s="88"/>
      <c r="T104" s="104"/>
      <c r="U104" s="104"/>
      <c r="V104" s="104"/>
      <c r="W104" s="104"/>
      <c r="X104" s="104"/>
      <c r="Y104" s="104"/>
      <c r="Z104" s="104"/>
      <c r="AA104" s="104"/>
      <c r="AB104" s="104"/>
      <c r="AC104" s="104"/>
      <c r="AD104" s="104"/>
      <c r="AE104" s="104"/>
      <c r="AF104" s="104"/>
      <c r="AG104" s="104"/>
    </row>
    <row r="105" spans="1:33" ht="12.75" customHeight="1" x14ac:dyDescent="0.25">
      <c r="A105" s="60">
        <v>78</v>
      </c>
      <c r="B105" s="108">
        <v>463758</v>
      </c>
      <c r="C105" s="109">
        <v>478482</v>
      </c>
      <c r="D105" s="109">
        <v>509916</v>
      </c>
      <c r="E105" s="109">
        <v>561069</v>
      </c>
      <c r="F105" s="109">
        <v>606964</v>
      </c>
      <c r="G105" s="109">
        <v>649141</v>
      </c>
      <c r="H105" s="109">
        <v>808878</v>
      </c>
      <c r="I105" s="109">
        <v>754777</v>
      </c>
      <c r="J105" s="109">
        <v>618851</v>
      </c>
      <c r="K105" s="109">
        <v>738376</v>
      </c>
      <c r="L105" s="109">
        <v>752766</v>
      </c>
      <c r="M105" s="109">
        <v>694022</v>
      </c>
      <c r="N105" s="109">
        <v>668581</v>
      </c>
      <c r="O105" s="109">
        <v>616501</v>
      </c>
      <c r="P105" s="109">
        <v>8922082</v>
      </c>
      <c r="S105" s="88" t="s">
        <v>31</v>
      </c>
      <c r="T105" s="104">
        <f t="shared" ref="T105" si="134">B107/1000</f>
        <v>6988.7820000000002</v>
      </c>
      <c r="U105" s="104">
        <f t="shared" ref="U105" si="135">C107/1000</f>
        <v>6881.3530000000001</v>
      </c>
      <c r="V105" s="104">
        <f t="shared" ref="V105" si="136">D107/1000</f>
        <v>6865.7529999999997</v>
      </c>
      <c r="W105" s="104">
        <f t="shared" ref="W105" si="137">E107/1000</f>
        <v>6921.5029999999997</v>
      </c>
      <c r="X105" s="104">
        <f t="shared" ref="X105" si="138">F107/1000</f>
        <v>7039.1059999999998</v>
      </c>
      <c r="Y105" s="104">
        <f t="shared" ref="Y105" si="139">G107/1000</f>
        <v>7214.2020000000002</v>
      </c>
      <c r="Z105" s="104">
        <f t="shared" ref="Z105" si="140">H107/1000</f>
        <v>7620.6769999999997</v>
      </c>
      <c r="AA105" s="104">
        <f t="shared" ref="AA105" si="141">I107/1000</f>
        <v>7712.3940000000002</v>
      </c>
      <c r="AB105" s="104">
        <f t="shared" ref="AB105" si="142">J107/1000</f>
        <v>7619.5439999999999</v>
      </c>
      <c r="AC105" s="104">
        <f t="shared" ref="AC105" si="143">K107/1000</f>
        <v>7882.8209999999999</v>
      </c>
      <c r="AD105" s="104">
        <f t="shared" ref="AD105" si="144">L107/1000</f>
        <v>8075.0590000000002</v>
      </c>
      <c r="AE105" s="104">
        <f t="shared" ref="AE105" si="145">M107/1000</f>
        <v>8144.3879999999999</v>
      </c>
      <c r="AF105" s="104">
        <f t="shared" ref="AF105" si="146">N107/1000</f>
        <v>8188.7330000000002</v>
      </c>
      <c r="AG105" s="104">
        <f>O107/1000</f>
        <v>8197.42</v>
      </c>
    </row>
    <row r="106" spans="1:33" ht="12.75" customHeight="1" x14ac:dyDescent="0.25">
      <c r="A106" s="60"/>
      <c r="B106" s="108"/>
      <c r="C106" s="109"/>
      <c r="D106" s="109"/>
      <c r="E106" s="109"/>
      <c r="F106" s="109"/>
      <c r="G106" s="109"/>
      <c r="H106" s="109"/>
      <c r="I106" s="109"/>
      <c r="J106" s="109"/>
      <c r="K106" s="109"/>
      <c r="L106" s="109"/>
      <c r="M106" s="109"/>
      <c r="N106" s="109"/>
      <c r="O106" s="109"/>
      <c r="P106" s="109"/>
      <c r="T106" s="14" t="b">
        <f>SUM(T86:T103)=T105</f>
        <v>1</v>
      </c>
      <c r="U106" s="14" t="b">
        <f t="shared" ref="U106" si="147">SUM(U86:U103)=U105</f>
        <v>1</v>
      </c>
      <c r="V106" s="14" t="b">
        <f t="shared" ref="V106" si="148">SUM(V86:V103)=V105</f>
        <v>1</v>
      </c>
      <c r="W106" s="14" t="b">
        <f t="shared" ref="W106" si="149">SUM(W86:W103)=W105</f>
        <v>1</v>
      </c>
      <c r="X106" s="14" t="b">
        <f t="shared" ref="X106" si="150">SUM(X86:X103)=X105</f>
        <v>1</v>
      </c>
      <c r="Y106" s="14" t="b">
        <f t="shared" ref="Y106" si="151">SUM(Y86:Y103)=Y105</f>
        <v>1</v>
      </c>
      <c r="Z106" s="14" t="b">
        <f t="shared" ref="Z106" si="152">SUM(Z86:Z103)=Z105</f>
        <v>1</v>
      </c>
      <c r="AA106" s="14" t="b">
        <f t="shared" ref="AA106" si="153">SUM(AA86:AA103)=AA105</f>
        <v>1</v>
      </c>
      <c r="AB106" s="14" t="b">
        <f t="shared" ref="AB106" si="154">SUM(AB86:AB103)=AB105</f>
        <v>1</v>
      </c>
      <c r="AC106" s="14" t="b">
        <f t="shared" ref="AC106" si="155">SUM(AC86:AC103)=AC105</f>
        <v>1</v>
      </c>
      <c r="AD106" s="14" t="b">
        <f t="shared" ref="AD106" si="156">SUM(AD86:AD103)=AD105</f>
        <v>1</v>
      </c>
      <c r="AE106" s="14" t="b">
        <f t="shared" ref="AE106" si="157">SUM(AE86:AE103)=AE105</f>
        <v>1</v>
      </c>
      <c r="AF106" s="14" t="b">
        <f t="shared" ref="AF106" si="158">SUM(AF86:AF103)=AF105</f>
        <v>1</v>
      </c>
      <c r="AG106" s="14" t="b">
        <f t="shared" ref="AG106" si="159">SUM(AG86:AG103)=AG105</f>
        <v>1</v>
      </c>
    </row>
    <row r="107" spans="1:33" ht="12.75" customHeight="1" x14ac:dyDescent="0.25">
      <c r="A107" s="60" t="s">
        <v>2</v>
      </c>
      <c r="B107" s="108">
        <v>6988782</v>
      </c>
      <c r="C107" s="108">
        <v>6881353</v>
      </c>
      <c r="D107" s="108">
        <v>6865753</v>
      </c>
      <c r="E107" s="108">
        <v>6921503</v>
      </c>
      <c r="F107" s="108">
        <v>7039106</v>
      </c>
      <c r="G107" s="108">
        <v>7214202</v>
      </c>
      <c r="H107" s="108">
        <v>7620677</v>
      </c>
      <c r="I107" s="108">
        <v>7712394</v>
      </c>
      <c r="J107" s="108">
        <v>7619544</v>
      </c>
      <c r="K107" s="108">
        <v>7882821</v>
      </c>
      <c r="L107" s="108">
        <v>8075059</v>
      </c>
      <c r="M107" s="108">
        <v>8144388</v>
      </c>
      <c r="N107" s="108">
        <v>8188733</v>
      </c>
      <c r="O107" s="109">
        <v>8197420</v>
      </c>
      <c r="P107" s="109">
        <v>105351735</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B54A-F218-484E-BF45-F9AB45425C9C}">
  <dimension ref="A1:K132"/>
  <sheetViews>
    <sheetView zoomScale="82" zoomScaleNormal="55" workbookViewId="0">
      <selection activeCell="Q90" sqref="Q90"/>
    </sheetView>
  </sheetViews>
  <sheetFormatPr defaultColWidth="11.54296875" defaultRowHeight="12.75" customHeight="1" x14ac:dyDescent="0.25"/>
  <cols>
    <col min="1" max="16384" width="11.54296875" style="1"/>
  </cols>
  <sheetData>
    <row r="1" spans="1:11" ht="12.75" customHeight="1" x14ac:dyDescent="0.25">
      <c r="A1" s="74" t="s">
        <v>237</v>
      </c>
    </row>
    <row r="2" spans="1:11" ht="12.5" x14ac:dyDescent="0.25"/>
    <row r="3" spans="1:11" ht="13" x14ac:dyDescent="0.3">
      <c r="A3" s="17" t="s">
        <v>202</v>
      </c>
    </row>
    <row r="4" spans="1:11" ht="13" x14ac:dyDescent="0.3">
      <c r="B4" s="5"/>
      <c r="C4" s="4" t="s">
        <v>199</v>
      </c>
      <c r="D4" s="4" t="s">
        <v>200</v>
      </c>
      <c r="E4" s="4" t="s">
        <v>236</v>
      </c>
    </row>
    <row r="5" spans="1:11" ht="12.5" x14ac:dyDescent="0.25">
      <c r="B5" s="29" t="s">
        <v>111</v>
      </c>
      <c r="C5" s="63">
        <f>('T_B.3.1'!V8-'T_B.3.1'!U8)/1000</f>
        <v>13.717000000000001</v>
      </c>
      <c r="D5" s="63">
        <f>(Tabel_1!V6-Tabel_1!U6)/1000</f>
        <v>8.7530000000000001</v>
      </c>
      <c r="E5" s="8">
        <f>D5/C5</f>
        <v>0.63811329007800532</v>
      </c>
      <c r="K5" s="35"/>
    </row>
    <row r="6" spans="1:11" ht="12.5" x14ac:dyDescent="0.25">
      <c r="B6" s="29" t="s">
        <v>180</v>
      </c>
      <c r="C6" s="63">
        <f>('T_B.3.1'!V9-'T_B.3.1'!U9)/1000</f>
        <v>87.111999999999995</v>
      </c>
      <c r="D6" s="63">
        <f>(Tabel_1!V7-Tabel_1!U7)/1000</f>
        <v>59.973999999999997</v>
      </c>
      <c r="E6" s="8">
        <f t="shared" ref="E6:E24" si="0">D6/C6</f>
        <v>0.68847001561208554</v>
      </c>
      <c r="K6" s="35"/>
    </row>
    <row r="7" spans="1:11" ht="12.5" x14ac:dyDescent="0.25">
      <c r="B7" s="29" t="s">
        <v>181</v>
      </c>
      <c r="C7" s="63">
        <f>('T_B.3.1'!V10-'T_B.3.1'!U10)/1000</f>
        <v>12.148999999999999</v>
      </c>
      <c r="D7" s="63">
        <f>(Tabel_1!V8-Tabel_1!U8)/1000</f>
        <v>10.815</v>
      </c>
      <c r="E7" s="8">
        <f t="shared" si="0"/>
        <v>0.89019672401020666</v>
      </c>
      <c r="K7" s="35"/>
    </row>
    <row r="8" spans="1:11" ht="12.5" x14ac:dyDescent="0.25">
      <c r="B8" s="29" t="s">
        <v>114</v>
      </c>
      <c r="C8" s="63">
        <f>('T_B.3.1'!V11-'T_B.3.1'!U11)/1000</f>
        <v>52.917000000000002</v>
      </c>
      <c r="D8" s="63">
        <f>(Tabel_1!V9-Tabel_1!U9)/1000</f>
        <v>32.191000000000003</v>
      </c>
      <c r="E8" s="8">
        <f t="shared" si="0"/>
        <v>0.60833002626755106</v>
      </c>
      <c r="K8" s="35"/>
    </row>
    <row r="9" spans="1:11" ht="12.5" x14ac:dyDescent="0.25">
      <c r="B9" s="29" t="s">
        <v>115</v>
      </c>
      <c r="C9" s="63">
        <f>('T_B.3.1'!V12-'T_B.3.1'!U12)/1000</f>
        <v>200.29</v>
      </c>
      <c r="D9" s="63">
        <f>(Tabel_1!V10-Tabel_1!U10)/1000</f>
        <v>102.2</v>
      </c>
      <c r="E9" s="8">
        <f t="shared" si="0"/>
        <v>0.51026012282190825</v>
      </c>
      <c r="K9" s="35"/>
    </row>
    <row r="10" spans="1:11" ht="12.5" x14ac:dyDescent="0.25">
      <c r="B10" s="29" t="s">
        <v>116</v>
      </c>
      <c r="C10" s="63">
        <f>('T_B.3.1'!V13-'T_B.3.1'!U13)/1000</f>
        <v>57.061999999999998</v>
      </c>
      <c r="D10" s="63">
        <f>(Tabel_1!V11-Tabel_1!U11)/1000</f>
        <v>37.268000000000001</v>
      </c>
      <c r="E10" s="8">
        <f t="shared" si="0"/>
        <v>0.65311415653149207</v>
      </c>
      <c r="K10" s="35"/>
    </row>
    <row r="11" spans="1:11" ht="12.5" x14ac:dyDescent="0.25">
      <c r="B11" s="29" t="s">
        <v>117</v>
      </c>
      <c r="C11" s="63">
        <f>('T_B.3.1'!V14-'T_B.3.1'!U14)/1000</f>
        <v>111.282</v>
      </c>
      <c r="D11" s="63">
        <f>(Tabel_1!V12-Tabel_1!U12)/1000</f>
        <v>55.661000000000001</v>
      </c>
      <c r="E11" s="8">
        <f t="shared" si="0"/>
        <v>0.50017972358512608</v>
      </c>
      <c r="K11" s="35"/>
    </row>
    <row r="12" spans="1:11" ht="12.5" x14ac:dyDescent="0.25">
      <c r="B12" s="29" t="s">
        <v>25</v>
      </c>
      <c r="C12" s="63">
        <f>('T_B.3.1'!V15-'T_B.3.1'!U15)/1000</f>
        <v>43.301000000000002</v>
      </c>
      <c r="D12" s="63">
        <f>(Tabel_1!V13-Tabel_1!U13)/1000</f>
        <v>25.95</v>
      </c>
      <c r="E12" s="8">
        <f t="shared" si="0"/>
        <v>0.59929331886099624</v>
      </c>
      <c r="K12" s="35"/>
    </row>
    <row r="13" spans="1:11" ht="12.5" x14ac:dyDescent="0.25">
      <c r="B13" s="29" t="s">
        <v>118</v>
      </c>
      <c r="C13" s="63">
        <f>('T_B.3.1'!V16-'T_B.3.1'!U16)/1000</f>
        <v>42.058</v>
      </c>
      <c r="D13" s="63">
        <f>(Tabel_1!V14-Tabel_1!U14)/1000</f>
        <v>16.795000000000002</v>
      </c>
      <c r="E13" s="8">
        <f t="shared" si="0"/>
        <v>0.39932949736078754</v>
      </c>
      <c r="K13" s="35"/>
    </row>
    <row r="14" spans="1:11" ht="12.5" x14ac:dyDescent="0.25">
      <c r="B14" s="29" t="s">
        <v>119</v>
      </c>
      <c r="C14" s="63">
        <f>('T_B.3.1'!V17-'T_B.3.1'!U17)/1000</f>
        <v>11.09</v>
      </c>
      <c r="D14" s="63">
        <f>(Tabel_1!V15-Tabel_1!U15)/1000</f>
        <v>8.8019999999999996</v>
      </c>
      <c r="E14" s="8">
        <f t="shared" si="0"/>
        <v>0.79368800721370603</v>
      </c>
      <c r="K14" s="35"/>
    </row>
    <row r="15" spans="1:11" ht="12.5" x14ac:dyDescent="0.25">
      <c r="B15" s="29" t="s">
        <v>120</v>
      </c>
      <c r="C15" s="63">
        <f>('T_B.3.1'!V18-'T_B.3.1'!U18)/1000</f>
        <v>91.421000000000006</v>
      </c>
      <c r="D15" s="63">
        <f>(Tabel_1!V16-Tabel_1!U16)/1000</f>
        <v>59.223999999999997</v>
      </c>
      <c r="E15" s="8">
        <f t="shared" si="0"/>
        <v>0.64781614727469605</v>
      </c>
      <c r="K15" s="35"/>
    </row>
    <row r="16" spans="1:11" ht="12.5" x14ac:dyDescent="0.25">
      <c r="B16" s="29" t="s">
        <v>121</v>
      </c>
      <c r="C16" s="63">
        <f>('T_B.3.1'!V19-'T_B.3.1'!U19)/1000</f>
        <v>49.191000000000003</v>
      </c>
      <c r="D16" s="63">
        <f>(Tabel_1!V17-Tabel_1!U17)/1000</f>
        <v>33.838000000000001</v>
      </c>
      <c r="E16" s="8">
        <f t="shared" si="0"/>
        <v>0.68789006119005502</v>
      </c>
      <c r="K16" s="35"/>
    </row>
    <row r="17" spans="1:11" ht="12.5" x14ac:dyDescent="0.25">
      <c r="B17" s="29" t="s">
        <v>122</v>
      </c>
      <c r="C17" s="63">
        <f>('T_B.3.1'!V20-'T_B.3.1'!U20)/1000</f>
        <v>58.457999999999998</v>
      </c>
      <c r="D17" s="63">
        <f>(Tabel_1!V18-Tabel_1!U18)/1000</f>
        <v>45.048999999999999</v>
      </c>
      <c r="E17" s="8">
        <f t="shared" si="0"/>
        <v>0.77062164288891166</v>
      </c>
      <c r="K17" s="35"/>
    </row>
    <row r="18" spans="1:11" ht="12.5" x14ac:dyDescent="0.25">
      <c r="B18" s="29" t="s">
        <v>123</v>
      </c>
      <c r="C18" s="63">
        <f>('T_B.3.1'!V21-'T_B.3.1'!U21)/1000</f>
        <v>53.831000000000003</v>
      </c>
      <c r="D18" s="63">
        <f>(Tabel_1!V19-Tabel_1!U19)/1000</f>
        <v>28.120999999999999</v>
      </c>
      <c r="E18" s="8">
        <f t="shared" si="0"/>
        <v>0.52239415949917334</v>
      </c>
      <c r="K18" s="35"/>
    </row>
    <row r="19" spans="1:11" ht="12.5" x14ac:dyDescent="0.25">
      <c r="B19" s="29" t="s">
        <v>124</v>
      </c>
      <c r="C19" s="63">
        <f>('T_B.3.1'!V22-'T_B.3.1'!U22)/1000</f>
        <v>204.54499999999999</v>
      </c>
      <c r="D19" s="63">
        <f>(Tabel_1!V20-Tabel_1!U20)/1000</f>
        <v>86.498000000000005</v>
      </c>
      <c r="E19" s="8">
        <f t="shared" si="0"/>
        <v>0.42288005084455749</v>
      </c>
      <c r="K19" s="35"/>
    </row>
    <row r="20" spans="1:11" ht="12.5" x14ac:dyDescent="0.25">
      <c r="B20" s="29" t="s">
        <v>125</v>
      </c>
      <c r="C20" s="63">
        <f>('T_B.3.1'!V23-'T_B.3.1'!U23)/1000</f>
        <v>24.015000000000001</v>
      </c>
      <c r="D20" s="63">
        <f>(Tabel_1!V21-Tabel_1!U21)/1000</f>
        <v>19.154</v>
      </c>
      <c r="E20" s="8">
        <f t="shared" si="0"/>
        <v>0.79758484280657915</v>
      </c>
      <c r="K20" s="35"/>
    </row>
    <row r="21" spans="1:11" ht="12.5" x14ac:dyDescent="0.25">
      <c r="B21" s="29" t="s">
        <v>126</v>
      </c>
      <c r="C21" s="63">
        <f>('T_B.3.1'!V24-'T_B.3.1'!U24)/1000</f>
        <v>18.198</v>
      </c>
      <c r="D21" s="63">
        <f>(Tabel_1!V22-Tabel_1!U22)/1000</f>
        <v>14.222</v>
      </c>
      <c r="E21" s="8">
        <f t="shared" si="0"/>
        <v>0.78151445213759752</v>
      </c>
      <c r="K21" s="35"/>
    </row>
    <row r="22" spans="1:11" ht="12.5" x14ac:dyDescent="0.25">
      <c r="B22" s="29" t="s">
        <v>159</v>
      </c>
      <c r="C22" s="63">
        <f>('T_B.3.1'!V25-'T_B.3.1'!U25)/1000</f>
        <v>185.83799999999999</v>
      </c>
      <c r="D22" s="63">
        <f>(Tabel_1!V23-Tabel_1!U23)/1000</f>
        <v>99.79</v>
      </c>
      <c r="E22" s="8">
        <f t="shared" si="0"/>
        <v>0.53697306255986399</v>
      </c>
      <c r="K22" s="35"/>
    </row>
    <row r="23" spans="1:11" ht="12.5" x14ac:dyDescent="0.25">
      <c r="B23" s="29"/>
      <c r="C23" s="63"/>
      <c r="D23" s="63"/>
      <c r="E23" s="8"/>
      <c r="K23" s="35"/>
    </row>
    <row r="24" spans="1:11" ht="12.5" x14ac:dyDescent="0.25">
      <c r="B24" s="29" t="s">
        <v>31</v>
      </c>
      <c r="C24" s="63">
        <f>('T_B.3.1'!V27-'T_B.3.1'!U27)/1000</f>
        <v>1316.4749999999999</v>
      </c>
      <c r="D24" s="63">
        <f>(Tabel_1!V25-Tabel_1!U25)/1000</f>
        <v>744.30499999999995</v>
      </c>
      <c r="E24" s="8">
        <f t="shared" si="0"/>
        <v>0.56537723845876298</v>
      </c>
      <c r="K24" s="69"/>
    </row>
    <row r="25" spans="1:11" ht="12.5" x14ac:dyDescent="0.25">
      <c r="B25" s="5"/>
      <c r="C25" s="39"/>
      <c r="D25" s="39"/>
      <c r="E25" s="5"/>
      <c r="K25" s="35"/>
    </row>
    <row r="26" spans="1:11" ht="12.5" x14ac:dyDescent="0.25">
      <c r="B26" s="5"/>
      <c r="C26" s="8"/>
      <c r="D26" s="8"/>
      <c r="E26" s="5"/>
    </row>
    <row r="27" spans="1:11" ht="12.5" x14ac:dyDescent="0.25"/>
    <row r="28" spans="1:11" ht="12.75" customHeight="1" x14ac:dyDescent="0.25">
      <c r="A28" s="74" t="s">
        <v>237</v>
      </c>
    </row>
    <row r="29" spans="1:11" ht="12.5" x14ac:dyDescent="0.25"/>
    <row r="30" spans="1:11" ht="13" x14ac:dyDescent="0.3">
      <c r="A30" s="17" t="s">
        <v>216</v>
      </c>
    </row>
    <row r="31" spans="1:11" ht="13" x14ac:dyDescent="0.3">
      <c r="B31" s="5"/>
      <c r="C31" s="4" t="s">
        <v>199</v>
      </c>
      <c r="D31" s="4" t="s">
        <v>200</v>
      </c>
      <c r="E31" s="4" t="s">
        <v>236</v>
      </c>
    </row>
    <row r="32" spans="1:11" ht="12.5" x14ac:dyDescent="0.25">
      <c r="B32" s="29" t="s">
        <v>111</v>
      </c>
      <c r="C32" s="63">
        <f>Figuur_5!AG32</f>
        <v>14.984999999999999</v>
      </c>
      <c r="D32" s="63">
        <f>(Tabel_2!V6-Tabel_2!U6)/1000</f>
        <v>10.021000000000001</v>
      </c>
      <c r="E32" s="8">
        <f>D32/C32</f>
        <v>0.6687354020687355</v>
      </c>
    </row>
    <row r="33" spans="2:5" ht="12.5" x14ac:dyDescent="0.25">
      <c r="B33" s="29" t="s">
        <v>180</v>
      </c>
      <c r="C33" s="63">
        <f>Figuur_5!AG33</f>
        <v>73.087999999999994</v>
      </c>
      <c r="D33" s="63">
        <f>(Tabel_2!V7-Tabel_2!U7)/1000</f>
        <v>45.95</v>
      </c>
      <c r="E33" s="8">
        <f t="shared" ref="E33:E51" si="1">D33/C33</f>
        <v>0.62869417688266205</v>
      </c>
    </row>
    <row r="34" spans="2:5" ht="12.5" x14ac:dyDescent="0.25">
      <c r="B34" s="29" t="s">
        <v>181</v>
      </c>
      <c r="C34" s="63">
        <f>Figuur_5!AG34</f>
        <v>7.5250000000000004</v>
      </c>
      <c r="D34" s="63">
        <f>(Tabel_2!V8-Tabel_2!U8)/1000</f>
        <v>6.1909999999999998</v>
      </c>
      <c r="E34" s="8">
        <f t="shared" si="1"/>
        <v>0.82272425249169434</v>
      </c>
    </row>
    <row r="35" spans="2:5" ht="12.5" x14ac:dyDescent="0.25">
      <c r="B35" s="29" t="s">
        <v>114</v>
      </c>
      <c r="C35" s="63">
        <f>Figuur_5!AG35</f>
        <v>40.9</v>
      </c>
      <c r="D35" s="63">
        <f>(Tabel_2!V9-Tabel_2!U9)/1000</f>
        <v>20.173999999999999</v>
      </c>
      <c r="E35" s="8">
        <f t="shared" si="1"/>
        <v>0.49325183374083131</v>
      </c>
    </row>
    <row r="36" spans="2:5" ht="12.5" x14ac:dyDescent="0.25">
      <c r="B36" s="29" t="s">
        <v>115</v>
      </c>
      <c r="C36" s="63">
        <f>Figuur_5!AG36</f>
        <v>256.899</v>
      </c>
      <c r="D36" s="63">
        <f>(Tabel_2!V10-Tabel_2!U10)/1000</f>
        <v>158.809</v>
      </c>
      <c r="E36" s="8">
        <f t="shared" si="1"/>
        <v>0.61817679321445396</v>
      </c>
    </row>
    <row r="37" spans="2:5" ht="12.5" x14ac:dyDescent="0.25">
      <c r="B37" s="29" t="s">
        <v>116</v>
      </c>
      <c r="C37" s="63">
        <f>Figuur_5!AG37</f>
        <v>47.866</v>
      </c>
      <c r="D37" s="63">
        <f>(Tabel_2!V11-Tabel_2!U11)/1000</f>
        <v>28.071999999999999</v>
      </c>
      <c r="E37" s="8">
        <f t="shared" si="1"/>
        <v>0.58647056365687544</v>
      </c>
    </row>
    <row r="38" spans="2:5" ht="12.5" x14ac:dyDescent="0.25">
      <c r="B38" s="29" t="s">
        <v>117</v>
      </c>
      <c r="C38" s="63">
        <f>Figuur_5!AG38</f>
        <v>139.55600000000001</v>
      </c>
      <c r="D38" s="63">
        <f>(Tabel_2!V12-Tabel_2!U12)/1000</f>
        <v>83.935000000000002</v>
      </c>
      <c r="E38" s="8">
        <f t="shared" si="1"/>
        <v>0.60144314827022838</v>
      </c>
    </row>
    <row r="39" spans="2:5" ht="12.5" x14ac:dyDescent="0.25">
      <c r="B39" s="29" t="s">
        <v>25</v>
      </c>
      <c r="C39" s="63">
        <f>Figuur_5!AG39</f>
        <v>46.011000000000003</v>
      </c>
      <c r="D39" s="63">
        <f>(Tabel_2!V13-Tabel_2!U13)/1000</f>
        <v>28.66</v>
      </c>
      <c r="E39" s="8">
        <f t="shared" si="1"/>
        <v>0.62289452522222943</v>
      </c>
    </row>
    <row r="40" spans="2:5" ht="12.5" x14ac:dyDescent="0.25">
      <c r="B40" s="29" t="s">
        <v>118</v>
      </c>
      <c r="C40" s="63">
        <f>Figuur_5!AG40</f>
        <v>35.776000000000003</v>
      </c>
      <c r="D40" s="63">
        <f>(Tabel_2!V14-Tabel_2!U14)/1000</f>
        <v>10.513</v>
      </c>
      <c r="E40" s="8">
        <f t="shared" si="1"/>
        <v>0.29385621645796062</v>
      </c>
    </row>
    <row r="41" spans="2:5" ht="12.5" x14ac:dyDescent="0.25">
      <c r="B41" s="29" t="s">
        <v>119</v>
      </c>
      <c r="C41" s="63">
        <f>Figuur_5!AG41</f>
        <v>7.8620000000000001</v>
      </c>
      <c r="D41" s="63">
        <f>(Tabel_2!V15-Tabel_2!U15)/1000</f>
        <v>5.5739999999999998</v>
      </c>
      <c r="E41" s="8">
        <f t="shared" si="1"/>
        <v>0.70897990333248539</v>
      </c>
    </row>
    <row r="42" spans="2:5" ht="12.5" x14ac:dyDescent="0.25">
      <c r="B42" s="29" t="s">
        <v>120</v>
      </c>
      <c r="C42" s="63">
        <f>Figuur_5!AG42</f>
        <v>85.582999999999998</v>
      </c>
      <c r="D42" s="63">
        <f>(Tabel_2!V16-Tabel_2!U16)/1000</f>
        <v>53.386000000000003</v>
      </c>
      <c r="E42" s="8">
        <f t="shared" si="1"/>
        <v>0.62379210824579656</v>
      </c>
    </row>
    <row r="43" spans="2:5" ht="12.5" x14ac:dyDescent="0.25">
      <c r="B43" s="29" t="s">
        <v>121</v>
      </c>
      <c r="C43" s="63">
        <f>Figuur_5!AG43</f>
        <v>47.66</v>
      </c>
      <c r="D43" s="63">
        <f>(Tabel_2!V17-Tabel_2!U17)/1000</f>
        <v>32.307000000000002</v>
      </c>
      <c r="E43" s="8">
        <f t="shared" si="1"/>
        <v>0.67786403692824182</v>
      </c>
    </row>
    <row r="44" spans="2:5" ht="12.5" x14ac:dyDescent="0.25">
      <c r="B44" s="29" t="s">
        <v>122</v>
      </c>
      <c r="C44" s="63">
        <f>Figuur_5!AG44</f>
        <v>25.061</v>
      </c>
      <c r="D44" s="63">
        <f>(Tabel_2!V18-Tabel_2!U18)/1000</f>
        <v>11.651999999999999</v>
      </c>
      <c r="E44" s="8">
        <f t="shared" si="1"/>
        <v>0.46494553289972462</v>
      </c>
    </row>
    <row r="45" spans="2:5" ht="12.5" x14ac:dyDescent="0.25">
      <c r="B45" s="29" t="s">
        <v>123</v>
      </c>
      <c r="C45" s="63">
        <f>Figuur_5!AG45</f>
        <v>48.04</v>
      </c>
      <c r="D45" s="63">
        <f>(Tabel_2!V19-Tabel_2!U19)/1000</f>
        <v>22.33</v>
      </c>
      <c r="E45" s="8">
        <f t="shared" si="1"/>
        <v>0.46482098251457116</v>
      </c>
    </row>
    <row r="46" spans="2:5" ht="12.5" x14ac:dyDescent="0.25">
      <c r="B46" s="29" t="s">
        <v>124</v>
      </c>
      <c r="C46" s="63">
        <f>Figuur_5!AG46</f>
        <v>164.83099999999999</v>
      </c>
      <c r="D46" s="63">
        <f>(Tabel_2!V20-Tabel_2!U20)/1000</f>
        <v>46.783999999999999</v>
      </c>
      <c r="E46" s="8">
        <f t="shared" si="1"/>
        <v>0.28383010477398063</v>
      </c>
    </row>
    <row r="47" spans="2:5" ht="12.5" x14ac:dyDescent="0.25">
      <c r="B47" s="29" t="s">
        <v>125</v>
      </c>
      <c r="C47" s="63">
        <f>Figuur_5!AG47</f>
        <v>24.949000000000002</v>
      </c>
      <c r="D47" s="63">
        <f>(Tabel_2!V21-Tabel_2!U21)/1000</f>
        <v>20.088000000000001</v>
      </c>
      <c r="E47" s="8">
        <f t="shared" si="1"/>
        <v>0.80516253156439133</v>
      </c>
    </row>
    <row r="48" spans="2:5" ht="12.5" x14ac:dyDescent="0.25">
      <c r="B48" s="29" t="s">
        <v>126</v>
      </c>
      <c r="C48" s="63">
        <f>Figuur_5!AG48</f>
        <v>15.861000000000001</v>
      </c>
      <c r="D48" s="63">
        <f>(Tabel_2!V22-Tabel_2!U22)/1000</f>
        <v>11.885</v>
      </c>
      <c r="E48" s="8">
        <f t="shared" si="1"/>
        <v>0.74932223693335853</v>
      </c>
    </row>
    <row r="49" spans="2:5" ht="12.5" x14ac:dyDescent="0.25">
      <c r="B49" s="29" t="s">
        <v>159</v>
      </c>
      <c r="C49" s="63">
        <f>Figuur_5!AG49</f>
        <v>234.02199999999999</v>
      </c>
      <c r="D49" s="63">
        <f>(Tabel_2!V23-Tabel_2!U23)/1000</f>
        <v>147.97399999999999</v>
      </c>
      <c r="E49" s="8">
        <f t="shared" si="1"/>
        <v>0.63230807359991792</v>
      </c>
    </row>
    <row r="50" spans="2:5" ht="12.5" x14ac:dyDescent="0.25">
      <c r="B50" s="29"/>
      <c r="C50" s="63"/>
      <c r="D50" s="63"/>
      <c r="E50" s="8"/>
    </row>
    <row r="51" spans="2:5" ht="12.5" x14ac:dyDescent="0.25">
      <c r="B51" s="29" t="s">
        <v>31</v>
      </c>
      <c r="C51" s="63">
        <f>Figuur_5!AG51</f>
        <v>1316.4749999999999</v>
      </c>
      <c r="D51" s="63">
        <f>(Tabel_2!V25-Tabel_2!U25)/1000</f>
        <v>744.30499999999995</v>
      </c>
      <c r="E51" s="8">
        <f t="shared" si="1"/>
        <v>0.56537723845876298</v>
      </c>
    </row>
    <row r="52" spans="2:5" ht="12.5" x14ac:dyDescent="0.25">
      <c r="B52" s="5"/>
      <c r="C52" s="39"/>
      <c r="D52" s="39"/>
      <c r="E52" s="5"/>
    </row>
    <row r="53" spans="2:5" ht="12.5" x14ac:dyDescent="0.25">
      <c r="B53" s="5"/>
      <c r="C53" s="8"/>
      <c r="D53" s="8"/>
      <c r="E53" s="5"/>
    </row>
    <row r="54" spans="2:5" ht="12.5" x14ac:dyDescent="0.25"/>
    <row r="57" spans="2:5" ht="12.5" x14ac:dyDescent="0.25">
      <c r="B57" s="94" t="s">
        <v>222</v>
      </c>
      <c r="C57" s="94"/>
      <c r="D57" s="94"/>
      <c r="E57" s="94"/>
    </row>
    <row r="58" spans="2:5" ht="12.5" x14ac:dyDescent="0.25">
      <c r="B58" s="94"/>
      <c r="C58" s="94"/>
      <c r="D58" s="94"/>
      <c r="E58" s="94"/>
    </row>
    <row r="59" spans="2:5" ht="13" x14ac:dyDescent="0.3">
      <c r="B59" s="94"/>
      <c r="C59" s="94"/>
      <c r="D59" s="93" t="s">
        <v>209</v>
      </c>
      <c r="E59" s="93" t="s">
        <v>210</v>
      </c>
    </row>
    <row r="60" spans="2:5" ht="12.5" x14ac:dyDescent="0.25">
      <c r="B60" s="94"/>
      <c r="C60" s="88" t="s">
        <v>111</v>
      </c>
      <c r="D60" s="100">
        <f>E5</f>
        <v>0.63811329007800532</v>
      </c>
      <c r="E60" s="100">
        <f>E32</f>
        <v>0.6687354020687355</v>
      </c>
    </row>
    <row r="61" spans="2:5" ht="12.5" x14ac:dyDescent="0.25">
      <c r="B61" s="94"/>
      <c r="C61" s="88" t="s">
        <v>180</v>
      </c>
      <c r="D61" s="100">
        <f t="shared" ref="D61:D79" si="2">E6</f>
        <v>0.68847001561208554</v>
      </c>
      <c r="E61" s="100">
        <f t="shared" ref="E61:E79" si="3">E33</f>
        <v>0.62869417688266205</v>
      </c>
    </row>
    <row r="62" spans="2:5" ht="12.5" x14ac:dyDescent="0.25">
      <c r="B62" s="94"/>
      <c r="C62" s="88" t="s">
        <v>181</v>
      </c>
      <c r="D62" s="100">
        <f t="shared" si="2"/>
        <v>0.89019672401020666</v>
      </c>
      <c r="E62" s="100">
        <f t="shared" si="3"/>
        <v>0.82272425249169434</v>
      </c>
    </row>
    <row r="63" spans="2:5" ht="12.5" x14ac:dyDescent="0.25">
      <c r="B63" s="94"/>
      <c r="C63" s="88" t="s">
        <v>114</v>
      </c>
      <c r="D63" s="100">
        <f t="shared" si="2"/>
        <v>0.60833002626755106</v>
      </c>
      <c r="E63" s="100">
        <f t="shared" si="3"/>
        <v>0.49325183374083131</v>
      </c>
    </row>
    <row r="64" spans="2:5" ht="12.5" x14ac:dyDescent="0.25">
      <c r="B64" s="94"/>
      <c r="C64" s="88" t="s">
        <v>115</v>
      </c>
      <c r="D64" s="100">
        <f t="shared" si="2"/>
        <v>0.51026012282190825</v>
      </c>
      <c r="E64" s="100">
        <f t="shared" si="3"/>
        <v>0.61817679321445396</v>
      </c>
    </row>
    <row r="65" spans="2:5" ht="12.5" x14ac:dyDescent="0.25">
      <c r="B65" s="94"/>
      <c r="C65" s="88" t="s">
        <v>116</v>
      </c>
      <c r="D65" s="100">
        <f t="shared" si="2"/>
        <v>0.65311415653149207</v>
      </c>
      <c r="E65" s="100">
        <f t="shared" si="3"/>
        <v>0.58647056365687544</v>
      </c>
    </row>
    <row r="66" spans="2:5" ht="12.5" x14ac:dyDescent="0.25">
      <c r="B66" s="94"/>
      <c r="C66" s="88" t="s">
        <v>117</v>
      </c>
      <c r="D66" s="100">
        <f t="shared" si="2"/>
        <v>0.50017972358512608</v>
      </c>
      <c r="E66" s="100">
        <f t="shared" si="3"/>
        <v>0.60144314827022838</v>
      </c>
    </row>
    <row r="67" spans="2:5" ht="12.5" x14ac:dyDescent="0.25">
      <c r="B67" s="94"/>
      <c r="C67" s="88" t="s">
        <v>25</v>
      </c>
      <c r="D67" s="100">
        <f t="shared" si="2"/>
        <v>0.59929331886099624</v>
      </c>
      <c r="E67" s="100">
        <f t="shared" si="3"/>
        <v>0.62289452522222943</v>
      </c>
    </row>
    <row r="68" spans="2:5" ht="12.5" x14ac:dyDescent="0.25">
      <c r="B68" s="94"/>
      <c r="C68" s="88" t="s">
        <v>118</v>
      </c>
      <c r="D68" s="100">
        <f t="shared" si="2"/>
        <v>0.39932949736078754</v>
      </c>
      <c r="E68" s="100">
        <f t="shared" si="3"/>
        <v>0.29385621645796062</v>
      </c>
    </row>
    <row r="69" spans="2:5" ht="12.5" x14ac:dyDescent="0.25">
      <c r="B69" s="94"/>
      <c r="C69" s="88" t="s">
        <v>119</v>
      </c>
      <c r="D69" s="100">
        <f t="shared" si="2"/>
        <v>0.79368800721370603</v>
      </c>
      <c r="E69" s="100">
        <f t="shared" si="3"/>
        <v>0.70897990333248539</v>
      </c>
    </row>
    <row r="70" spans="2:5" ht="12.5" x14ac:dyDescent="0.25">
      <c r="B70" s="94"/>
      <c r="C70" s="88" t="s">
        <v>120</v>
      </c>
      <c r="D70" s="100">
        <f t="shared" si="2"/>
        <v>0.64781614727469605</v>
      </c>
      <c r="E70" s="100">
        <f t="shared" si="3"/>
        <v>0.62379210824579656</v>
      </c>
    </row>
    <row r="71" spans="2:5" ht="12.5" x14ac:dyDescent="0.25">
      <c r="B71" s="94"/>
      <c r="C71" s="88" t="s">
        <v>121</v>
      </c>
      <c r="D71" s="100">
        <f t="shared" si="2"/>
        <v>0.68789006119005502</v>
      </c>
      <c r="E71" s="100">
        <f t="shared" si="3"/>
        <v>0.67786403692824182</v>
      </c>
    </row>
    <row r="72" spans="2:5" ht="12.5" x14ac:dyDescent="0.25">
      <c r="B72" s="94"/>
      <c r="C72" s="88" t="s">
        <v>122</v>
      </c>
      <c r="D72" s="100">
        <f t="shared" si="2"/>
        <v>0.77062164288891166</v>
      </c>
      <c r="E72" s="100">
        <f t="shared" si="3"/>
        <v>0.46494553289972462</v>
      </c>
    </row>
    <row r="73" spans="2:5" ht="12.5" x14ac:dyDescent="0.25">
      <c r="B73" s="94"/>
      <c r="C73" s="88" t="s">
        <v>123</v>
      </c>
      <c r="D73" s="100">
        <f t="shared" si="2"/>
        <v>0.52239415949917334</v>
      </c>
      <c r="E73" s="100">
        <f t="shared" si="3"/>
        <v>0.46482098251457116</v>
      </c>
    </row>
    <row r="74" spans="2:5" ht="12.5" x14ac:dyDescent="0.25">
      <c r="B74" s="94"/>
      <c r="C74" s="88" t="s">
        <v>124</v>
      </c>
      <c r="D74" s="100">
        <f t="shared" si="2"/>
        <v>0.42288005084455749</v>
      </c>
      <c r="E74" s="100">
        <f t="shared" si="3"/>
        <v>0.28383010477398063</v>
      </c>
    </row>
    <row r="75" spans="2:5" ht="12.5" x14ac:dyDescent="0.25">
      <c r="B75" s="94"/>
      <c r="C75" s="88" t="s">
        <v>125</v>
      </c>
      <c r="D75" s="100">
        <f t="shared" si="2"/>
        <v>0.79758484280657915</v>
      </c>
      <c r="E75" s="100">
        <f t="shared" si="3"/>
        <v>0.80516253156439133</v>
      </c>
    </row>
    <row r="76" spans="2:5" ht="12.5" x14ac:dyDescent="0.25">
      <c r="B76" s="94"/>
      <c r="C76" s="88" t="s">
        <v>126</v>
      </c>
      <c r="D76" s="100">
        <f t="shared" si="2"/>
        <v>0.78151445213759752</v>
      </c>
      <c r="E76" s="100">
        <f t="shared" si="3"/>
        <v>0.74932223693335853</v>
      </c>
    </row>
    <row r="77" spans="2:5" ht="12.5" x14ac:dyDescent="0.25">
      <c r="B77" s="94"/>
      <c r="C77" s="88" t="s">
        <v>159</v>
      </c>
      <c r="D77" s="100">
        <f t="shared" si="2"/>
        <v>0.53697306255986399</v>
      </c>
      <c r="E77" s="100">
        <f t="shared" si="3"/>
        <v>0.63230807359991792</v>
      </c>
    </row>
    <row r="78" spans="2:5" ht="12.5" x14ac:dyDescent="0.25">
      <c r="B78" s="94"/>
      <c r="C78" s="88"/>
      <c r="D78" s="100"/>
      <c r="E78" s="100"/>
    </row>
    <row r="79" spans="2:5" ht="12.5" x14ac:dyDescent="0.25">
      <c r="B79" s="94"/>
      <c r="C79" s="88" t="s">
        <v>31</v>
      </c>
      <c r="D79" s="100">
        <f t="shared" si="2"/>
        <v>0.56537723845876298</v>
      </c>
      <c r="E79" s="100">
        <f t="shared" si="3"/>
        <v>0.56537723845876298</v>
      </c>
    </row>
    <row r="80" spans="2:5" ht="12.5" x14ac:dyDescent="0.25">
      <c r="B80" s="94"/>
      <c r="C80" s="94"/>
      <c r="D80" s="115"/>
      <c r="E80" s="115"/>
    </row>
    <row r="81" spans="2:5" ht="12.5" x14ac:dyDescent="0.25">
      <c r="B81" s="94"/>
      <c r="C81" s="94"/>
      <c r="D81" s="100"/>
      <c r="E81" s="100"/>
    </row>
    <row r="83" spans="2:5" ht="12.5" x14ac:dyDescent="0.25"/>
    <row r="84" spans="2:5" ht="12.5" x14ac:dyDescent="0.25"/>
    <row r="85" spans="2:5" ht="12.5" x14ac:dyDescent="0.25"/>
    <row r="86" spans="2:5" ht="12.5" x14ac:dyDescent="0.25"/>
    <row r="87" spans="2:5" ht="12.5" x14ac:dyDescent="0.25"/>
    <row r="88" spans="2:5" ht="12.5" x14ac:dyDescent="0.25"/>
    <row r="89" spans="2:5" ht="12.5" x14ac:dyDescent="0.25"/>
    <row r="90" spans="2:5" ht="12.5" x14ac:dyDescent="0.25"/>
    <row r="91" spans="2:5" ht="12.5" x14ac:dyDescent="0.25"/>
    <row r="92" spans="2:5" ht="12.5" x14ac:dyDescent="0.25"/>
    <row r="93" spans="2:5" ht="12.5" x14ac:dyDescent="0.25"/>
    <row r="94" spans="2:5" ht="12.5" x14ac:dyDescent="0.25"/>
    <row r="95" spans="2:5" ht="12.5" x14ac:dyDescent="0.25"/>
    <row r="96" spans="2:5" ht="12.5" x14ac:dyDescent="0.25"/>
    <row r="97" ht="12.5" x14ac:dyDescent="0.25"/>
    <row r="98" ht="12.5" x14ac:dyDescent="0.25"/>
    <row r="99" ht="12.5" x14ac:dyDescent="0.25"/>
    <row r="100" ht="12.5" x14ac:dyDescent="0.25"/>
    <row r="101" ht="12.5" x14ac:dyDescent="0.25"/>
    <row r="102" ht="12.5" x14ac:dyDescent="0.25"/>
    <row r="103" ht="12.5" x14ac:dyDescent="0.25"/>
    <row r="104" ht="12.5" x14ac:dyDescent="0.25"/>
    <row r="105" ht="12.5" x14ac:dyDescent="0.25"/>
    <row r="106" ht="12.5" x14ac:dyDescent="0.25"/>
    <row r="107" ht="12.5" x14ac:dyDescent="0.25"/>
    <row r="110" ht="12.5" x14ac:dyDescent="0.25"/>
    <row r="111" ht="12.5" x14ac:dyDescent="0.25"/>
    <row r="112" ht="12.5" x14ac:dyDescent="0.25"/>
    <row r="113" ht="12.5" x14ac:dyDescent="0.25"/>
    <row r="114" ht="12.5" x14ac:dyDescent="0.25"/>
    <row r="115" ht="12.5" x14ac:dyDescent="0.25"/>
    <row r="116" ht="12.5" x14ac:dyDescent="0.25"/>
    <row r="117" ht="12.5" x14ac:dyDescent="0.25"/>
    <row r="118" ht="12.5" x14ac:dyDescent="0.25"/>
    <row r="119" ht="12.5" x14ac:dyDescent="0.25"/>
    <row r="120" ht="12.5" x14ac:dyDescent="0.25"/>
    <row r="121" ht="12.5" x14ac:dyDescent="0.25"/>
    <row r="122" ht="12.5" x14ac:dyDescent="0.25"/>
    <row r="123" ht="12.5" x14ac:dyDescent="0.25"/>
    <row r="124" ht="12.5" x14ac:dyDescent="0.25"/>
    <row r="125" ht="12.5" x14ac:dyDescent="0.25"/>
    <row r="126" ht="12.5" x14ac:dyDescent="0.25"/>
    <row r="127" ht="12.5" x14ac:dyDescent="0.25"/>
    <row r="128" ht="12.5" x14ac:dyDescent="0.25"/>
    <row r="129" ht="12.5" x14ac:dyDescent="0.25"/>
    <row r="130" ht="12.5" x14ac:dyDescent="0.25"/>
    <row r="131" ht="12.5" x14ac:dyDescent="0.25"/>
    <row r="132" ht="12.5" x14ac:dyDescent="0.25"/>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EBE8-70AB-4596-9411-4B2F5FFBA315}">
  <dimension ref="A1:Q47"/>
  <sheetViews>
    <sheetView topLeftCell="A40" zoomScale="115" zoomScaleNormal="115" workbookViewId="0">
      <selection activeCell="J55" sqref="J55"/>
    </sheetView>
  </sheetViews>
  <sheetFormatPr defaultColWidth="11.54296875" defaultRowHeight="12.75" customHeight="1" x14ac:dyDescent="0.25"/>
  <cols>
    <col min="1" max="1" width="11.54296875" style="1"/>
    <col min="2" max="2" width="19.26953125" style="1" customWidth="1"/>
    <col min="3" max="16384" width="11.54296875" style="1"/>
  </cols>
  <sheetData>
    <row r="1" spans="1:17" ht="12.5" x14ac:dyDescent="0.25"/>
    <row r="2" spans="1:17" ht="13" x14ac:dyDescent="0.3">
      <c r="A2" s="9" t="s">
        <v>7</v>
      </c>
    </row>
    <row r="3" spans="1:17" ht="13" x14ac:dyDescent="0.3">
      <c r="A3" s="9"/>
    </row>
    <row r="4" spans="1:17" ht="12.5" x14ac:dyDescent="0.25">
      <c r="C4" s="1">
        <v>2021</v>
      </c>
      <c r="D4" s="1">
        <v>2022</v>
      </c>
      <c r="E4" s="1">
        <v>2023</v>
      </c>
      <c r="F4" s="1">
        <v>2024</v>
      </c>
      <c r="G4" s="1" t="s">
        <v>2</v>
      </c>
    </row>
    <row r="5" spans="1:17" ht="12.5" x14ac:dyDescent="0.25"/>
    <row r="6" spans="1:17" ht="12.5" x14ac:dyDescent="0.25">
      <c r="B6" s="1" t="s">
        <v>8</v>
      </c>
      <c r="C6" s="10">
        <v>22.459844199999999</v>
      </c>
      <c r="D6" s="10">
        <v>38.371184900000003</v>
      </c>
      <c r="E6" s="10">
        <v>33.968347299999998</v>
      </c>
      <c r="F6" s="10">
        <v>31.774460999999999</v>
      </c>
      <c r="G6" s="10">
        <v>126.57</v>
      </c>
      <c r="Q6" s="10"/>
    </row>
    <row r="7" spans="1:17" ht="12.5" x14ac:dyDescent="0.25">
      <c r="B7" s="1" t="s">
        <v>10</v>
      </c>
      <c r="C7" s="10">
        <v>1.8436972</v>
      </c>
      <c r="D7" s="10">
        <v>3.2173848999999999</v>
      </c>
      <c r="E7" s="10">
        <v>5.2204664999999997</v>
      </c>
      <c r="F7" s="10">
        <v>4.6808654000000001</v>
      </c>
      <c r="G7" s="10">
        <v>14.96</v>
      </c>
      <c r="Q7" s="10"/>
    </row>
    <row r="8" spans="1:17" ht="12.5" x14ac:dyDescent="0.25">
      <c r="B8" s="1" t="s">
        <v>11</v>
      </c>
      <c r="C8" s="10">
        <v>5.7889328999999998</v>
      </c>
      <c r="D8" s="10">
        <v>8.5603390000000008</v>
      </c>
      <c r="E8" s="10">
        <v>11.717395</v>
      </c>
      <c r="F8" s="10">
        <v>11.872035199999999</v>
      </c>
      <c r="G8" s="10">
        <v>37.94</v>
      </c>
      <c r="Q8" s="10"/>
    </row>
    <row r="9" spans="1:17" ht="12.5" x14ac:dyDescent="0.25">
      <c r="B9" s="1" t="s">
        <v>12</v>
      </c>
      <c r="C9" s="10">
        <v>99.716058000000004</v>
      </c>
      <c r="D9" s="10">
        <v>179.00237999999999</v>
      </c>
      <c r="E9" s="10">
        <v>167.00308999999999</v>
      </c>
      <c r="F9" s="10">
        <v>149.77350100000001</v>
      </c>
      <c r="G9" s="10">
        <v>595.5</v>
      </c>
      <c r="Q9" s="10"/>
    </row>
    <row r="10" spans="1:17" ht="12.5" x14ac:dyDescent="0.25">
      <c r="B10" s="1" t="s">
        <v>13</v>
      </c>
      <c r="C10" s="10">
        <v>2.2495501</v>
      </c>
      <c r="D10" s="10">
        <v>2.2114783</v>
      </c>
      <c r="E10" s="10">
        <v>3.6755786000000001</v>
      </c>
      <c r="F10" s="10">
        <v>2.8777409</v>
      </c>
      <c r="G10" s="10">
        <v>11.01</v>
      </c>
      <c r="Q10" s="10"/>
    </row>
    <row r="11" spans="1:17" ht="12.5" x14ac:dyDescent="0.25">
      <c r="B11" s="1" t="s">
        <v>15</v>
      </c>
      <c r="C11" s="10">
        <v>17.261586999999999</v>
      </c>
      <c r="D11" s="10">
        <v>24.487027000000001</v>
      </c>
      <c r="E11" s="10">
        <v>23.997541999999999</v>
      </c>
      <c r="F11" s="10">
        <v>25.19237</v>
      </c>
      <c r="G11" s="10">
        <v>90.94</v>
      </c>
      <c r="Q11" s="10"/>
    </row>
    <row r="12" spans="1:17" ht="12.5" x14ac:dyDescent="0.25">
      <c r="B12" s="1" t="s">
        <v>16</v>
      </c>
      <c r="C12" s="10">
        <v>1.9003686</v>
      </c>
      <c r="D12" s="10">
        <v>2.3098128999999998</v>
      </c>
      <c r="E12" s="10">
        <v>2.9253201</v>
      </c>
      <c r="F12" s="10">
        <v>3.6151379000000001</v>
      </c>
      <c r="G12" s="10">
        <v>10.75</v>
      </c>
      <c r="Q12" s="10"/>
    </row>
    <row r="13" spans="1:17" ht="12.5" x14ac:dyDescent="0.25">
      <c r="B13" s="1" t="s">
        <v>17</v>
      </c>
      <c r="C13" s="10">
        <v>0.37346245500000003</v>
      </c>
      <c r="D13" s="10">
        <v>1.9255445</v>
      </c>
      <c r="E13" s="10">
        <v>1.8882984</v>
      </c>
      <c r="F13" s="10">
        <v>0.72727138099999999</v>
      </c>
      <c r="G13" s="10">
        <v>4.91</v>
      </c>
      <c r="Q13" s="10"/>
    </row>
    <row r="14" spans="1:17" ht="12.5" x14ac:dyDescent="0.25">
      <c r="B14" s="1" t="s">
        <v>18</v>
      </c>
      <c r="C14" s="10"/>
      <c r="D14" s="10"/>
      <c r="E14" s="10"/>
      <c r="F14" s="10"/>
      <c r="G14" s="10"/>
    </row>
    <row r="15" spans="1:17" ht="12.5" x14ac:dyDescent="0.25">
      <c r="B15" s="1" t="s">
        <v>19</v>
      </c>
      <c r="C15" s="10">
        <v>29.6799</v>
      </c>
      <c r="D15" s="10">
        <v>58.049703000000001</v>
      </c>
      <c r="E15" s="10">
        <v>54.916262000000003</v>
      </c>
      <c r="F15" s="10">
        <v>51.628691000000003</v>
      </c>
      <c r="G15" s="10">
        <v>194.27</v>
      </c>
    </row>
    <row r="16" spans="1:17" ht="12.5" x14ac:dyDescent="0.25">
      <c r="B16" s="1" t="s">
        <v>20</v>
      </c>
      <c r="C16" s="10">
        <v>10.807191</v>
      </c>
      <c r="D16" s="10">
        <v>23.2147784</v>
      </c>
      <c r="E16" s="10">
        <v>19.200491</v>
      </c>
      <c r="F16" s="10">
        <v>22.084503000000002</v>
      </c>
      <c r="G16" s="10">
        <v>75.31</v>
      </c>
    </row>
    <row r="17" spans="2:7" ht="12.5" x14ac:dyDescent="0.25">
      <c r="B17" s="1" t="s">
        <v>21</v>
      </c>
      <c r="C17" s="10">
        <v>1.8332307000000001</v>
      </c>
      <c r="D17" s="10">
        <v>2.8258705399999999</v>
      </c>
      <c r="E17" s="10">
        <v>3.8289113000000001</v>
      </c>
      <c r="F17" s="10">
        <v>6.2243396000000004</v>
      </c>
      <c r="G17" s="10">
        <v>14.71</v>
      </c>
    </row>
    <row r="18" spans="2:7" ht="12.5" x14ac:dyDescent="0.25">
      <c r="B18" s="1" t="s">
        <v>22</v>
      </c>
      <c r="C18" s="10"/>
      <c r="D18" s="10"/>
      <c r="E18" s="10"/>
      <c r="F18" s="10"/>
      <c r="G18" s="10"/>
    </row>
    <row r="19" spans="2:7" ht="12.5" x14ac:dyDescent="0.25">
      <c r="C19" s="10"/>
      <c r="D19" s="10"/>
      <c r="E19" s="10"/>
      <c r="F19" s="10"/>
      <c r="G19" s="10"/>
    </row>
    <row r="20" spans="2:7" ht="12.5" x14ac:dyDescent="0.25">
      <c r="B20" s="1" t="s">
        <v>2</v>
      </c>
      <c r="C20" s="10">
        <v>193.97994</v>
      </c>
      <c r="D20" s="10">
        <v>344.98110000000003</v>
      </c>
      <c r="E20" s="10">
        <v>329.42286999999999</v>
      </c>
      <c r="F20" s="10">
        <v>311.20134999999999</v>
      </c>
      <c r="G20" s="10">
        <v>1179.5899999999999</v>
      </c>
    </row>
    <row r="23" spans="2:7" ht="12.75" customHeight="1" x14ac:dyDescent="0.25">
      <c r="B23" s="94" t="s">
        <v>222</v>
      </c>
      <c r="C23" s="94"/>
      <c r="D23" s="94"/>
      <c r="E23" s="94"/>
      <c r="F23" s="94"/>
      <c r="G23" s="94"/>
    </row>
    <row r="24" spans="2:7" ht="12.75" customHeight="1" x14ac:dyDescent="0.25">
      <c r="B24" s="94"/>
      <c r="C24" s="94"/>
      <c r="D24" s="94"/>
      <c r="E24" s="94"/>
      <c r="F24" s="94"/>
      <c r="G24" s="94"/>
    </row>
    <row r="25" spans="2:7" ht="12.75" customHeight="1" x14ac:dyDescent="0.25">
      <c r="B25" s="94"/>
      <c r="C25" s="94"/>
      <c r="D25" s="94"/>
      <c r="E25" s="94"/>
      <c r="F25" s="94"/>
      <c r="G25" s="94"/>
    </row>
    <row r="26" spans="2:7" ht="12.75" customHeight="1" x14ac:dyDescent="0.3">
      <c r="B26" s="94"/>
      <c r="C26" s="101">
        <v>2021</v>
      </c>
      <c r="D26" s="101">
        <v>2022</v>
      </c>
      <c r="E26" s="101">
        <v>2023</v>
      </c>
      <c r="F26" s="101">
        <v>2024</v>
      </c>
      <c r="G26" s="101" t="s">
        <v>31</v>
      </c>
    </row>
    <row r="27" spans="2:7" ht="12.75" customHeight="1" x14ac:dyDescent="0.25">
      <c r="B27" s="94" t="s">
        <v>26</v>
      </c>
      <c r="C27" s="102">
        <f>C9</f>
        <v>99.716058000000004</v>
      </c>
      <c r="D27" s="102">
        <f>D9</f>
        <v>179.00237999999999</v>
      </c>
      <c r="E27" s="102">
        <f>E9</f>
        <v>167.00308999999999</v>
      </c>
      <c r="F27" s="102">
        <f>F9</f>
        <v>149.77350100000001</v>
      </c>
      <c r="G27" s="102">
        <f>G9</f>
        <v>595.5</v>
      </c>
    </row>
    <row r="28" spans="2:7" ht="12.75" customHeight="1" x14ac:dyDescent="0.25">
      <c r="B28" s="94" t="s">
        <v>9</v>
      </c>
      <c r="C28" s="102">
        <f>C6</f>
        <v>22.459844199999999</v>
      </c>
      <c r="D28" s="102">
        <f>D6</f>
        <v>38.371184900000003</v>
      </c>
      <c r="E28" s="102">
        <f>E6</f>
        <v>33.968347299999998</v>
      </c>
      <c r="F28" s="102">
        <f>F6</f>
        <v>31.774460999999999</v>
      </c>
      <c r="G28" s="102">
        <f>G6</f>
        <v>126.57</v>
      </c>
    </row>
    <row r="29" spans="2:7" ht="12.75" customHeight="1" x14ac:dyDescent="0.25">
      <c r="B29" s="94" t="s">
        <v>27</v>
      </c>
      <c r="C29" s="102">
        <f>C7+C8</f>
        <v>7.6326301000000001</v>
      </c>
      <c r="D29" s="102">
        <f>D7+D8</f>
        <v>11.777723900000002</v>
      </c>
      <c r="E29" s="102">
        <f>E7+E8</f>
        <v>16.9378615</v>
      </c>
      <c r="F29" s="102">
        <f>F7+F8</f>
        <v>16.552900600000001</v>
      </c>
      <c r="G29" s="102">
        <f>G7+G8</f>
        <v>52.9</v>
      </c>
    </row>
    <row r="30" spans="2:7" ht="12.75" customHeight="1" x14ac:dyDescent="0.25">
      <c r="B30" s="94" t="s">
        <v>24</v>
      </c>
      <c r="C30" s="102">
        <f>C11</f>
        <v>17.261586999999999</v>
      </c>
      <c r="D30" s="102">
        <f>D11</f>
        <v>24.487027000000001</v>
      </c>
      <c r="E30" s="102">
        <f>E11</f>
        <v>23.997541999999999</v>
      </c>
      <c r="F30" s="102">
        <f>F11</f>
        <v>25.19237</v>
      </c>
      <c r="G30" s="102">
        <f>G11</f>
        <v>90.94</v>
      </c>
    </row>
    <row r="31" spans="2:7" ht="12.75" customHeight="1" x14ac:dyDescent="0.25">
      <c r="B31" s="94" t="s">
        <v>14</v>
      </c>
      <c r="C31" s="102">
        <f>C10</f>
        <v>2.2495501</v>
      </c>
      <c r="D31" s="102">
        <f>D10</f>
        <v>2.2114783</v>
      </c>
      <c r="E31" s="102">
        <f>E10</f>
        <v>3.6755786000000001</v>
      </c>
      <c r="F31" s="102">
        <f>F10</f>
        <v>2.8777409</v>
      </c>
      <c r="G31" s="102">
        <f>G10</f>
        <v>11.01</v>
      </c>
    </row>
    <row r="32" spans="2:7" ht="12.75" customHeight="1" x14ac:dyDescent="0.25">
      <c r="B32" s="94" t="s">
        <v>28</v>
      </c>
      <c r="C32" s="102">
        <f t="shared" ref="C32:G33" si="0">C12</f>
        <v>1.9003686</v>
      </c>
      <c r="D32" s="102">
        <f t="shared" si="0"/>
        <v>2.3098128999999998</v>
      </c>
      <c r="E32" s="102">
        <f t="shared" si="0"/>
        <v>2.9253201</v>
      </c>
      <c r="F32" s="102">
        <f t="shared" si="0"/>
        <v>3.6151379000000001</v>
      </c>
      <c r="G32" s="102">
        <f t="shared" si="0"/>
        <v>10.75</v>
      </c>
    </row>
    <row r="33" spans="2:7" ht="12.75" customHeight="1" x14ac:dyDescent="0.25">
      <c r="B33" s="94" t="s">
        <v>29</v>
      </c>
      <c r="C33" s="102">
        <f t="shared" si="0"/>
        <v>0.37346245500000003</v>
      </c>
      <c r="D33" s="102">
        <f t="shared" si="0"/>
        <v>1.9255445</v>
      </c>
      <c r="E33" s="102">
        <f t="shared" si="0"/>
        <v>1.8882984</v>
      </c>
      <c r="F33" s="102">
        <f t="shared" si="0"/>
        <v>0.72727138099999999</v>
      </c>
      <c r="G33" s="102">
        <f t="shared" si="0"/>
        <v>4.91</v>
      </c>
    </row>
    <row r="34" spans="2:7" ht="12.75" customHeight="1" x14ac:dyDescent="0.25">
      <c r="B34" s="94" t="s">
        <v>30</v>
      </c>
      <c r="C34" s="102">
        <f>C15</f>
        <v>29.6799</v>
      </c>
      <c r="D34" s="102">
        <f>D15</f>
        <v>58.049703000000001</v>
      </c>
      <c r="E34" s="102">
        <f>E15</f>
        <v>54.916262000000003</v>
      </c>
      <c r="F34" s="102">
        <f>F15</f>
        <v>51.628691000000003</v>
      </c>
      <c r="G34" s="102">
        <f>G15</f>
        <v>194.27</v>
      </c>
    </row>
    <row r="38" spans="2:7" ht="12.75" customHeight="1" x14ac:dyDescent="0.3">
      <c r="B38" s="94"/>
      <c r="C38" s="101">
        <v>2021</v>
      </c>
      <c r="D38" s="101">
        <v>2022</v>
      </c>
      <c r="E38" s="101">
        <v>2023</v>
      </c>
      <c r="F38" s="101">
        <v>2024</v>
      </c>
      <c r="G38" s="101" t="s">
        <v>31</v>
      </c>
    </row>
    <row r="39" spans="2:7" ht="12.75" customHeight="1" x14ac:dyDescent="0.25">
      <c r="B39" s="94" t="s">
        <v>26</v>
      </c>
      <c r="C39" s="100">
        <f t="shared" ref="C39:G46" si="1">C27/SUM(C$27:C$34)</f>
        <v>0.55008654192899031</v>
      </c>
      <c r="D39" s="100">
        <f t="shared" si="1"/>
        <v>0.56266195755674409</v>
      </c>
      <c r="E39" s="100">
        <f t="shared" si="1"/>
        <v>0.54699103198495147</v>
      </c>
      <c r="F39" s="100">
        <f t="shared" si="1"/>
        <v>0.53084426222887582</v>
      </c>
      <c r="G39" s="100">
        <f t="shared" si="1"/>
        <v>0.54791369554216318</v>
      </c>
    </row>
    <row r="40" spans="2:7" ht="12.75" customHeight="1" x14ac:dyDescent="0.25">
      <c r="B40" s="94" t="s">
        <v>9</v>
      </c>
      <c r="C40" s="100">
        <f t="shared" si="1"/>
        <v>0.12390038551505805</v>
      </c>
      <c r="D40" s="100">
        <f t="shared" si="1"/>
        <v>0.12061295503225031</v>
      </c>
      <c r="E40" s="100">
        <f t="shared" si="1"/>
        <v>0.11125770992890156</v>
      </c>
      <c r="F40" s="100">
        <f t="shared" si="1"/>
        <v>0.11261865546739931</v>
      </c>
      <c r="G40" s="100">
        <f t="shared" si="1"/>
        <v>0.11645581266964163</v>
      </c>
    </row>
    <row r="41" spans="2:7" ht="12.75" customHeight="1" x14ac:dyDescent="0.25">
      <c r="B41" s="94" t="s">
        <v>27</v>
      </c>
      <c r="C41" s="100">
        <f t="shared" si="1"/>
        <v>4.2105626533412738E-2</v>
      </c>
      <c r="D41" s="100">
        <f t="shared" si="1"/>
        <v>3.7021168015402096E-2</v>
      </c>
      <c r="E41" s="100">
        <f t="shared" si="1"/>
        <v>5.5477167168003771E-2</v>
      </c>
      <c r="F41" s="100">
        <f t="shared" si="1"/>
        <v>5.8668671347643239E-2</v>
      </c>
      <c r="G41" s="100">
        <f t="shared" si="1"/>
        <v>4.8672769931453287E-2</v>
      </c>
    </row>
    <row r="42" spans="2:7" ht="12.75" customHeight="1" x14ac:dyDescent="0.25">
      <c r="B42" s="94" t="s">
        <v>24</v>
      </c>
      <c r="C42" s="100">
        <f t="shared" si="1"/>
        <v>9.5224048076954795E-2</v>
      </c>
      <c r="D42" s="100">
        <f t="shared" si="1"/>
        <v>7.6970588584156521E-2</v>
      </c>
      <c r="E42" s="100">
        <f t="shared" si="1"/>
        <v>7.8599984369643799E-2</v>
      </c>
      <c r="F42" s="100">
        <f t="shared" si="1"/>
        <v>8.9289660568506471E-2</v>
      </c>
      <c r="G42" s="100">
        <f t="shared" si="1"/>
        <v>8.3672999953995492E-2</v>
      </c>
    </row>
    <row r="43" spans="2:7" ht="12.75" customHeight="1" x14ac:dyDescent="0.25">
      <c r="B43" s="94" t="s">
        <v>14</v>
      </c>
      <c r="C43" s="100">
        <f t="shared" si="1"/>
        <v>1.2409708729210036E-2</v>
      </c>
      <c r="D43" s="100">
        <f t="shared" si="1"/>
        <v>6.9513863970538303E-3</v>
      </c>
      <c r="E43" s="100">
        <f t="shared" si="1"/>
        <v>1.2038750489920896E-2</v>
      </c>
      <c r="F43" s="100">
        <f t="shared" si="1"/>
        <v>1.0199616318953251E-2</v>
      </c>
      <c r="G43" s="100">
        <f t="shared" si="1"/>
        <v>1.0130192758890372E-2</v>
      </c>
    </row>
    <row r="44" spans="2:7" ht="12.75" customHeight="1" x14ac:dyDescent="0.25">
      <c r="B44" s="94" t="s">
        <v>28</v>
      </c>
      <c r="C44" s="100">
        <f t="shared" si="1"/>
        <v>1.0483438801445966E-2</v>
      </c>
      <c r="D44" s="100">
        <f t="shared" si="1"/>
        <v>7.2604836198480712E-3</v>
      </c>
      <c r="E44" s="100">
        <f t="shared" si="1"/>
        <v>9.5814027176702038E-3</v>
      </c>
      <c r="F44" s="100">
        <f t="shared" si="1"/>
        <v>1.2813182562789578E-2</v>
      </c>
      <c r="G44" s="100">
        <f t="shared" si="1"/>
        <v>9.8909693149928698E-3</v>
      </c>
    </row>
    <row r="45" spans="2:7" ht="12.75" customHeight="1" x14ac:dyDescent="0.25">
      <c r="B45" s="94" t="s">
        <v>29</v>
      </c>
      <c r="C45" s="100">
        <f t="shared" si="1"/>
        <v>2.0602165241155154E-3</v>
      </c>
      <c r="D45" s="100">
        <f t="shared" si="1"/>
        <v>6.0526046510254337E-3</v>
      </c>
      <c r="E45" s="100">
        <f t="shared" si="1"/>
        <v>6.1848094577862771E-3</v>
      </c>
      <c r="F45" s="100">
        <f t="shared" si="1"/>
        <v>2.5776778743198414E-3</v>
      </c>
      <c r="G45" s="100">
        <f t="shared" si="1"/>
        <v>4.5176427289874413E-3</v>
      </c>
    </row>
    <row r="46" spans="2:7" ht="12.75" customHeight="1" x14ac:dyDescent="0.25">
      <c r="B46" s="94" t="s">
        <v>30</v>
      </c>
      <c r="C46" s="100">
        <f t="shared" si="1"/>
        <v>0.16373003389081264</v>
      </c>
      <c r="D46" s="100">
        <f t="shared" si="1"/>
        <v>0.18246885614351943</v>
      </c>
      <c r="E46" s="100">
        <f t="shared" si="1"/>
        <v>0.17986914388312206</v>
      </c>
      <c r="F46" s="100">
        <f t="shared" si="1"/>
        <v>0.18298827363151243</v>
      </c>
      <c r="G46" s="100">
        <f t="shared" si="1"/>
        <v>0.17874591709987581</v>
      </c>
    </row>
    <row r="47" spans="2:7" ht="12.75" customHeight="1" x14ac:dyDescent="0.25">
      <c r="B47" s="94"/>
      <c r="C47" s="94"/>
      <c r="D47" s="94"/>
      <c r="E47" s="94"/>
      <c r="F47" s="94"/>
      <c r="G47" s="94"/>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3CB7-7C87-4189-BF83-2E6DD387D07E}">
  <dimension ref="A1:BN47"/>
  <sheetViews>
    <sheetView topLeftCell="C1" zoomScaleNormal="100" workbookViewId="0">
      <selection activeCell="N37" sqref="N37"/>
    </sheetView>
  </sheetViews>
  <sheetFormatPr defaultColWidth="11.54296875" defaultRowHeight="12.75" customHeight="1" x14ac:dyDescent="0.25"/>
  <cols>
    <col min="1" max="1" width="26" style="18" bestFit="1" customWidth="1"/>
    <col min="2" max="2" width="5.81640625" style="68" customWidth="1"/>
    <col min="3" max="21" width="11.54296875" style="18"/>
    <col min="22" max="22" width="11.54296875" style="81"/>
    <col min="23" max="24" width="11.54296875" style="18"/>
    <col min="25" max="44" width="7" style="18" customWidth="1"/>
    <col min="45" max="46" width="11.54296875" style="18"/>
    <col min="47" max="47" width="17.54296875" style="27" bestFit="1" customWidth="1"/>
    <col min="48" max="65" width="4.81640625" style="23" customWidth="1"/>
    <col min="66" max="66" width="10" style="23" customWidth="1"/>
    <col min="67" max="16384" width="11.54296875" style="18"/>
  </cols>
  <sheetData>
    <row r="1" spans="1:66" ht="12.75" customHeight="1" x14ac:dyDescent="0.3">
      <c r="A1" s="55" t="s">
        <v>182</v>
      </c>
      <c r="C1" s="114" t="s">
        <v>186</v>
      </c>
    </row>
    <row r="2" spans="1:66" ht="12.75" customHeight="1" x14ac:dyDescent="0.3">
      <c r="B2" s="20"/>
    </row>
    <row r="3" spans="1:66" ht="13" x14ac:dyDescent="0.3">
      <c r="C3" s="51" t="s">
        <v>111</v>
      </c>
      <c r="D3" s="51" t="s">
        <v>112</v>
      </c>
      <c r="E3" s="51" t="s">
        <v>113</v>
      </c>
      <c r="F3" s="51" t="s">
        <v>171</v>
      </c>
      <c r="G3" s="51" t="s">
        <v>115</v>
      </c>
      <c r="H3" s="51" t="s">
        <v>172</v>
      </c>
      <c r="I3" s="51" t="s">
        <v>117</v>
      </c>
      <c r="J3" s="51" t="s">
        <v>25</v>
      </c>
      <c r="K3" s="51" t="s">
        <v>118</v>
      </c>
      <c r="L3" s="51" t="s">
        <v>119</v>
      </c>
      <c r="M3" s="51" t="s">
        <v>120</v>
      </c>
      <c r="N3" s="51" t="s">
        <v>173</v>
      </c>
      <c r="O3" s="51" t="s">
        <v>122</v>
      </c>
      <c r="P3" s="51" t="s">
        <v>123</v>
      </c>
      <c r="Q3" s="51" t="s">
        <v>174</v>
      </c>
      <c r="R3" s="51" t="s">
        <v>125</v>
      </c>
      <c r="S3" s="51" t="s">
        <v>175</v>
      </c>
      <c r="T3" s="51" t="s">
        <v>159</v>
      </c>
      <c r="U3" s="51" t="s">
        <v>177</v>
      </c>
      <c r="V3" s="81" t="s">
        <v>23</v>
      </c>
      <c r="X3" s="20"/>
    </row>
    <row r="4" spans="1:66" ht="13" x14ac:dyDescent="0.3">
      <c r="C4" s="18">
        <v>1</v>
      </c>
      <c r="D4" s="18">
        <v>3</v>
      </c>
      <c r="E4" s="18">
        <v>4</v>
      </c>
      <c r="F4" s="18">
        <v>6</v>
      </c>
      <c r="G4" s="18">
        <v>7</v>
      </c>
      <c r="H4" s="18">
        <v>8</v>
      </c>
      <c r="I4" s="18">
        <v>9</v>
      </c>
      <c r="J4" s="18">
        <v>10</v>
      </c>
      <c r="K4" s="18">
        <v>11</v>
      </c>
      <c r="L4" s="18">
        <v>12</v>
      </c>
      <c r="M4" s="18">
        <v>13</v>
      </c>
      <c r="N4" s="18">
        <v>14</v>
      </c>
      <c r="O4" s="18">
        <v>15</v>
      </c>
      <c r="P4" s="18">
        <v>16</v>
      </c>
      <c r="Q4" s="18">
        <v>17</v>
      </c>
      <c r="R4" s="18">
        <v>18</v>
      </c>
      <c r="S4" s="18">
        <v>19</v>
      </c>
      <c r="T4" s="18">
        <v>78</v>
      </c>
      <c r="U4" s="18">
        <v>999</v>
      </c>
      <c r="V4" s="81" t="s">
        <v>2</v>
      </c>
      <c r="X4" s="20"/>
      <c r="Y4" s="51" t="s">
        <v>111</v>
      </c>
      <c r="Z4" s="51" t="s">
        <v>112</v>
      </c>
      <c r="AA4" s="51" t="s">
        <v>113</v>
      </c>
      <c r="AB4" s="51" t="s">
        <v>171</v>
      </c>
      <c r="AC4" s="51" t="s">
        <v>115</v>
      </c>
      <c r="AD4" s="51" t="s">
        <v>172</v>
      </c>
      <c r="AE4" s="51" t="s">
        <v>117</v>
      </c>
      <c r="AF4" s="51" t="s">
        <v>25</v>
      </c>
      <c r="AG4" s="51" t="s">
        <v>118</v>
      </c>
      <c r="AH4" s="51" t="s">
        <v>119</v>
      </c>
      <c r="AI4" s="51" t="s">
        <v>120</v>
      </c>
      <c r="AJ4" s="51" t="s">
        <v>173</v>
      </c>
      <c r="AK4" s="51" t="s">
        <v>122</v>
      </c>
      <c r="AL4" s="51" t="s">
        <v>123</v>
      </c>
      <c r="AM4" s="51" t="s">
        <v>174</v>
      </c>
      <c r="AN4" s="51" t="s">
        <v>125</v>
      </c>
      <c r="AO4" s="51" t="s">
        <v>175</v>
      </c>
      <c r="AP4" s="51" t="s">
        <v>159</v>
      </c>
      <c r="AQ4" s="48"/>
      <c r="AT4" s="24"/>
      <c r="AU4" s="28"/>
      <c r="AV4" s="25"/>
      <c r="AW4" s="25"/>
      <c r="AX4" s="25"/>
      <c r="AY4" s="25"/>
      <c r="AZ4" s="25"/>
      <c r="BA4" s="25"/>
      <c r="BB4" s="25"/>
      <c r="BC4" s="25"/>
      <c r="BD4" s="25"/>
      <c r="BE4" s="25"/>
      <c r="BF4" s="25"/>
      <c r="BG4" s="25"/>
      <c r="BH4" s="25"/>
      <c r="BI4" s="25"/>
      <c r="BJ4" s="25"/>
      <c r="BK4" s="25"/>
      <c r="BL4" s="25"/>
      <c r="BM4" s="25"/>
      <c r="BN4" s="25"/>
    </row>
    <row r="5" spans="1:66" ht="12.5" x14ac:dyDescent="0.25">
      <c r="X5" s="29"/>
      <c r="Y5" s="53" t="s">
        <v>129</v>
      </c>
      <c r="Z5" s="53" t="s">
        <v>130</v>
      </c>
      <c r="AA5" s="53" t="s">
        <v>131</v>
      </c>
      <c r="AB5" s="53" t="s">
        <v>132</v>
      </c>
      <c r="AC5" s="53" t="s">
        <v>133</v>
      </c>
      <c r="AD5" s="53" t="s">
        <v>134</v>
      </c>
      <c r="AE5" s="53" t="s">
        <v>135</v>
      </c>
      <c r="AF5" s="53" t="s">
        <v>136</v>
      </c>
      <c r="AG5" s="53" t="s">
        <v>137</v>
      </c>
      <c r="AH5" s="53" t="s">
        <v>138</v>
      </c>
      <c r="AI5" s="53" t="s">
        <v>139</v>
      </c>
      <c r="AJ5" s="53" t="s">
        <v>140</v>
      </c>
      <c r="AK5" s="53" t="s">
        <v>141</v>
      </c>
      <c r="AL5" s="53" t="s">
        <v>142</v>
      </c>
      <c r="AM5" s="53" t="s">
        <v>143</v>
      </c>
      <c r="AN5" s="53" t="s">
        <v>144</v>
      </c>
      <c r="AO5" s="53" t="s">
        <v>145</v>
      </c>
      <c r="AP5" s="53">
        <v>78</v>
      </c>
      <c r="AQ5" s="53" t="s">
        <v>128</v>
      </c>
      <c r="AR5" s="53" t="s">
        <v>2</v>
      </c>
      <c r="AT5" s="26"/>
      <c r="AU5" s="31"/>
      <c r="AV5" s="32" t="s">
        <v>129</v>
      </c>
      <c r="AW5" s="32" t="s">
        <v>178</v>
      </c>
      <c r="AX5" s="32" t="s">
        <v>179</v>
      </c>
      <c r="AY5" s="32" t="s">
        <v>132</v>
      </c>
      <c r="AZ5" s="32" t="s">
        <v>133</v>
      </c>
      <c r="BA5" s="32" t="s">
        <v>134</v>
      </c>
      <c r="BB5" s="32" t="s">
        <v>135</v>
      </c>
      <c r="BC5" s="32" t="s">
        <v>136</v>
      </c>
      <c r="BD5" s="32" t="s">
        <v>137</v>
      </c>
      <c r="BE5" s="32" t="s">
        <v>138</v>
      </c>
      <c r="BF5" s="32" t="s">
        <v>139</v>
      </c>
      <c r="BG5" s="32" t="s">
        <v>140</v>
      </c>
      <c r="BH5" s="32" t="s">
        <v>141</v>
      </c>
      <c r="BI5" s="32" t="s">
        <v>142</v>
      </c>
      <c r="BJ5" s="32" t="s">
        <v>143</v>
      </c>
      <c r="BK5" s="32" t="s">
        <v>144</v>
      </c>
      <c r="BL5" s="32" t="s">
        <v>145</v>
      </c>
      <c r="BM5" s="32">
        <v>78</v>
      </c>
      <c r="BN5" s="25"/>
    </row>
    <row r="6" spans="1:66" ht="12.5" x14ac:dyDescent="0.25">
      <c r="A6" s="51" t="s">
        <v>111</v>
      </c>
      <c r="B6" s="68">
        <v>1</v>
      </c>
      <c r="D6" s="18">
        <v>549</v>
      </c>
      <c r="E6" s="18">
        <v>57</v>
      </c>
      <c r="F6" s="18">
        <v>450</v>
      </c>
      <c r="G6" s="18">
        <v>1882</v>
      </c>
      <c r="H6" s="18">
        <v>461</v>
      </c>
      <c r="I6" s="18">
        <v>553</v>
      </c>
      <c r="J6" s="18">
        <v>77</v>
      </c>
      <c r="K6" s="18">
        <v>47</v>
      </c>
      <c r="L6" s="18">
        <v>26</v>
      </c>
      <c r="M6" s="18">
        <v>396</v>
      </c>
      <c r="N6" s="18">
        <v>394</v>
      </c>
      <c r="O6" s="18">
        <v>66</v>
      </c>
      <c r="P6" s="18">
        <v>122</v>
      </c>
      <c r="Q6" s="18">
        <v>391</v>
      </c>
      <c r="R6" s="18">
        <v>144</v>
      </c>
      <c r="S6" s="18">
        <v>75</v>
      </c>
      <c r="T6" s="18">
        <v>3063</v>
      </c>
      <c r="U6" s="18">
        <v>11256</v>
      </c>
      <c r="V6" s="81">
        <v>20009</v>
      </c>
      <c r="X6" s="29" t="s">
        <v>111</v>
      </c>
      <c r="Y6" s="56">
        <f t="shared" ref="Y6:AN21" si="0">IFERROR(C6/1000,"")</f>
        <v>0</v>
      </c>
      <c r="Z6" s="56">
        <f t="shared" si="0"/>
        <v>0.54900000000000004</v>
      </c>
      <c r="AA6" s="56">
        <f t="shared" si="0"/>
        <v>5.7000000000000002E-2</v>
      </c>
      <c r="AB6" s="56">
        <f t="shared" si="0"/>
        <v>0.45</v>
      </c>
      <c r="AC6" s="56">
        <f t="shared" si="0"/>
        <v>1.8819999999999999</v>
      </c>
      <c r="AD6" s="56">
        <f t="shared" si="0"/>
        <v>0.46100000000000002</v>
      </c>
      <c r="AE6" s="56">
        <f t="shared" si="0"/>
        <v>0.55300000000000005</v>
      </c>
      <c r="AF6" s="56">
        <f t="shared" si="0"/>
        <v>7.6999999999999999E-2</v>
      </c>
      <c r="AG6" s="56">
        <f t="shared" si="0"/>
        <v>4.7E-2</v>
      </c>
      <c r="AH6" s="56">
        <f t="shared" si="0"/>
        <v>2.5999999999999999E-2</v>
      </c>
      <c r="AI6" s="56">
        <f t="shared" si="0"/>
        <v>0.39600000000000002</v>
      </c>
      <c r="AJ6" s="56">
        <f t="shared" si="0"/>
        <v>0.39400000000000002</v>
      </c>
      <c r="AK6" s="56">
        <f t="shared" si="0"/>
        <v>6.6000000000000003E-2</v>
      </c>
      <c r="AL6" s="56">
        <f t="shared" si="0"/>
        <v>0.122</v>
      </c>
      <c r="AM6" s="56">
        <f t="shared" si="0"/>
        <v>0.39100000000000001</v>
      </c>
      <c r="AN6" s="56">
        <f t="shared" si="0"/>
        <v>0.14399999999999999</v>
      </c>
      <c r="AO6" s="56">
        <f t="shared" ref="AO6:AR21" si="1">IFERROR(S6/1000,"")</f>
        <v>7.4999999999999997E-2</v>
      </c>
      <c r="AP6" s="56">
        <f t="shared" si="1"/>
        <v>3.0630000000000002</v>
      </c>
      <c r="AQ6" s="56">
        <f t="shared" si="1"/>
        <v>11.256</v>
      </c>
      <c r="AR6" s="56">
        <f t="shared" si="1"/>
        <v>20.009</v>
      </c>
      <c r="AT6" s="26"/>
      <c r="AU6" s="31" t="s">
        <v>111</v>
      </c>
      <c r="AV6" s="77"/>
      <c r="AW6" s="77">
        <f t="shared" ref="AW6:BM6" si="2">IFERROR(IF(Z6&gt;0,Z6,"x")/SUM($Y6:$AP6),"")*100</f>
        <v>6.2721352679081468</v>
      </c>
      <c r="AX6" s="77">
        <f t="shared" si="2"/>
        <v>0.65120530103964358</v>
      </c>
      <c r="AY6" s="77">
        <f t="shared" si="2"/>
        <v>5.1410944818919235</v>
      </c>
      <c r="AZ6" s="77">
        <f t="shared" si="2"/>
        <v>21.501199588712442</v>
      </c>
      <c r="BA6" s="77">
        <f t="shared" si="2"/>
        <v>5.2667656803381702</v>
      </c>
      <c r="BB6" s="77">
        <f t="shared" si="2"/>
        <v>6.3178338855249638</v>
      </c>
      <c r="BC6" s="77">
        <f t="shared" si="2"/>
        <v>0.879698389123729</v>
      </c>
      <c r="BD6" s="77">
        <f t="shared" si="2"/>
        <v>0.53695875699760087</v>
      </c>
      <c r="BE6" s="77">
        <f t="shared" si="2"/>
        <v>0.29704101450931109</v>
      </c>
      <c r="BF6" s="77">
        <f t="shared" si="2"/>
        <v>4.5241631440648922</v>
      </c>
      <c r="BG6" s="77">
        <f t="shared" si="2"/>
        <v>4.5013138352564841</v>
      </c>
      <c r="BH6" s="77">
        <f t="shared" si="2"/>
        <v>0.75402719067748203</v>
      </c>
      <c r="BI6" s="77">
        <f t="shared" si="2"/>
        <v>1.3938078373129212</v>
      </c>
      <c r="BJ6" s="77">
        <f t="shared" si="2"/>
        <v>4.4670398720438707</v>
      </c>
      <c r="BK6" s="77">
        <f t="shared" si="2"/>
        <v>1.6451502342054152</v>
      </c>
      <c r="BL6" s="77">
        <f t="shared" si="2"/>
        <v>0.85684908031532037</v>
      </c>
      <c r="BM6" s="77">
        <f t="shared" si="2"/>
        <v>34.993716440077691</v>
      </c>
      <c r="BN6" s="25"/>
    </row>
    <row r="7" spans="1:66" ht="12.5" x14ac:dyDescent="0.25">
      <c r="A7" s="51" t="s">
        <v>112</v>
      </c>
      <c r="B7" s="68">
        <v>3</v>
      </c>
      <c r="C7" s="18">
        <v>758</v>
      </c>
      <c r="D7" s="18">
        <v>343</v>
      </c>
      <c r="E7" s="18">
        <v>471</v>
      </c>
      <c r="F7" s="18">
        <v>2718</v>
      </c>
      <c r="G7" s="18">
        <v>14611</v>
      </c>
      <c r="H7" s="18">
        <v>2407</v>
      </c>
      <c r="I7" s="18">
        <v>3396</v>
      </c>
      <c r="J7" s="18">
        <v>1738</v>
      </c>
      <c r="K7" s="18">
        <v>415</v>
      </c>
      <c r="L7" s="18">
        <v>215</v>
      </c>
      <c r="M7" s="18">
        <v>5997</v>
      </c>
      <c r="N7" s="18">
        <v>1727</v>
      </c>
      <c r="O7" s="18">
        <v>499</v>
      </c>
      <c r="P7" s="18">
        <v>918</v>
      </c>
      <c r="Q7" s="18">
        <v>1581</v>
      </c>
      <c r="R7" s="18">
        <v>567</v>
      </c>
      <c r="S7" s="18">
        <v>545</v>
      </c>
      <c r="T7" s="18">
        <v>21068</v>
      </c>
      <c r="U7" s="18">
        <v>29840</v>
      </c>
      <c r="V7" s="81">
        <v>89814</v>
      </c>
      <c r="X7" s="29" t="s">
        <v>112</v>
      </c>
      <c r="Y7" s="56">
        <f t="shared" si="0"/>
        <v>0.75800000000000001</v>
      </c>
      <c r="Z7" s="56">
        <f t="shared" si="0"/>
        <v>0.34300000000000003</v>
      </c>
      <c r="AA7" s="56">
        <f t="shared" si="0"/>
        <v>0.47099999999999997</v>
      </c>
      <c r="AB7" s="56">
        <f t="shared" si="0"/>
        <v>2.718</v>
      </c>
      <c r="AC7" s="56">
        <f t="shared" si="0"/>
        <v>14.611000000000001</v>
      </c>
      <c r="AD7" s="56">
        <f t="shared" si="0"/>
        <v>2.407</v>
      </c>
      <c r="AE7" s="56">
        <f t="shared" si="0"/>
        <v>3.3959999999999999</v>
      </c>
      <c r="AF7" s="56">
        <f t="shared" si="0"/>
        <v>1.738</v>
      </c>
      <c r="AG7" s="56">
        <f t="shared" si="0"/>
        <v>0.41499999999999998</v>
      </c>
      <c r="AH7" s="56">
        <f t="shared" si="0"/>
        <v>0.215</v>
      </c>
      <c r="AI7" s="56">
        <f t="shared" si="0"/>
        <v>5.9969999999999999</v>
      </c>
      <c r="AJ7" s="56">
        <f t="shared" si="0"/>
        <v>1.7270000000000001</v>
      </c>
      <c r="AK7" s="56">
        <f t="shared" si="0"/>
        <v>0.499</v>
      </c>
      <c r="AL7" s="56">
        <f t="shared" si="0"/>
        <v>0.91800000000000004</v>
      </c>
      <c r="AM7" s="56">
        <f t="shared" si="0"/>
        <v>1.581</v>
      </c>
      <c r="AN7" s="56">
        <f t="shared" si="0"/>
        <v>0.56699999999999995</v>
      </c>
      <c r="AO7" s="56">
        <f t="shared" si="1"/>
        <v>0.54500000000000004</v>
      </c>
      <c r="AP7" s="56">
        <f t="shared" si="1"/>
        <v>21.068000000000001</v>
      </c>
      <c r="AQ7" s="56">
        <f t="shared" si="1"/>
        <v>29.84</v>
      </c>
      <c r="AR7" s="56">
        <f t="shared" si="1"/>
        <v>89.813999999999993</v>
      </c>
      <c r="AT7" s="26"/>
      <c r="AU7" s="31" t="s">
        <v>180</v>
      </c>
      <c r="AV7" s="77">
        <f t="shared" ref="AV7:AV23" si="3">IFERROR(IF(Y7&gt;0,Y7,"x")/SUM($Y7:$AP7),"")*100</f>
        <v>1.263881015106546</v>
      </c>
      <c r="AW7" s="77"/>
      <c r="AX7" s="77">
        <f t="shared" ref="AX7:AX23" si="4">IFERROR(IF(AA7&gt;0,AA7,"x")/SUM($Y7:$AP7),"")*100</f>
        <v>0.78534031413612559</v>
      </c>
      <c r="AY7" s="77">
        <f t="shared" ref="AY7:AY23" si="5">IFERROR(IF(AB7&gt;0,AB7,"x")/SUM($Y7:$AP7),"")*100</f>
        <v>4.531963851002101</v>
      </c>
      <c r="AZ7" s="77">
        <f t="shared" ref="AZ7:AZ23" si="6">IFERROR(IF(AC7&gt;0,AC7,"x")/SUM($Y7:$AP7),"")*100</f>
        <v>24.362223630239772</v>
      </c>
      <c r="BA7" s="77">
        <f t="shared" ref="BA7:BA23" si="7">IFERROR(IF(AD7&gt;0,AD7,"x")/SUM($Y7:$AP7),"")*100</f>
        <v>4.013405809183979</v>
      </c>
      <c r="BB7" s="77">
        <f t="shared" ref="BB7:BB23" si="8">IFERROR(IF(AE7&gt;0,AE7,"x")/SUM($Y7:$AP7),"")*100</f>
        <v>5.662453729949644</v>
      </c>
      <c r="BC7" s="77">
        <f t="shared" ref="BC7:BC23" si="9">IFERROR(IF(AF7&gt;0,AF7,"x")/SUM($Y7:$AP7),"")*100</f>
        <v>2.8979224330543234</v>
      </c>
      <c r="BD7" s="77">
        <f t="shared" ref="BD7:BD23" si="10">IFERROR(IF(AG7&gt;0,AG7,"x")/SUM($Y7:$AP7),"")*100</f>
        <v>0.69196651882482396</v>
      </c>
      <c r="BE7" s="77">
        <f t="shared" ref="BE7:BE23" si="11">IFERROR(IF(AH7&gt;0,AH7,"x")/SUM($Y7:$AP7),"")*100</f>
        <v>0.35848867842731846</v>
      </c>
      <c r="BF7" s="77">
        <f t="shared" ref="BF7:BF23" si="12">IFERROR(IF(AI7&gt;0,AI7,"x")/SUM($Y7:$AP7),"")*100</f>
        <v>9.9993330443192043</v>
      </c>
      <c r="BG7" s="77">
        <f t="shared" ref="BG7:BG23" si="13">IFERROR(IF(AJ7&gt;0,AJ7,"x")/SUM($Y7:$AP7),"")*100</f>
        <v>2.8795811518324608</v>
      </c>
      <c r="BH7" s="77">
        <f t="shared" ref="BH7:BH23" si="14">IFERROR(IF(AK7&gt;0,AK7,"x")/SUM($Y7:$AP7),"")*100</f>
        <v>0.83202721179177641</v>
      </c>
      <c r="BI7" s="77">
        <f t="shared" ref="BI7:BI23" si="15">IFERROR(IF(AL7&gt;0,AL7,"x")/SUM($Y7:$AP7),"")*100</f>
        <v>1.5306632874245507</v>
      </c>
      <c r="BJ7" s="77">
        <f t="shared" ref="BJ7:BJ23" si="16">IFERROR(IF(AM7&gt;0,AM7,"x")/SUM($Y7:$AP7),"")*100</f>
        <v>2.6361423283422813</v>
      </c>
      <c r="BK7" s="77">
        <f t="shared" ref="BK7:BK23" si="17">IFERROR(IF(AN7&gt;0,AN7,"x")/SUM($Y7:$AP7),"")*100</f>
        <v>0.94540967752692817</v>
      </c>
      <c r="BL7" s="77">
        <f t="shared" ref="BL7:BL23" si="18">IFERROR(IF(AO7&gt;0,AO7,"x")/SUM($Y7:$AP7),"")*100</f>
        <v>0.9087271150832027</v>
      </c>
      <c r="BM7" s="77">
        <f t="shared" ref="BM7:BM22" si="19">IFERROR(IF(AP7&gt;0,AP7,"x")/SUM($Y7:$AP7),"")*100</f>
        <v>35.12855570747324</v>
      </c>
      <c r="BN7" s="25"/>
    </row>
    <row r="8" spans="1:66" ht="12.5" x14ac:dyDescent="0.25">
      <c r="A8" s="51" t="s">
        <v>113</v>
      </c>
      <c r="B8" s="68">
        <v>4</v>
      </c>
      <c r="C8" s="18">
        <v>88</v>
      </c>
      <c r="D8" s="18">
        <v>1043</v>
      </c>
      <c r="E8" s="18">
        <v>94</v>
      </c>
      <c r="F8" s="18">
        <v>757</v>
      </c>
      <c r="G8" s="18">
        <v>1426</v>
      </c>
      <c r="H8" s="18">
        <v>732</v>
      </c>
      <c r="I8" s="18">
        <v>206</v>
      </c>
      <c r="J8" s="18">
        <v>770</v>
      </c>
      <c r="K8" s="18">
        <v>186</v>
      </c>
      <c r="L8" s="18">
        <v>49</v>
      </c>
      <c r="M8" s="18">
        <v>1608</v>
      </c>
      <c r="N8" s="18">
        <v>418</v>
      </c>
      <c r="O8" s="18">
        <v>331</v>
      </c>
      <c r="P8" s="18">
        <v>203</v>
      </c>
      <c r="Q8" s="18">
        <v>220</v>
      </c>
      <c r="R8" s="18">
        <v>67</v>
      </c>
      <c r="S8" s="18">
        <v>85</v>
      </c>
      <c r="T8" s="18">
        <v>2532</v>
      </c>
      <c r="U8" s="18">
        <v>3059</v>
      </c>
      <c r="V8" s="81">
        <v>13874</v>
      </c>
      <c r="X8" s="29" t="s">
        <v>113</v>
      </c>
      <c r="Y8" s="56">
        <f t="shared" si="0"/>
        <v>8.7999999999999995E-2</v>
      </c>
      <c r="Z8" s="56">
        <f t="shared" si="0"/>
        <v>1.0429999999999999</v>
      </c>
      <c r="AA8" s="56">
        <f t="shared" si="0"/>
        <v>9.4E-2</v>
      </c>
      <c r="AB8" s="56">
        <f t="shared" si="0"/>
        <v>0.75700000000000001</v>
      </c>
      <c r="AC8" s="56">
        <f t="shared" si="0"/>
        <v>1.4259999999999999</v>
      </c>
      <c r="AD8" s="56">
        <f t="shared" si="0"/>
        <v>0.73199999999999998</v>
      </c>
      <c r="AE8" s="56">
        <f t="shared" si="0"/>
        <v>0.20599999999999999</v>
      </c>
      <c r="AF8" s="56">
        <f t="shared" si="0"/>
        <v>0.77</v>
      </c>
      <c r="AG8" s="56">
        <f t="shared" si="0"/>
        <v>0.186</v>
      </c>
      <c r="AH8" s="56">
        <f t="shared" si="0"/>
        <v>4.9000000000000002E-2</v>
      </c>
      <c r="AI8" s="56">
        <f t="shared" si="0"/>
        <v>1.6080000000000001</v>
      </c>
      <c r="AJ8" s="56">
        <f t="shared" si="0"/>
        <v>0.41799999999999998</v>
      </c>
      <c r="AK8" s="56">
        <f t="shared" si="0"/>
        <v>0.33100000000000002</v>
      </c>
      <c r="AL8" s="56">
        <f t="shared" si="0"/>
        <v>0.20300000000000001</v>
      </c>
      <c r="AM8" s="56">
        <f t="shared" si="0"/>
        <v>0.22</v>
      </c>
      <c r="AN8" s="56">
        <f t="shared" si="0"/>
        <v>6.7000000000000004E-2</v>
      </c>
      <c r="AO8" s="56">
        <f t="shared" si="1"/>
        <v>8.5000000000000006E-2</v>
      </c>
      <c r="AP8" s="56">
        <f t="shared" si="1"/>
        <v>2.532</v>
      </c>
      <c r="AQ8" s="56">
        <f t="shared" si="1"/>
        <v>3.0590000000000002</v>
      </c>
      <c r="AR8" s="56">
        <f t="shared" si="1"/>
        <v>13.874000000000001</v>
      </c>
      <c r="AT8" s="26"/>
      <c r="AU8" s="31" t="s">
        <v>181</v>
      </c>
      <c r="AV8" s="77">
        <f t="shared" si="3"/>
        <v>0.8136846971798426</v>
      </c>
      <c r="AW8" s="77">
        <f t="shared" ref="AW8:AW23" si="20">IFERROR(IF(Z8&gt;0,Z8,"x")/SUM($Y8:$AP8),"")*100</f>
        <v>9.6440129449838157</v>
      </c>
      <c r="AX8" s="77"/>
      <c r="AY8" s="77">
        <f t="shared" si="5"/>
        <v>6.9995376791493271</v>
      </c>
      <c r="AZ8" s="77">
        <f t="shared" si="6"/>
        <v>13.185390661118813</v>
      </c>
      <c r="BA8" s="77">
        <f t="shared" si="7"/>
        <v>6.7683772538141449</v>
      </c>
      <c r="BB8" s="77">
        <f t="shared" si="8"/>
        <v>1.9047619047619042</v>
      </c>
      <c r="BC8" s="77">
        <f t="shared" si="9"/>
        <v>7.1197411003236235</v>
      </c>
      <c r="BD8" s="77">
        <f t="shared" si="10"/>
        <v>1.7198335644937581</v>
      </c>
      <c r="BE8" s="77">
        <f t="shared" si="11"/>
        <v>0.45307443365695782</v>
      </c>
      <c r="BF8" s="77">
        <f t="shared" si="12"/>
        <v>14.868238557558943</v>
      </c>
      <c r="BG8" s="77">
        <f t="shared" si="13"/>
        <v>3.8650023116042522</v>
      </c>
      <c r="BH8" s="77">
        <f t="shared" si="14"/>
        <v>3.0605640314378171</v>
      </c>
      <c r="BI8" s="77">
        <f t="shared" si="15"/>
        <v>1.8770226537216823</v>
      </c>
      <c r="BJ8" s="77">
        <f t="shared" si="16"/>
        <v>2.0342117429496063</v>
      </c>
      <c r="BK8" s="77">
        <f t="shared" si="17"/>
        <v>0.61950993989828929</v>
      </c>
      <c r="BL8" s="77">
        <f t="shared" si="18"/>
        <v>0.78594544613962081</v>
      </c>
      <c r="BM8" s="77">
        <f t="shared" si="19"/>
        <v>23.411927877947289</v>
      </c>
      <c r="BN8" s="25"/>
    </row>
    <row r="9" spans="1:66" ht="12.5" x14ac:dyDescent="0.25">
      <c r="A9" s="51" t="s">
        <v>171</v>
      </c>
      <c r="B9" s="68">
        <v>6</v>
      </c>
      <c r="C9" s="18">
        <v>707</v>
      </c>
      <c r="D9" s="18">
        <v>3550</v>
      </c>
      <c r="E9" s="18">
        <v>566</v>
      </c>
      <c r="G9" s="18">
        <v>6042</v>
      </c>
      <c r="H9" s="18">
        <v>1393</v>
      </c>
      <c r="I9" s="18">
        <v>1813</v>
      </c>
      <c r="J9" s="18">
        <v>819</v>
      </c>
      <c r="K9" s="18">
        <v>200</v>
      </c>
      <c r="L9" s="18">
        <v>421</v>
      </c>
      <c r="M9" s="18">
        <v>2798</v>
      </c>
      <c r="N9" s="18">
        <v>1796</v>
      </c>
      <c r="O9" s="18">
        <v>309</v>
      </c>
      <c r="P9" s="18">
        <v>1973</v>
      </c>
      <c r="Q9" s="18">
        <v>826</v>
      </c>
      <c r="R9" s="18">
        <v>338</v>
      </c>
      <c r="S9" s="18">
        <v>475</v>
      </c>
      <c r="T9" s="18">
        <v>8165</v>
      </c>
      <c r="U9" s="18">
        <v>20200</v>
      </c>
      <c r="V9" s="81">
        <v>52391</v>
      </c>
      <c r="X9" s="29" t="s">
        <v>114</v>
      </c>
      <c r="Y9" s="56">
        <f t="shared" si="0"/>
        <v>0.70699999999999996</v>
      </c>
      <c r="Z9" s="56">
        <f t="shared" si="0"/>
        <v>3.55</v>
      </c>
      <c r="AA9" s="56">
        <f t="shared" si="0"/>
        <v>0.56599999999999995</v>
      </c>
      <c r="AB9" s="56">
        <f t="shared" si="0"/>
        <v>0</v>
      </c>
      <c r="AC9" s="56">
        <f t="shared" si="0"/>
        <v>6.0419999999999998</v>
      </c>
      <c r="AD9" s="56">
        <f t="shared" si="0"/>
        <v>1.393</v>
      </c>
      <c r="AE9" s="56">
        <f t="shared" si="0"/>
        <v>1.8129999999999999</v>
      </c>
      <c r="AF9" s="56">
        <f t="shared" si="0"/>
        <v>0.81899999999999995</v>
      </c>
      <c r="AG9" s="56">
        <f t="shared" si="0"/>
        <v>0.2</v>
      </c>
      <c r="AH9" s="56">
        <f t="shared" si="0"/>
        <v>0.42099999999999999</v>
      </c>
      <c r="AI9" s="56">
        <f t="shared" si="0"/>
        <v>2.798</v>
      </c>
      <c r="AJ9" s="56">
        <f t="shared" si="0"/>
        <v>1.796</v>
      </c>
      <c r="AK9" s="56">
        <f t="shared" si="0"/>
        <v>0.309</v>
      </c>
      <c r="AL9" s="56">
        <f t="shared" si="0"/>
        <v>1.9730000000000001</v>
      </c>
      <c r="AM9" s="56">
        <f t="shared" si="0"/>
        <v>0.82599999999999996</v>
      </c>
      <c r="AN9" s="56">
        <f t="shared" si="0"/>
        <v>0.33800000000000002</v>
      </c>
      <c r="AO9" s="56">
        <f t="shared" si="1"/>
        <v>0.47499999999999998</v>
      </c>
      <c r="AP9" s="56">
        <f t="shared" si="1"/>
        <v>8.1649999999999991</v>
      </c>
      <c r="AQ9" s="56">
        <f t="shared" si="1"/>
        <v>20.2</v>
      </c>
      <c r="AR9" s="56">
        <f t="shared" si="1"/>
        <v>52.390999999999998</v>
      </c>
      <c r="AT9" s="26"/>
      <c r="AU9" s="31" t="s">
        <v>114</v>
      </c>
      <c r="AV9" s="77">
        <f t="shared" si="3"/>
        <v>2.196266037091112</v>
      </c>
      <c r="AW9" s="77">
        <f t="shared" si="20"/>
        <v>11.027927060358483</v>
      </c>
      <c r="AX9" s="77">
        <f t="shared" si="4"/>
        <v>1.7582554130036343</v>
      </c>
      <c r="AY9" s="77"/>
      <c r="AZ9" s="77">
        <f t="shared" si="6"/>
        <v>18.769221210897456</v>
      </c>
      <c r="BA9" s="77">
        <f t="shared" si="7"/>
        <v>4.3272964493181316</v>
      </c>
      <c r="BB9" s="77">
        <f t="shared" si="8"/>
        <v>5.6320089465999805</v>
      </c>
      <c r="BC9" s="77">
        <f t="shared" si="9"/>
        <v>2.544189369699605</v>
      </c>
      <c r="BD9" s="77">
        <f t="shared" si="10"/>
        <v>0.62129166537230907</v>
      </c>
      <c r="BE9" s="77">
        <f t="shared" si="11"/>
        <v>1.3078189556087103</v>
      </c>
      <c r="BF9" s="77">
        <f t="shared" si="12"/>
        <v>8.6918703985586028</v>
      </c>
      <c r="BG9" s="77">
        <f t="shared" si="13"/>
        <v>5.5791991550433355</v>
      </c>
      <c r="BH9" s="77">
        <f t="shared" si="14"/>
        <v>0.95989562300021736</v>
      </c>
      <c r="BI9" s="77">
        <f t="shared" si="15"/>
        <v>6.1290422788978285</v>
      </c>
      <c r="BJ9" s="77">
        <f t="shared" si="16"/>
        <v>2.5659345779876359</v>
      </c>
      <c r="BK9" s="77">
        <f t="shared" si="17"/>
        <v>1.0499829144792023</v>
      </c>
      <c r="BL9" s="77">
        <f t="shared" si="18"/>
        <v>1.4755677052592338</v>
      </c>
      <c r="BM9" s="77">
        <f t="shared" si="19"/>
        <v>25.364232238824513</v>
      </c>
      <c r="BN9" s="25"/>
    </row>
    <row r="10" spans="1:66" ht="12.5" x14ac:dyDescent="0.25">
      <c r="A10" s="51" t="s">
        <v>115</v>
      </c>
      <c r="B10" s="68">
        <v>7</v>
      </c>
      <c r="C10" s="18">
        <v>2260</v>
      </c>
      <c r="D10" s="18">
        <v>10763</v>
      </c>
      <c r="E10" s="18">
        <v>625</v>
      </c>
      <c r="F10" s="18">
        <v>3039</v>
      </c>
      <c r="H10" s="18">
        <v>6120</v>
      </c>
      <c r="I10" s="18">
        <v>20288</v>
      </c>
      <c r="J10" s="18">
        <v>4297</v>
      </c>
      <c r="K10" s="18">
        <v>931</v>
      </c>
      <c r="L10" s="18">
        <v>588</v>
      </c>
      <c r="M10" s="18">
        <v>7172</v>
      </c>
      <c r="N10" s="18">
        <v>5193</v>
      </c>
      <c r="O10" s="18">
        <v>730</v>
      </c>
      <c r="P10" s="18">
        <v>1907</v>
      </c>
      <c r="Q10" s="18">
        <v>7186</v>
      </c>
      <c r="R10" s="18">
        <v>3339</v>
      </c>
      <c r="S10" s="18">
        <v>1763</v>
      </c>
      <c r="T10" s="18">
        <v>25999</v>
      </c>
      <c r="U10" s="18">
        <v>134249</v>
      </c>
      <c r="V10" s="81">
        <v>236449</v>
      </c>
      <c r="X10" s="29" t="s">
        <v>115</v>
      </c>
      <c r="Y10" s="56">
        <f t="shared" si="0"/>
        <v>2.2599999999999998</v>
      </c>
      <c r="Z10" s="56">
        <f t="shared" si="0"/>
        <v>10.763</v>
      </c>
      <c r="AA10" s="56">
        <f t="shared" si="0"/>
        <v>0.625</v>
      </c>
      <c r="AB10" s="56">
        <f t="shared" si="0"/>
        <v>3.0390000000000001</v>
      </c>
      <c r="AC10" s="56">
        <f t="shared" si="0"/>
        <v>0</v>
      </c>
      <c r="AD10" s="56">
        <f t="shared" si="0"/>
        <v>6.12</v>
      </c>
      <c r="AE10" s="56">
        <f t="shared" si="0"/>
        <v>20.288</v>
      </c>
      <c r="AF10" s="56">
        <f t="shared" si="0"/>
        <v>4.2969999999999997</v>
      </c>
      <c r="AG10" s="56">
        <f t="shared" si="0"/>
        <v>0.93100000000000005</v>
      </c>
      <c r="AH10" s="56">
        <f t="shared" si="0"/>
        <v>0.58799999999999997</v>
      </c>
      <c r="AI10" s="56">
        <f t="shared" si="0"/>
        <v>7.1719999999999997</v>
      </c>
      <c r="AJ10" s="56">
        <f t="shared" si="0"/>
        <v>5.1929999999999996</v>
      </c>
      <c r="AK10" s="56">
        <f t="shared" si="0"/>
        <v>0.73</v>
      </c>
      <c r="AL10" s="56">
        <f t="shared" si="0"/>
        <v>1.907</v>
      </c>
      <c r="AM10" s="56">
        <f t="shared" si="0"/>
        <v>7.1859999999999999</v>
      </c>
      <c r="AN10" s="56">
        <f t="shared" si="0"/>
        <v>3.339</v>
      </c>
      <c r="AO10" s="56">
        <f t="shared" si="1"/>
        <v>1.7629999999999999</v>
      </c>
      <c r="AP10" s="56">
        <f t="shared" si="1"/>
        <v>25.998999999999999</v>
      </c>
      <c r="AQ10" s="56">
        <f t="shared" si="1"/>
        <v>134.249</v>
      </c>
      <c r="AR10" s="56">
        <f t="shared" si="1"/>
        <v>236.44900000000001</v>
      </c>
      <c r="AT10" s="26"/>
      <c r="AU10" s="31" t="s">
        <v>115</v>
      </c>
      <c r="AV10" s="77">
        <f t="shared" si="3"/>
        <v>2.2113502935420746</v>
      </c>
      <c r="AW10" s="77">
        <f t="shared" si="20"/>
        <v>10.531311154598827</v>
      </c>
      <c r="AX10" s="77">
        <f t="shared" si="4"/>
        <v>0.61154598825831707</v>
      </c>
      <c r="AY10" s="77">
        <f t="shared" si="5"/>
        <v>2.973581213307241</v>
      </c>
      <c r="AZ10" s="77"/>
      <c r="BA10" s="77">
        <f t="shared" si="7"/>
        <v>5.9882583170254406</v>
      </c>
      <c r="BB10" s="77">
        <f t="shared" si="8"/>
        <v>19.851272015655582</v>
      </c>
      <c r="BC10" s="77">
        <f t="shared" si="9"/>
        <v>4.2045009784735816</v>
      </c>
      <c r="BD10" s="77">
        <f t="shared" si="10"/>
        <v>0.91095890410958913</v>
      </c>
      <c r="BE10" s="77">
        <f t="shared" si="11"/>
        <v>0.57534246575342463</v>
      </c>
      <c r="BF10" s="77">
        <f t="shared" si="12"/>
        <v>7.0176125244618399</v>
      </c>
      <c r="BG10" s="77">
        <f t="shared" si="13"/>
        <v>5.0812133072407049</v>
      </c>
      <c r="BH10" s="77">
        <f t="shared" si="14"/>
        <v>0.7142857142857143</v>
      </c>
      <c r="BI10" s="77">
        <f t="shared" si="15"/>
        <v>1.8659491193737772</v>
      </c>
      <c r="BJ10" s="77">
        <f t="shared" si="16"/>
        <v>7.0313111545988267</v>
      </c>
      <c r="BK10" s="77">
        <f t="shared" si="17"/>
        <v>3.2671232876712328</v>
      </c>
      <c r="BL10" s="77">
        <f t="shared" si="18"/>
        <v>1.7250489236790609</v>
      </c>
      <c r="BM10" s="77">
        <f t="shared" si="19"/>
        <v>25.439334637964777</v>
      </c>
      <c r="BN10" s="25"/>
    </row>
    <row r="11" spans="1:66" ht="12.5" x14ac:dyDescent="0.25">
      <c r="A11" s="51" t="s">
        <v>172</v>
      </c>
      <c r="B11" s="68">
        <v>8</v>
      </c>
      <c r="C11" s="18">
        <v>435</v>
      </c>
      <c r="D11" s="18">
        <v>2284</v>
      </c>
      <c r="E11" s="18">
        <v>418</v>
      </c>
      <c r="F11" s="18">
        <v>1210</v>
      </c>
      <c r="G11" s="18">
        <v>8053</v>
      </c>
      <c r="I11" s="18">
        <v>3024</v>
      </c>
      <c r="J11" s="18">
        <v>1024</v>
      </c>
      <c r="K11" s="18">
        <v>256</v>
      </c>
      <c r="L11" s="18">
        <v>133</v>
      </c>
      <c r="M11" s="18">
        <v>2304</v>
      </c>
      <c r="N11" s="18">
        <v>1664</v>
      </c>
      <c r="O11" s="18">
        <v>517</v>
      </c>
      <c r="P11" s="18">
        <v>451</v>
      </c>
      <c r="Q11" s="18">
        <v>1179</v>
      </c>
      <c r="R11" s="18">
        <v>549</v>
      </c>
      <c r="S11" s="18">
        <v>446</v>
      </c>
      <c r="T11" s="18">
        <v>13321</v>
      </c>
      <c r="U11" s="18">
        <v>23821</v>
      </c>
      <c r="V11" s="81">
        <v>61089</v>
      </c>
      <c r="X11" s="29" t="s">
        <v>116</v>
      </c>
      <c r="Y11" s="56">
        <f t="shared" si="0"/>
        <v>0.435</v>
      </c>
      <c r="Z11" s="56">
        <f t="shared" si="0"/>
        <v>2.2839999999999998</v>
      </c>
      <c r="AA11" s="56">
        <f t="shared" si="0"/>
        <v>0.41799999999999998</v>
      </c>
      <c r="AB11" s="56">
        <f t="shared" si="0"/>
        <v>1.21</v>
      </c>
      <c r="AC11" s="56">
        <f t="shared" si="0"/>
        <v>8.0530000000000008</v>
      </c>
      <c r="AD11" s="56">
        <f t="shared" si="0"/>
        <v>0</v>
      </c>
      <c r="AE11" s="56">
        <f t="shared" si="0"/>
        <v>3.024</v>
      </c>
      <c r="AF11" s="56">
        <f t="shared" si="0"/>
        <v>1.024</v>
      </c>
      <c r="AG11" s="56">
        <f t="shared" si="0"/>
        <v>0.25600000000000001</v>
      </c>
      <c r="AH11" s="56">
        <f t="shared" si="0"/>
        <v>0.13300000000000001</v>
      </c>
      <c r="AI11" s="56">
        <f t="shared" si="0"/>
        <v>2.3039999999999998</v>
      </c>
      <c r="AJ11" s="56">
        <f t="shared" si="0"/>
        <v>1.6639999999999999</v>
      </c>
      <c r="AK11" s="56">
        <f t="shared" si="0"/>
        <v>0.51700000000000002</v>
      </c>
      <c r="AL11" s="56">
        <f t="shared" si="0"/>
        <v>0.45100000000000001</v>
      </c>
      <c r="AM11" s="56">
        <f t="shared" si="0"/>
        <v>1.179</v>
      </c>
      <c r="AN11" s="56">
        <f t="shared" si="0"/>
        <v>0.54900000000000004</v>
      </c>
      <c r="AO11" s="56">
        <f t="shared" si="1"/>
        <v>0.44600000000000001</v>
      </c>
      <c r="AP11" s="56">
        <f t="shared" si="1"/>
        <v>13.321</v>
      </c>
      <c r="AQ11" s="56">
        <f t="shared" si="1"/>
        <v>23.821000000000002</v>
      </c>
      <c r="AR11" s="56">
        <f t="shared" si="1"/>
        <v>61.088999999999999</v>
      </c>
      <c r="AT11" s="26"/>
      <c r="AU11" s="31" t="s">
        <v>116</v>
      </c>
      <c r="AV11" s="77">
        <f t="shared" si="3"/>
        <v>1.1672212085435225</v>
      </c>
      <c r="AW11" s="77">
        <f t="shared" si="20"/>
        <v>6.1285821616400122</v>
      </c>
      <c r="AX11" s="77">
        <f t="shared" si="4"/>
        <v>1.1216056670602124</v>
      </c>
      <c r="AY11" s="77">
        <f t="shared" si="5"/>
        <v>3.2467532467532463</v>
      </c>
      <c r="AZ11" s="77">
        <f t="shared" si="6"/>
        <v>21.608350327358593</v>
      </c>
      <c r="BA11" s="77"/>
      <c r="BB11" s="77">
        <f t="shared" si="8"/>
        <v>8.1141998497370409</v>
      </c>
      <c r="BC11" s="77">
        <f t="shared" si="9"/>
        <v>2.7476655575829132</v>
      </c>
      <c r="BD11" s="77">
        <f t="shared" si="10"/>
        <v>0.6869163893957283</v>
      </c>
      <c r="BE11" s="77">
        <f t="shared" si="11"/>
        <v>0.35687453042824946</v>
      </c>
      <c r="BF11" s="77">
        <f t="shared" si="12"/>
        <v>6.1822475045615537</v>
      </c>
      <c r="BG11" s="77">
        <f t="shared" si="13"/>
        <v>4.4649565310722332</v>
      </c>
      <c r="BH11" s="77">
        <f t="shared" si="14"/>
        <v>1.3872491145218417</v>
      </c>
      <c r="BI11" s="77">
        <f t="shared" si="15"/>
        <v>1.2101534828807556</v>
      </c>
      <c r="BJ11" s="77">
        <f t="shared" si="16"/>
        <v>3.163571965224858</v>
      </c>
      <c r="BK11" s="77">
        <f t="shared" si="17"/>
        <v>1.473113663196308</v>
      </c>
      <c r="BL11" s="77">
        <f t="shared" si="18"/>
        <v>1.1967371471503703</v>
      </c>
      <c r="BM11" s="77">
        <f t="shared" si="19"/>
        <v>35.743801652892557</v>
      </c>
      <c r="BN11" s="25"/>
    </row>
    <row r="12" spans="1:66" ht="12.5" x14ac:dyDescent="0.25">
      <c r="A12" s="51" t="s">
        <v>117</v>
      </c>
      <c r="B12" s="68">
        <v>9</v>
      </c>
      <c r="C12" s="18">
        <v>552</v>
      </c>
      <c r="D12" s="18">
        <v>1925</v>
      </c>
      <c r="E12" s="18">
        <v>84</v>
      </c>
      <c r="F12" s="18">
        <v>485</v>
      </c>
      <c r="G12" s="18">
        <v>25630</v>
      </c>
      <c r="H12" s="18">
        <v>1120</v>
      </c>
      <c r="J12" s="18">
        <v>755</v>
      </c>
      <c r="K12" s="18">
        <v>244</v>
      </c>
      <c r="L12" s="18">
        <v>352</v>
      </c>
      <c r="M12" s="18">
        <v>1680</v>
      </c>
      <c r="N12" s="18">
        <v>2466</v>
      </c>
      <c r="O12" s="18">
        <v>214</v>
      </c>
      <c r="P12" s="18">
        <v>836</v>
      </c>
      <c r="Q12" s="18">
        <v>3291</v>
      </c>
      <c r="R12" s="18">
        <v>2914</v>
      </c>
      <c r="S12" s="18">
        <v>740</v>
      </c>
      <c r="T12" s="18">
        <v>12373</v>
      </c>
      <c r="U12" s="18">
        <v>78692</v>
      </c>
      <c r="V12" s="81">
        <v>134353</v>
      </c>
      <c r="X12" s="29" t="s">
        <v>117</v>
      </c>
      <c r="Y12" s="56">
        <f t="shared" si="0"/>
        <v>0.55200000000000005</v>
      </c>
      <c r="Z12" s="56">
        <f t="shared" si="0"/>
        <v>1.925</v>
      </c>
      <c r="AA12" s="56">
        <f t="shared" si="0"/>
        <v>8.4000000000000005E-2</v>
      </c>
      <c r="AB12" s="56">
        <f t="shared" si="0"/>
        <v>0.48499999999999999</v>
      </c>
      <c r="AC12" s="56">
        <f t="shared" si="0"/>
        <v>25.63</v>
      </c>
      <c r="AD12" s="56">
        <f t="shared" si="0"/>
        <v>1.1200000000000001</v>
      </c>
      <c r="AE12" s="56">
        <f t="shared" si="0"/>
        <v>0</v>
      </c>
      <c r="AF12" s="56">
        <f t="shared" si="0"/>
        <v>0.755</v>
      </c>
      <c r="AG12" s="56">
        <f t="shared" si="0"/>
        <v>0.24399999999999999</v>
      </c>
      <c r="AH12" s="56">
        <f t="shared" si="0"/>
        <v>0.35199999999999998</v>
      </c>
      <c r="AI12" s="56">
        <f t="shared" si="0"/>
        <v>1.68</v>
      </c>
      <c r="AJ12" s="56">
        <f t="shared" si="0"/>
        <v>2.4660000000000002</v>
      </c>
      <c r="AK12" s="56">
        <f t="shared" si="0"/>
        <v>0.214</v>
      </c>
      <c r="AL12" s="56">
        <f t="shared" si="0"/>
        <v>0.83599999999999997</v>
      </c>
      <c r="AM12" s="56">
        <f t="shared" si="0"/>
        <v>3.2909999999999999</v>
      </c>
      <c r="AN12" s="56">
        <f t="shared" si="0"/>
        <v>2.9140000000000001</v>
      </c>
      <c r="AO12" s="56">
        <f t="shared" si="1"/>
        <v>0.74</v>
      </c>
      <c r="AP12" s="56">
        <f t="shared" si="1"/>
        <v>12.372999999999999</v>
      </c>
      <c r="AQ12" s="56">
        <f t="shared" si="1"/>
        <v>78.691999999999993</v>
      </c>
      <c r="AR12" s="56">
        <f t="shared" si="1"/>
        <v>134.35300000000001</v>
      </c>
      <c r="AT12" s="26"/>
      <c r="AU12" s="31" t="s">
        <v>117</v>
      </c>
      <c r="AV12" s="77">
        <f t="shared" si="3"/>
        <v>0.99171771976788081</v>
      </c>
      <c r="AW12" s="77">
        <f t="shared" si="20"/>
        <v>3.4584358886832796</v>
      </c>
      <c r="AX12" s="77">
        <f t="shared" si="4"/>
        <v>0.15091356605163403</v>
      </c>
      <c r="AY12" s="77">
        <f t="shared" si="5"/>
        <v>0.87134618494098204</v>
      </c>
      <c r="AZ12" s="77">
        <f t="shared" si="6"/>
        <v>46.046603546468809</v>
      </c>
      <c r="BA12" s="77">
        <f t="shared" si="7"/>
        <v>2.0121808806884536</v>
      </c>
      <c r="BB12" s="77"/>
      <c r="BC12" s="77">
        <f t="shared" si="9"/>
        <v>1.356425504392663</v>
      </c>
      <c r="BD12" s="77">
        <f t="shared" si="10"/>
        <v>0.43836797757855595</v>
      </c>
      <c r="BE12" s="77">
        <f t="shared" si="11"/>
        <v>0.63239970535922818</v>
      </c>
      <c r="BF12" s="77">
        <f t="shared" si="12"/>
        <v>3.0182713210326799</v>
      </c>
      <c r="BG12" s="77">
        <f t="shared" si="13"/>
        <v>4.4303911176586848</v>
      </c>
      <c r="BH12" s="77">
        <f t="shared" si="14"/>
        <v>0.38447027541725809</v>
      </c>
      <c r="BI12" s="77">
        <f t="shared" si="15"/>
        <v>1.501949300228167</v>
      </c>
      <c r="BJ12" s="77">
        <f t="shared" si="16"/>
        <v>5.9125779270943752</v>
      </c>
      <c r="BK12" s="77">
        <f t="shared" si="17"/>
        <v>5.2352634699340657</v>
      </c>
      <c r="BL12" s="77">
        <f t="shared" si="18"/>
        <v>1.3294766533120139</v>
      </c>
      <c r="BM12" s="77">
        <f t="shared" si="19"/>
        <v>22.229208961391279</v>
      </c>
      <c r="BN12" s="25"/>
    </row>
    <row r="13" spans="1:66" ht="12.5" x14ac:dyDescent="0.25">
      <c r="A13" s="51" t="s">
        <v>25</v>
      </c>
      <c r="B13" s="68">
        <v>10</v>
      </c>
      <c r="C13" s="18">
        <v>97</v>
      </c>
      <c r="D13" s="18">
        <v>1285</v>
      </c>
      <c r="E13" s="18">
        <v>205</v>
      </c>
      <c r="F13" s="18">
        <v>427</v>
      </c>
      <c r="G13" s="18">
        <v>6017</v>
      </c>
      <c r="H13" s="18">
        <v>718</v>
      </c>
      <c r="I13" s="18">
        <v>1661</v>
      </c>
      <c r="K13" s="18">
        <v>873</v>
      </c>
      <c r="L13" s="18">
        <v>223</v>
      </c>
      <c r="M13" s="18">
        <v>4932</v>
      </c>
      <c r="N13" s="18">
        <v>1037</v>
      </c>
      <c r="O13" s="18">
        <v>435</v>
      </c>
      <c r="P13" s="18">
        <v>1023</v>
      </c>
      <c r="Q13" s="18">
        <v>1020</v>
      </c>
      <c r="R13" s="18">
        <v>661</v>
      </c>
      <c r="S13" s="18">
        <v>343</v>
      </c>
      <c r="T13" s="18">
        <v>4993</v>
      </c>
      <c r="U13" s="18">
        <v>19588</v>
      </c>
      <c r="V13" s="81">
        <v>45538</v>
      </c>
      <c r="X13" s="29" t="s">
        <v>25</v>
      </c>
      <c r="Y13" s="56">
        <f t="shared" si="0"/>
        <v>9.7000000000000003E-2</v>
      </c>
      <c r="Z13" s="56">
        <f t="shared" si="0"/>
        <v>1.2849999999999999</v>
      </c>
      <c r="AA13" s="56">
        <f t="shared" si="0"/>
        <v>0.20499999999999999</v>
      </c>
      <c r="AB13" s="56">
        <f t="shared" si="0"/>
        <v>0.42699999999999999</v>
      </c>
      <c r="AC13" s="56">
        <f t="shared" si="0"/>
        <v>6.0170000000000003</v>
      </c>
      <c r="AD13" s="56">
        <f t="shared" si="0"/>
        <v>0.71799999999999997</v>
      </c>
      <c r="AE13" s="56">
        <f t="shared" si="0"/>
        <v>1.661</v>
      </c>
      <c r="AF13" s="56">
        <f t="shared" si="0"/>
        <v>0</v>
      </c>
      <c r="AG13" s="56">
        <f t="shared" si="0"/>
        <v>0.873</v>
      </c>
      <c r="AH13" s="56">
        <f t="shared" si="0"/>
        <v>0.223</v>
      </c>
      <c r="AI13" s="56">
        <f t="shared" si="0"/>
        <v>4.9320000000000004</v>
      </c>
      <c r="AJ13" s="56">
        <f t="shared" si="0"/>
        <v>1.0369999999999999</v>
      </c>
      <c r="AK13" s="56">
        <f t="shared" si="0"/>
        <v>0.435</v>
      </c>
      <c r="AL13" s="56">
        <f t="shared" si="0"/>
        <v>1.0229999999999999</v>
      </c>
      <c r="AM13" s="56">
        <f t="shared" si="0"/>
        <v>1.02</v>
      </c>
      <c r="AN13" s="56">
        <f t="shared" si="0"/>
        <v>0.66100000000000003</v>
      </c>
      <c r="AO13" s="56">
        <f t="shared" si="1"/>
        <v>0.34300000000000003</v>
      </c>
      <c r="AP13" s="56">
        <f t="shared" si="1"/>
        <v>4.9930000000000003</v>
      </c>
      <c r="AQ13" s="56">
        <f t="shared" si="1"/>
        <v>19.588000000000001</v>
      </c>
      <c r="AR13" s="56">
        <f t="shared" si="1"/>
        <v>45.537999999999997</v>
      </c>
      <c r="AT13" s="26"/>
      <c r="AU13" s="31" t="s">
        <v>25</v>
      </c>
      <c r="AV13" s="77">
        <f t="shared" si="3"/>
        <v>0.37379576107899803</v>
      </c>
      <c r="AW13" s="77">
        <f t="shared" si="20"/>
        <v>4.9518304431599223</v>
      </c>
      <c r="AX13" s="77">
        <f t="shared" si="4"/>
        <v>0.78998073217726383</v>
      </c>
      <c r="AY13" s="77">
        <f t="shared" si="5"/>
        <v>1.6454720616570324</v>
      </c>
      <c r="AZ13" s="77">
        <f t="shared" si="6"/>
        <v>23.186897880539497</v>
      </c>
      <c r="BA13" s="77">
        <f t="shared" si="7"/>
        <v>2.7668593448940264</v>
      </c>
      <c r="BB13" s="77">
        <f t="shared" si="8"/>
        <v>6.4007707129094413</v>
      </c>
      <c r="BC13" s="77"/>
      <c r="BD13" s="77">
        <f t="shared" si="10"/>
        <v>3.3641618497109822</v>
      </c>
      <c r="BE13" s="77">
        <f t="shared" si="11"/>
        <v>0.85934489402697489</v>
      </c>
      <c r="BF13" s="77">
        <f t="shared" si="12"/>
        <v>19.005780346820806</v>
      </c>
      <c r="BG13" s="77">
        <f t="shared" si="13"/>
        <v>3.9961464354527929</v>
      </c>
      <c r="BH13" s="77">
        <f t="shared" si="14"/>
        <v>1.676300578034682</v>
      </c>
      <c r="BI13" s="77">
        <f t="shared" si="15"/>
        <v>3.942196531791907</v>
      </c>
      <c r="BJ13" s="77">
        <f t="shared" si="16"/>
        <v>3.9306358381502884</v>
      </c>
      <c r="BK13" s="77">
        <f t="shared" si="17"/>
        <v>2.5472061657032756</v>
      </c>
      <c r="BL13" s="77">
        <f t="shared" si="18"/>
        <v>1.3217726396917147</v>
      </c>
      <c r="BM13" s="77">
        <f t="shared" si="19"/>
        <v>19.240847784200383</v>
      </c>
      <c r="BN13" s="25"/>
    </row>
    <row r="14" spans="1:66" ht="12.5" x14ac:dyDescent="0.25">
      <c r="A14" s="51" t="s">
        <v>118</v>
      </c>
      <c r="B14" s="68">
        <v>11</v>
      </c>
      <c r="C14" s="18">
        <v>64</v>
      </c>
      <c r="D14" s="18">
        <v>572</v>
      </c>
      <c r="E14" s="18">
        <v>122</v>
      </c>
      <c r="F14" s="18">
        <v>210</v>
      </c>
      <c r="G14" s="18">
        <v>2089</v>
      </c>
      <c r="H14" s="18">
        <v>339</v>
      </c>
      <c r="I14" s="18">
        <v>735</v>
      </c>
      <c r="J14" s="18">
        <v>2241</v>
      </c>
      <c r="L14" s="18">
        <v>289</v>
      </c>
      <c r="M14" s="18">
        <v>3667</v>
      </c>
      <c r="N14" s="18">
        <v>672</v>
      </c>
      <c r="O14" s="18">
        <v>278</v>
      </c>
      <c r="P14" s="18">
        <v>389</v>
      </c>
      <c r="Q14" s="18">
        <v>771</v>
      </c>
      <c r="R14" s="18">
        <v>211</v>
      </c>
      <c r="S14" s="18">
        <v>222</v>
      </c>
      <c r="T14" s="18">
        <v>3924</v>
      </c>
      <c r="U14" s="18">
        <v>7541</v>
      </c>
      <c r="V14" s="81">
        <v>24336</v>
      </c>
      <c r="X14" s="29" t="s">
        <v>118</v>
      </c>
      <c r="Y14" s="56">
        <f t="shared" si="0"/>
        <v>6.4000000000000001E-2</v>
      </c>
      <c r="Z14" s="56">
        <f t="shared" si="0"/>
        <v>0.57199999999999995</v>
      </c>
      <c r="AA14" s="56">
        <f t="shared" si="0"/>
        <v>0.122</v>
      </c>
      <c r="AB14" s="56">
        <f t="shared" si="0"/>
        <v>0.21</v>
      </c>
      <c r="AC14" s="56">
        <f t="shared" si="0"/>
        <v>2.089</v>
      </c>
      <c r="AD14" s="56">
        <f t="shared" si="0"/>
        <v>0.33900000000000002</v>
      </c>
      <c r="AE14" s="56">
        <f t="shared" si="0"/>
        <v>0.73499999999999999</v>
      </c>
      <c r="AF14" s="56">
        <f t="shared" si="0"/>
        <v>2.2410000000000001</v>
      </c>
      <c r="AG14" s="56">
        <f t="shared" si="0"/>
        <v>0</v>
      </c>
      <c r="AH14" s="56">
        <f t="shared" si="0"/>
        <v>0.28899999999999998</v>
      </c>
      <c r="AI14" s="56">
        <f t="shared" si="0"/>
        <v>3.6669999999999998</v>
      </c>
      <c r="AJ14" s="56">
        <f t="shared" si="0"/>
        <v>0.67200000000000004</v>
      </c>
      <c r="AK14" s="56">
        <f t="shared" si="0"/>
        <v>0.27800000000000002</v>
      </c>
      <c r="AL14" s="56">
        <f t="shared" si="0"/>
        <v>0.38900000000000001</v>
      </c>
      <c r="AM14" s="56">
        <f t="shared" si="0"/>
        <v>0.77100000000000002</v>
      </c>
      <c r="AN14" s="56">
        <f t="shared" si="0"/>
        <v>0.21099999999999999</v>
      </c>
      <c r="AO14" s="56">
        <f t="shared" si="1"/>
        <v>0.222</v>
      </c>
      <c r="AP14" s="56">
        <f t="shared" si="1"/>
        <v>3.9239999999999999</v>
      </c>
      <c r="AQ14" s="56">
        <f t="shared" si="1"/>
        <v>7.5410000000000004</v>
      </c>
      <c r="AR14" s="56">
        <f t="shared" si="1"/>
        <v>24.335999999999999</v>
      </c>
      <c r="AT14" s="26"/>
      <c r="AU14" s="31" t="s">
        <v>118</v>
      </c>
      <c r="AV14" s="77">
        <f t="shared" si="3"/>
        <v>0.38106579339089008</v>
      </c>
      <c r="AW14" s="77">
        <f t="shared" si="20"/>
        <v>3.40577552843108</v>
      </c>
      <c r="AX14" s="77">
        <f t="shared" si="4"/>
        <v>0.72640666865138426</v>
      </c>
      <c r="AY14" s="77">
        <f t="shared" si="5"/>
        <v>1.2503721345638581</v>
      </c>
      <c r="AZ14" s="77">
        <f t="shared" si="6"/>
        <v>12.438225662399523</v>
      </c>
      <c r="BA14" s="77">
        <f t="shared" si="7"/>
        <v>2.0184578743673711</v>
      </c>
      <c r="BB14" s="77">
        <f t="shared" si="8"/>
        <v>4.3763024709735028</v>
      </c>
      <c r="BC14" s="77">
        <f t="shared" si="9"/>
        <v>13.343256921702887</v>
      </c>
      <c r="BD14" s="77"/>
      <c r="BE14" s="77">
        <f t="shared" si="11"/>
        <v>1.7207502232807381</v>
      </c>
      <c r="BF14" s="77">
        <f t="shared" si="12"/>
        <v>21.833879130693656</v>
      </c>
      <c r="BG14" s="77">
        <f t="shared" si="13"/>
        <v>4.0011908306043464</v>
      </c>
      <c r="BH14" s="77">
        <f t="shared" si="14"/>
        <v>1.6552545400416792</v>
      </c>
      <c r="BI14" s="77">
        <f t="shared" si="15"/>
        <v>2.3161655254540041</v>
      </c>
      <c r="BJ14" s="77">
        <f t="shared" si="16"/>
        <v>4.5906519797558794</v>
      </c>
      <c r="BK14" s="77">
        <f t="shared" si="17"/>
        <v>1.2563262875855907</v>
      </c>
      <c r="BL14" s="77">
        <f t="shared" si="18"/>
        <v>1.3218219708246501</v>
      </c>
      <c r="BM14" s="77">
        <f t="shared" si="19"/>
        <v>23.364096457278947</v>
      </c>
      <c r="BN14" s="25"/>
    </row>
    <row r="15" spans="1:66" ht="12.5" x14ac:dyDescent="0.25">
      <c r="A15" s="51" t="s">
        <v>119</v>
      </c>
      <c r="B15" s="68">
        <v>12</v>
      </c>
      <c r="C15" s="18">
        <v>43</v>
      </c>
      <c r="D15" s="18">
        <v>319</v>
      </c>
      <c r="E15" s="18">
        <v>57</v>
      </c>
      <c r="F15" s="18">
        <v>531</v>
      </c>
      <c r="G15" s="18">
        <v>1448</v>
      </c>
      <c r="H15" s="18">
        <v>282</v>
      </c>
      <c r="I15" s="18">
        <v>921</v>
      </c>
      <c r="J15" s="18">
        <v>309</v>
      </c>
      <c r="K15" s="18">
        <v>403</v>
      </c>
      <c r="M15" s="18">
        <v>1016</v>
      </c>
      <c r="N15" s="18">
        <v>403</v>
      </c>
      <c r="O15" s="18">
        <v>271</v>
      </c>
      <c r="P15" s="18">
        <v>223</v>
      </c>
      <c r="Q15" s="18">
        <v>791</v>
      </c>
      <c r="R15" s="18">
        <v>200</v>
      </c>
      <c r="S15" s="18">
        <v>165</v>
      </c>
      <c r="T15" s="18">
        <v>1420</v>
      </c>
      <c r="U15" s="18">
        <v>3689</v>
      </c>
      <c r="V15" s="81">
        <v>12491</v>
      </c>
      <c r="X15" s="29" t="s">
        <v>119</v>
      </c>
      <c r="Y15" s="56">
        <f t="shared" si="0"/>
        <v>4.2999999999999997E-2</v>
      </c>
      <c r="Z15" s="56">
        <f t="shared" si="0"/>
        <v>0.31900000000000001</v>
      </c>
      <c r="AA15" s="56">
        <f t="shared" si="0"/>
        <v>5.7000000000000002E-2</v>
      </c>
      <c r="AB15" s="56">
        <f t="shared" si="0"/>
        <v>0.53100000000000003</v>
      </c>
      <c r="AC15" s="56">
        <f t="shared" si="0"/>
        <v>1.448</v>
      </c>
      <c r="AD15" s="56">
        <f t="shared" si="0"/>
        <v>0.28199999999999997</v>
      </c>
      <c r="AE15" s="56">
        <f t="shared" si="0"/>
        <v>0.92100000000000004</v>
      </c>
      <c r="AF15" s="56">
        <f t="shared" si="0"/>
        <v>0.309</v>
      </c>
      <c r="AG15" s="56">
        <f t="shared" si="0"/>
        <v>0.40300000000000002</v>
      </c>
      <c r="AH15" s="56">
        <f t="shared" si="0"/>
        <v>0</v>
      </c>
      <c r="AI15" s="56">
        <f t="shared" si="0"/>
        <v>1.016</v>
      </c>
      <c r="AJ15" s="56">
        <f t="shared" si="0"/>
        <v>0.40300000000000002</v>
      </c>
      <c r="AK15" s="56">
        <f t="shared" si="0"/>
        <v>0.27100000000000002</v>
      </c>
      <c r="AL15" s="56">
        <f t="shared" si="0"/>
        <v>0.223</v>
      </c>
      <c r="AM15" s="56">
        <f t="shared" si="0"/>
        <v>0.79100000000000004</v>
      </c>
      <c r="AN15" s="56">
        <f t="shared" si="0"/>
        <v>0.2</v>
      </c>
      <c r="AO15" s="56">
        <f t="shared" si="1"/>
        <v>0.16500000000000001</v>
      </c>
      <c r="AP15" s="56">
        <f t="shared" si="1"/>
        <v>1.42</v>
      </c>
      <c r="AQ15" s="56">
        <f t="shared" si="1"/>
        <v>3.6890000000000001</v>
      </c>
      <c r="AR15" s="56">
        <f t="shared" si="1"/>
        <v>12.491</v>
      </c>
      <c r="AT15" s="26"/>
      <c r="AU15" s="31" t="s">
        <v>119</v>
      </c>
      <c r="AV15" s="77">
        <f t="shared" si="3"/>
        <v>0.48852533515110191</v>
      </c>
      <c r="AW15" s="77">
        <f t="shared" si="20"/>
        <v>3.6241763235628262</v>
      </c>
      <c r="AX15" s="77">
        <f t="shared" si="4"/>
        <v>0.64758009543285611</v>
      </c>
      <c r="AY15" s="77">
        <f t="shared" si="5"/>
        <v>6.0327198364008172</v>
      </c>
      <c r="AZ15" s="77">
        <f t="shared" si="6"/>
        <v>16.450806634855709</v>
      </c>
      <c r="BA15" s="77">
        <f t="shared" si="7"/>
        <v>3.203817314246761</v>
      </c>
      <c r="BB15" s="77">
        <f t="shared" si="8"/>
        <v>10.463531015678255</v>
      </c>
      <c r="BC15" s="77">
        <f t="shared" si="9"/>
        <v>3.5105657805044301</v>
      </c>
      <c r="BD15" s="77">
        <f t="shared" si="10"/>
        <v>4.5785048852533512</v>
      </c>
      <c r="BE15" s="77"/>
      <c r="BF15" s="77">
        <f t="shared" si="12"/>
        <v>11.542831174733013</v>
      </c>
      <c r="BG15" s="77">
        <f t="shared" si="13"/>
        <v>4.5785048852533512</v>
      </c>
      <c r="BH15" s="77">
        <f t="shared" si="14"/>
        <v>3.0788457168825265</v>
      </c>
      <c r="BI15" s="77">
        <f t="shared" si="15"/>
        <v>2.5335151102022264</v>
      </c>
      <c r="BJ15" s="77">
        <f t="shared" si="16"/>
        <v>8.9865939559191084</v>
      </c>
      <c r="BK15" s="77">
        <f t="shared" si="17"/>
        <v>2.2722108611679159</v>
      </c>
      <c r="BL15" s="77">
        <f t="shared" si="18"/>
        <v>1.8745739604635308</v>
      </c>
      <c r="BM15" s="77">
        <f t="shared" si="19"/>
        <v>16.132697114292203</v>
      </c>
      <c r="BN15" s="25"/>
    </row>
    <row r="16" spans="1:66" ht="12.5" x14ac:dyDescent="0.25">
      <c r="A16" s="51" t="s">
        <v>120</v>
      </c>
      <c r="B16" s="68">
        <v>13</v>
      </c>
      <c r="C16" s="18">
        <v>596</v>
      </c>
      <c r="D16" s="18">
        <v>5816</v>
      </c>
      <c r="E16" s="18">
        <v>1022</v>
      </c>
      <c r="F16" s="18">
        <v>2455</v>
      </c>
      <c r="G16" s="18">
        <v>12257</v>
      </c>
      <c r="H16" s="18">
        <v>2069</v>
      </c>
      <c r="I16" s="18">
        <v>4647</v>
      </c>
      <c r="J16" s="18">
        <v>5002</v>
      </c>
      <c r="K16" s="18">
        <v>2484</v>
      </c>
      <c r="L16" s="18">
        <v>878</v>
      </c>
      <c r="N16" s="18">
        <v>2114</v>
      </c>
      <c r="O16" s="18">
        <v>1376</v>
      </c>
      <c r="P16" s="18">
        <v>2309</v>
      </c>
      <c r="Q16" s="18">
        <v>4058</v>
      </c>
      <c r="R16" s="18">
        <v>1243</v>
      </c>
      <c r="S16" s="18">
        <v>812</v>
      </c>
      <c r="T16" s="18">
        <v>10086</v>
      </c>
      <c r="U16" s="18">
        <v>37242</v>
      </c>
      <c r="V16" s="81">
        <v>96466</v>
      </c>
      <c r="X16" s="29" t="s">
        <v>120</v>
      </c>
      <c r="Y16" s="56">
        <f t="shared" si="0"/>
        <v>0.59599999999999997</v>
      </c>
      <c r="Z16" s="56">
        <f t="shared" si="0"/>
        <v>5.8159999999999998</v>
      </c>
      <c r="AA16" s="56">
        <f t="shared" si="0"/>
        <v>1.022</v>
      </c>
      <c r="AB16" s="56">
        <f t="shared" si="0"/>
        <v>2.4550000000000001</v>
      </c>
      <c r="AC16" s="56">
        <f t="shared" si="0"/>
        <v>12.257</v>
      </c>
      <c r="AD16" s="56">
        <f t="shared" si="0"/>
        <v>2.069</v>
      </c>
      <c r="AE16" s="56">
        <f t="shared" si="0"/>
        <v>4.6470000000000002</v>
      </c>
      <c r="AF16" s="56">
        <f t="shared" si="0"/>
        <v>5.0019999999999998</v>
      </c>
      <c r="AG16" s="56">
        <f t="shared" si="0"/>
        <v>2.484</v>
      </c>
      <c r="AH16" s="56">
        <f t="shared" si="0"/>
        <v>0.878</v>
      </c>
      <c r="AI16" s="56">
        <f t="shared" si="0"/>
        <v>0</v>
      </c>
      <c r="AJ16" s="56">
        <f t="shared" si="0"/>
        <v>2.1139999999999999</v>
      </c>
      <c r="AK16" s="56">
        <f t="shared" si="0"/>
        <v>1.3759999999999999</v>
      </c>
      <c r="AL16" s="56">
        <f t="shared" si="0"/>
        <v>2.3090000000000002</v>
      </c>
      <c r="AM16" s="56">
        <f t="shared" si="0"/>
        <v>4.0579999999999998</v>
      </c>
      <c r="AN16" s="56">
        <f t="shared" si="0"/>
        <v>1.2430000000000001</v>
      </c>
      <c r="AO16" s="56">
        <f t="shared" si="1"/>
        <v>0.81200000000000006</v>
      </c>
      <c r="AP16" s="56">
        <f t="shared" si="1"/>
        <v>10.086</v>
      </c>
      <c r="AQ16" s="56">
        <f t="shared" si="1"/>
        <v>37.241999999999997</v>
      </c>
      <c r="AR16" s="56">
        <f t="shared" si="1"/>
        <v>96.465999999999994</v>
      </c>
      <c r="AT16" s="26"/>
      <c r="AU16" s="31" t="s">
        <v>120</v>
      </c>
      <c r="AV16" s="77">
        <f t="shared" si="3"/>
        <v>1.0063487775226259</v>
      </c>
      <c r="AW16" s="77">
        <f t="shared" si="20"/>
        <v>9.8203431041469678</v>
      </c>
      <c r="AX16" s="77">
        <f t="shared" si="4"/>
        <v>1.7256517627988652</v>
      </c>
      <c r="AY16" s="77">
        <f t="shared" si="5"/>
        <v>4.1452789409698774</v>
      </c>
      <c r="AZ16" s="77">
        <f t="shared" si="6"/>
        <v>20.696001620964473</v>
      </c>
      <c r="BA16" s="77">
        <f t="shared" si="7"/>
        <v>3.4935161421045526</v>
      </c>
      <c r="BB16" s="77">
        <f t="shared" si="8"/>
        <v>7.8464811562879921</v>
      </c>
      <c r="BC16" s="77">
        <f t="shared" si="9"/>
        <v>8.4459003106848574</v>
      </c>
      <c r="BD16" s="77">
        <f t="shared" si="10"/>
        <v>4.1942455761177904</v>
      </c>
      <c r="BE16" s="77">
        <f t="shared" si="11"/>
        <v>1.4825070917195733</v>
      </c>
      <c r="BF16" s="77"/>
      <c r="BG16" s="77">
        <f t="shared" si="13"/>
        <v>3.5694988518168311</v>
      </c>
      <c r="BH16" s="77">
        <f t="shared" si="14"/>
        <v>2.3233824125354583</v>
      </c>
      <c r="BI16" s="77">
        <f t="shared" si="15"/>
        <v>3.8987572605700396</v>
      </c>
      <c r="BJ16" s="77">
        <f t="shared" si="16"/>
        <v>6.8519519113872756</v>
      </c>
      <c r="BK16" s="77">
        <f t="shared" si="17"/>
        <v>2.098811292719168</v>
      </c>
      <c r="BL16" s="77">
        <f t="shared" si="18"/>
        <v>1.3710657841415645</v>
      </c>
      <c r="BM16" s="77">
        <f t="shared" si="19"/>
        <v>17.030258003512092</v>
      </c>
      <c r="BN16" s="25"/>
    </row>
    <row r="17" spans="1:66" ht="12.5" x14ac:dyDescent="0.25">
      <c r="A17" s="51" t="s">
        <v>173</v>
      </c>
      <c r="B17" s="68">
        <v>14</v>
      </c>
      <c r="C17" s="18">
        <v>505</v>
      </c>
      <c r="D17" s="18">
        <v>1672</v>
      </c>
      <c r="E17" s="18">
        <v>251</v>
      </c>
      <c r="F17" s="18">
        <v>1076</v>
      </c>
      <c r="G17" s="18">
        <v>7339</v>
      </c>
      <c r="H17" s="18">
        <v>1608</v>
      </c>
      <c r="I17" s="18">
        <v>4450</v>
      </c>
      <c r="J17" s="18">
        <v>1051</v>
      </c>
      <c r="K17" s="18">
        <v>395</v>
      </c>
      <c r="L17" s="18">
        <v>179</v>
      </c>
      <c r="M17" s="18">
        <v>1679</v>
      </c>
      <c r="O17" s="18">
        <v>350</v>
      </c>
      <c r="P17" s="18">
        <v>495</v>
      </c>
      <c r="Q17" s="18">
        <v>2130</v>
      </c>
      <c r="R17" s="18">
        <v>1033</v>
      </c>
      <c r="S17" s="18">
        <v>542</v>
      </c>
      <c r="T17" s="18">
        <v>9083</v>
      </c>
      <c r="U17" s="18">
        <v>27571</v>
      </c>
      <c r="V17" s="81">
        <v>61409</v>
      </c>
      <c r="X17" s="29" t="s">
        <v>121</v>
      </c>
      <c r="Y17" s="56">
        <f t="shared" si="0"/>
        <v>0.505</v>
      </c>
      <c r="Z17" s="56">
        <f t="shared" si="0"/>
        <v>1.6719999999999999</v>
      </c>
      <c r="AA17" s="56">
        <f t="shared" si="0"/>
        <v>0.251</v>
      </c>
      <c r="AB17" s="56">
        <f t="shared" si="0"/>
        <v>1.0760000000000001</v>
      </c>
      <c r="AC17" s="56">
        <f t="shared" si="0"/>
        <v>7.3390000000000004</v>
      </c>
      <c r="AD17" s="56">
        <f t="shared" si="0"/>
        <v>1.6080000000000001</v>
      </c>
      <c r="AE17" s="56">
        <f t="shared" si="0"/>
        <v>4.45</v>
      </c>
      <c r="AF17" s="56">
        <f t="shared" si="0"/>
        <v>1.0509999999999999</v>
      </c>
      <c r="AG17" s="56">
        <f t="shared" si="0"/>
        <v>0.39500000000000002</v>
      </c>
      <c r="AH17" s="56">
        <f t="shared" si="0"/>
        <v>0.17899999999999999</v>
      </c>
      <c r="AI17" s="56">
        <f t="shared" si="0"/>
        <v>1.679</v>
      </c>
      <c r="AJ17" s="56">
        <f t="shared" si="0"/>
        <v>0</v>
      </c>
      <c r="AK17" s="56">
        <f t="shared" si="0"/>
        <v>0.35</v>
      </c>
      <c r="AL17" s="56">
        <f t="shared" si="0"/>
        <v>0.495</v>
      </c>
      <c r="AM17" s="56">
        <f t="shared" si="0"/>
        <v>2.13</v>
      </c>
      <c r="AN17" s="56">
        <f t="shared" si="0"/>
        <v>1.0329999999999999</v>
      </c>
      <c r="AO17" s="56">
        <f t="shared" si="1"/>
        <v>0.54200000000000004</v>
      </c>
      <c r="AP17" s="56">
        <f t="shared" si="1"/>
        <v>9.0830000000000002</v>
      </c>
      <c r="AQ17" s="56">
        <f t="shared" si="1"/>
        <v>27.571000000000002</v>
      </c>
      <c r="AR17" s="56">
        <f t="shared" si="1"/>
        <v>61.408999999999999</v>
      </c>
      <c r="AT17" s="26"/>
      <c r="AU17" s="31" t="s">
        <v>121</v>
      </c>
      <c r="AV17" s="77">
        <f t="shared" si="3"/>
        <v>1.4924049884744961</v>
      </c>
      <c r="AW17" s="77">
        <f t="shared" si="20"/>
        <v>4.9411903776818953</v>
      </c>
      <c r="AX17" s="77">
        <f t="shared" si="4"/>
        <v>0.74176960813286841</v>
      </c>
      <c r="AY17" s="77">
        <f t="shared" si="5"/>
        <v>3.1798569655416991</v>
      </c>
      <c r="AZ17" s="77">
        <f t="shared" si="6"/>
        <v>21.688634080028372</v>
      </c>
      <c r="BA17" s="77">
        <f t="shared" si="7"/>
        <v>4.7520539038950291</v>
      </c>
      <c r="BB17" s="77">
        <f t="shared" si="8"/>
        <v>13.150895442993086</v>
      </c>
      <c r="BC17" s="77">
        <f t="shared" si="9"/>
        <v>3.1059755304687036</v>
      </c>
      <c r="BD17" s="77">
        <f t="shared" si="10"/>
        <v>1.1673266741533188</v>
      </c>
      <c r="BE17" s="77">
        <f t="shared" si="11"/>
        <v>0.52899107512264321</v>
      </c>
      <c r="BF17" s="77">
        <f t="shared" si="12"/>
        <v>4.9618771795023342</v>
      </c>
      <c r="BG17" s="77"/>
      <c r="BH17" s="77">
        <f t="shared" si="14"/>
        <v>1.034340091021928</v>
      </c>
      <c r="BI17" s="77">
        <f t="shared" si="15"/>
        <v>1.4628524144452981</v>
      </c>
      <c r="BJ17" s="77">
        <f t="shared" si="16"/>
        <v>6.294698268219161</v>
      </c>
      <c r="BK17" s="77">
        <f t="shared" si="17"/>
        <v>3.0527808972161474</v>
      </c>
      <c r="BL17" s="77">
        <f t="shared" si="18"/>
        <v>1.6017495123825287</v>
      </c>
      <c r="BM17" s="77">
        <f t="shared" si="19"/>
        <v>26.842602990720493</v>
      </c>
      <c r="BN17" s="25"/>
    </row>
    <row r="18" spans="1:66" ht="12.5" x14ac:dyDescent="0.25">
      <c r="A18" s="51" t="s">
        <v>122</v>
      </c>
      <c r="B18" s="68">
        <v>15</v>
      </c>
      <c r="C18" s="18">
        <v>291</v>
      </c>
      <c r="D18" s="18">
        <v>1818</v>
      </c>
      <c r="E18" s="18">
        <v>484</v>
      </c>
      <c r="F18" s="18">
        <v>1095</v>
      </c>
      <c r="G18" s="18">
        <v>5282</v>
      </c>
      <c r="H18" s="18">
        <v>1382</v>
      </c>
      <c r="I18" s="18">
        <v>2045</v>
      </c>
      <c r="J18" s="18">
        <v>2661</v>
      </c>
      <c r="K18" s="18">
        <v>1293</v>
      </c>
      <c r="L18" s="18">
        <v>534</v>
      </c>
      <c r="M18" s="18">
        <v>5678</v>
      </c>
      <c r="N18" s="18">
        <v>1820</v>
      </c>
      <c r="P18" s="18">
        <v>2189</v>
      </c>
      <c r="Q18" s="18">
        <v>6003</v>
      </c>
      <c r="R18" s="18">
        <v>1275</v>
      </c>
      <c r="S18" s="18">
        <v>906</v>
      </c>
      <c r="T18" s="18">
        <v>10293</v>
      </c>
      <c r="U18" s="18">
        <v>16548</v>
      </c>
      <c r="V18" s="81">
        <v>61597</v>
      </c>
      <c r="X18" s="29" t="s">
        <v>122</v>
      </c>
      <c r="Y18" s="56">
        <f t="shared" si="0"/>
        <v>0.29099999999999998</v>
      </c>
      <c r="Z18" s="56">
        <f t="shared" si="0"/>
        <v>1.8180000000000001</v>
      </c>
      <c r="AA18" s="56">
        <f t="shared" si="0"/>
        <v>0.48399999999999999</v>
      </c>
      <c r="AB18" s="56">
        <f t="shared" si="0"/>
        <v>1.095</v>
      </c>
      <c r="AC18" s="56">
        <f t="shared" si="0"/>
        <v>5.282</v>
      </c>
      <c r="AD18" s="56">
        <f t="shared" si="0"/>
        <v>1.3819999999999999</v>
      </c>
      <c r="AE18" s="56">
        <f t="shared" si="0"/>
        <v>2.0449999999999999</v>
      </c>
      <c r="AF18" s="56">
        <f t="shared" si="0"/>
        <v>2.661</v>
      </c>
      <c r="AG18" s="56">
        <f t="shared" si="0"/>
        <v>1.2929999999999999</v>
      </c>
      <c r="AH18" s="56">
        <f t="shared" si="0"/>
        <v>0.53400000000000003</v>
      </c>
      <c r="AI18" s="56">
        <f t="shared" si="0"/>
        <v>5.6779999999999999</v>
      </c>
      <c r="AJ18" s="56">
        <f t="shared" si="0"/>
        <v>1.82</v>
      </c>
      <c r="AK18" s="56">
        <f t="shared" si="0"/>
        <v>0</v>
      </c>
      <c r="AL18" s="56">
        <f t="shared" si="0"/>
        <v>2.1890000000000001</v>
      </c>
      <c r="AM18" s="56">
        <f t="shared" si="0"/>
        <v>6.0030000000000001</v>
      </c>
      <c r="AN18" s="56">
        <f t="shared" si="0"/>
        <v>1.2749999999999999</v>
      </c>
      <c r="AO18" s="56">
        <f t="shared" si="1"/>
        <v>0.90600000000000003</v>
      </c>
      <c r="AP18" s="56">
        <f t="shared" si="1"/>
        <v>10.292999999999999</v>
      </c>
      <c r="AQ18" s="56">
        <f t="shared" si="1"/>
        <v>16.547999999999998</v>
      </c>
      <c r="AR18" s="56">
        <f t="shared" si="1"/>
        <v>61.597000000000001</v>
      </c>
      <c r="AT18" s="26"/>
      <c r="AU18" s="31" t="s">
        <v>122</v>
      </c>
      <c r="AV18" s="77">
        <f t="shared" si="3"/>
        <v>0.64596328442362749</v>
      </c>
      <c r="AW18" s="77">
        <f t="shared" si="20"/>
        <v>4.0356056738218387</v>
      </c>
      <c r="AX18" s="77">
        <f t="shared" si="4"/>
        <v>1.0743856689382671</v>
      </c>
      <c r="AY18" s="77">
        <f t="shared" si="5"/>
        <v>2.430686585717774</v>
      </c>
      <c r="AZ18" s="77">
        <f t="shared" si="6"/>
        <v>11.72501054407423</v>
      </c>
      <c r="BA18" s="77">
        <f t="shared" si="7"/>
        <v>3.067770649736953</v>
      </c>
      <c r="BB18" s="77">
        <f t="shared" si="8"/>
        <v>4.5395014317742897</v>
      </c>
      <c r="BC18" s="77">
        <f t="shared" si="9"/>
        <v>5.9069013740593572</v>
      </c>
      <c r="BD18" s="77">
        <f t="shared" si="10"/>
        <v>2.870207995737974</v>
      </c>
      <c r="BE18" s="77">
        <f t="shared" si="11"/>
        <v>1.1853759239938735</v>
      </c>
      <c r="BF18" s="77">
        <f t="shared" si="12"/>
        <v>12.60405336411463</v>
      </c>
      <c r="BG18" s="77">
        <f t="shared" si="13"/>
        <v>4.040045284024063</v>
      </c>
      <c r="BH18" s="77"/>
      <c r="BI18" s="77">
        <f t="shared" si="15"/>
        <v>4.8591533663344357</v>
      </c>
      <c r="BJ18" s="77">
        <f t="shared" si="16"/>
        <v>13.325490021976073</v>
      </c>
      <c r="BK18" s="77">
        <f t="shared" si="17"/>
        <v>2.8302515039179559</v>
      </c>
      <c r="BL18" s="77">
        <f t="shared" si="18"/>
        <v>2.0111434216075827</v>
      </c>
      <c r="BM18" s="77">
        <f t="shared" si="19"/>
        <v>22.848453905747075</v>
      </c>
      <c r="BN18" s="25"/>
    </row>
    <row r="19" spans="1:66" ht="12.5" x14ac:dyDescent="0.25">
      <c r="A19" s="51" t="s">
        <v>123</v>
      </c>
      <c r="B19" s="68">
        <v>16</v>
      </c>
      <c r="C19" s="18">
        <v>231</v>
      </c>
      <c r="D19" s="18">
        <v>1039</v>
      </c>
      <c r="E19" s="18">
        <v>96</v>
      </c>
      <c r="F19" s="18">
        <v>609</v>
      </c>
      <c r="G19" s="18">
        <v>5656</v>
      </c>
      <c r="H19" s="18">
        <v>547</v>
      </c>
      <c r="I19" s="18">
        <v>2903</v>
      </c>
      <c r="J19" s="18">
        <v>1115</v>
      </c>
      <c r="K19" s="18">
        <v>308</v>
      </c>
      <c r="L19" s="18">
        <v>164</v>
      </c>
      <c r="M19" s="18">
        <v>2064</v>
      </c>
      <c r="N19" s="18">
        <v>773</v>
      </c>
      <c r="O19" s="18">
        <v>961</v>
      </c>
      <c r="Q19" s="18">
        <v>5594</v>
      </c>
      <c r="R19" s="18">
        <v>1378</v>
      </c>
      <c r="S19" s="18">
        <v>762</v>
      </c>
      <c r="T19" s="18">
        <v>3921</v>
      </c>
      <c r="U19" s="18">
        <v>26793</v>
      </c>
      <c r="V19" s="81">
        <v>54914</v>
      </c>
      <c r="X19" s="29" t="s">
        <v>123</v>
      </c>
      <c r="Y19" s="56">
        <f t="shared" si="0"/>
        <v>0.23100000000000001</v>
      </c>
      <c r="Z19" s="56">
        <f t="shared" si="0"/>
        <v>1.0389999999999999</v>
      </c>
      <c r="AA19" s="56">
        <f t="shared" si="0"/>
        <v>9.6000000000000002E-2</v>
      </c>
      <c r="AB19" s="56">
        <f t="shared" si="0"/>
        <v>0.60899999999999999</v>
      </c>
      <c r="AC19" s="56">
        <f t="shared" si="0"/>
        <v>5.6559999999999997</v>
      </c>
      <c r="AD19" s="56">
        <f t="shared" si="0"/>
        <v>0.54700000000000004</v>
      </c>
      <c r="AE19" s="56">
        <f t="shared" si="0"/>
        <v>2.903</v>
      </c>
      <c r="AF19" s="56">
        <f t="shared" si="0"/>
        <v>1.115</v>
      </c>
      <c r="AG19" s="56">
        <f t="shared" si="0"/>
        <v>0.308</v>
      </c>
      <c r="AH19" s="56">
        <f t="shared" si="0"/>
        <v>0.16400000000000001</v>
      </c>
      <c r="AI19" s="56">
        <f t="shared" si="0"/>
        <v>2.0640000000000001</v>
      </c>
      <c r="AJ19" s="56">
        <f t="shared" si="0"/>
        <v>0.77300000000000002</v>
      </c>
      <c r="AK19" s="56">
        <f t="shared" si="0"/>
        <v>0.96099999999999997</v>
      </c>
      <c r="AL19" s="56">
        <f t="shared" si="0"/>
        <v>0</v>
      </c>
      <c r="AM19" s="56">
        <f t="shared" si="0"/>
        <v>5.5940000000000003</v>
      </c>
      <c r="AN19" s="56">
        <f t="shared" si="0"/>
        <v>1.3779999999999999</v>
      </c>
      <c r="AO19" s="56">
        <f t="shared" si="1"/>
        <v>0.76200000000000001</v>
      </c>
      <c r="AP19" s="56">
        <f t="shared" si="1"/>
        <v>3.9209999999999998</v>
      </c>
      <c r="AQ19" s="56">
        <f t="shared" si="1"/>
        <v>26.792999999999999</v>
      </c>
      <c r="AR19" s="56">
        <f t="shared" si="1"/>
        <v>54.914000000000001</v>
      </c>
      <c r="AT19" s="26"/>
      <c r="AU19" s="31" t="s">
        <v>123</v>
      </c>
      <c r="AV19" s="77">
        <f t="shared" si="3"/>
        <v>0.82145016180078945</v>
      </c>
      <c r="AW19" s="77">
        <f t="shared" si="20"/>
        <v>3.6947476974503033</v>
      </c>
      <c r="AX19" s="77">
        <f t="shared" si="4"/>
        <v>0.34138188542370468</v>
      </c>
      <c r="AY19" s="77">
        <f t="shared" si="5"/>
        <v>2.1656413356566264</v>
      </c>
      <c r="AZ19" s="77">
        <f t="shared" si="6"/>
        <v>20.113082749546599</v>
      </c>
      <c r="BA19" s="77">
        <f t="shared" si="7"/>
        <v>1.9451655346538175</v>
      </c>
      <c r="BB19" s="77">
        <f t="shared" si="8"/>
        <v>10.323245972760569</v>
      </c>
      <c r="BC19" s="77">
        <f t="shared" si="9"/>
        <v>3.9650083567440699</v>
      </c>
      <c r="BD19" s="77">
        <f t="shared" si="10"/>
        <v>1.0952668824010525</v>
      </c>
      <c r="BE19" s="77">
        <f t="shared" si="11"/>
        <v>0.58319405426549553</v>
      </c>
      <c r="BF19" s="77">
        <f t="shared" si="12"/>
        <v>7.3397105366096502</v>
      </c>
      <c r="BG19" s="77">
        <f t="shared" si="13"/>
        <v>2.7488353899221223</v>
      </c>
      <c r="BH19" s="77">
        <f t="shared" si="14"/>
        <v>3.4173749155435438</v>
      </c>
      <c r="BI19" s="77"/>
      <c r="BJ19" s="77">
        <f t="shared" si="16"/>
        <v>19.892606948543794</v>
      </c>
      <c r="BK19" s="77">
        <f t="shared" si="17"/>
        <v>4.9002524803527603</v>
      </c>
      <c r="BL19" s="77">
        <f t="shared" si="18"/>
        <v>2.7097187155506561</v>
      </c>
      <c r="BM19" s="77">
        <f t="shared" si="19"/>
        <v>13.943316382774437</v>
      </c>
      <c r="BN19" s="25"/>
    </row>
    <row r="20" spans="1:66" ht="12.5" x14ac:dyDescent="0.25">
      <c r="A20" s="51" t="s">
        <v>174</v>
      </c>
      <c r="B20" s="68">
        <v>17</v>
      </c>
      <c r="C20" s="18">
        <v>815</v>
      </c>
      <c r="D20" s="18">
        <v>3262</v>
      </c>
      <c r="E20" s="18">
        <v>262</v>
      </c>
      <c r="F20" s="18">
        <v>987</v>
      </c>
      <c r="G20" s="18">
        <v>26950</v>
      </c>
      <c r="H20" s="18">
        <v>1802</v>
      </c>
      <c r="I20" s="18">
        <v>14153</v>
      </c>
      <c r="J20" s="18">
        <v>1966</v>
      </c>
      <c r="K20" s="18">
        <v>987</v>
      </c>
      <c r="L20" s="18">
        <v>579</v>
      </c>
      <c r="M20" s="18">
        <v>4355</v>
      </c>
      <c r="N20" s="18">
        <v>4290</v>
      </c>
      <c r="O20" s="18">
        <v>2790</v>
      </c>
      <c r="P20" s="18">
        <v>5100</v>
      </c>
      <c r="R20" s="18">
        <v>3050</v>
      </c>
      <c r="S20" s="18">
        <v>2372</v>
      </c>
      <c r="T20" s="18">
        <v>12778</v>
      </c>
      <c r="U20" s="18">
        <v>86321</v>
      </c>
      <c r="V20" s="81">
        <v>172819</v>
      </c>
      <c r="X20" s="29" t="s">
        <v>124</v>
      </c>
      <c r="Y20" s="56">
        <f t="shared" si="0"/>
        <v>0.81499999999999995</v>
      </c>
      <c r="Z20" s="56">
        <f t="shared" si="0"/>
        <v>3.262</v>
      </c>
      <c r="AA20" s="56">
        <f t="shared" si="0"/>
        <v>0.26200000000000001</v>
      </c>
      <c r="AB20" s="56">
        <f t="shared" si="0"/>
        <v>0.98699999999999999</v>
      </c>
      <c r="AC20" s="56">
        <f t="shared" si="0"/>
        <v>26.95</v>
      </c>
      <c r="AD20" s="56">
        <f t="shared" si="0"/>
        <v>1.802</v>
      </c>
      <c r="AE20" s="56">
        <f t="shared" si="0"/>
        <v>14.153</v>
      </c>
      <c r="AF20" s="56">
        <f t="shared" si="0"/>
        <v>1.966</v>
      </c>
      <c r="AG20" s="56">
        <f t="shared" si="0"/>
        <v>0.98699999999999999</v>
      </c>
      <c r="AH20" s="56">
        <f t="shared" si="0"/>
        <v>0.57899999999999996</v>
      </c>
      <c r="AI20" s="56">
        <f t="shared" si="0"/>
        <v>4.3550000000000004</v>
      </c>
      <c r="AJ20" s="56">
        <f t="shared" si="0"/>
        <v>4.29</v>
      </c>
      <c r="AK20" s="56">
        <f t="shared" si="0"/>
        <v>2.79</v>
      </c>
      <c r="AL20" s="56">
        <f t="shared" si="0"/>
        <v>5.0999999999999996</v>
      </c>
      <c r="AM20" s="56">
        <f t="shared" si="0"/>
        <v>0</v>
      </c>
      <c r="AN20" s="56">
        <f t="shared" si="0"/>
        <v>3.05</v>
      </c>
      <c r="AO20" s="56">
        <f t="shared" si="1"/>
        <v>2.3719999999999999</v>
      </c>
      <c r="AP20" s="56">
        <f t="shared" si="1"/>
        <v>12.778</v>
      </c>
      <c r="AQ20" s="56">
        <f t="shared" si="1"/>
        <v>86.320999999999998</v>
      </c>
      <c r="AR20" s="56">
        <f t="shared" si="1"/>
        <v>172.81899999999999</v>
      </c>
      <c r="AT20" s="26"/>
      <c r="AU20" s="31" t="s">
        <v>124</v>
      </c>
      <c r="AV20" s="77">
        <f t="shared" si="3"/>
        <v>0.94221831718652471</v>
      </c>
      <c r="AW20" s="77">
        <f t="shared" si="20"/>
        <v>3.7711854609355133</v>
      </c>
      <c r="AX20" s="77">
        <f t="shared" si="4"/>
        <v>0.30289717681333678</v>
      </c>
      <c r="AY20" s="77">
        <f t="shared" si="5"/>
        <v>1.1410668454761961</v>
      </c>
      <c r="AZ20" s="77">
        <f t="shared" si="6"/>
        <v>31.156789752364215</v>
      </c>
      <c r="BA20" s="77">
        <f t="shared" si="7"/>
        <v>2.0832851626627207</v>
      </c>
      <c r="BB20" s="77">
        <f t="shared" si="8"/>
        <v>16.362228028393723</v>
      </c>
      <c r="BC20" s="77">
        <f t="shared" si="9"/>
        <v>2.2728849221947329</v>
      </c>
      <c r="BD20" s="77">
        <f t="shared" si="10"/>
        <v>1.1410668454761961</v>
      </c>
      <c r="BE20" s="77">
        <f t="shared" si="11"/>
        <v>0.66937963883558005</v>
      </c>
      <c r="BF20" s="77">
        <f t="shared" si="12"/>
        <v>5.0347984924506939</v>
      </c>
      <c r="BG20" s="77">
        <f t="shared" si="13"/>
        <v>4.9596522462947128</v>
      </c>
      <c r="BH20" s="77">
        <f t="shared" si="14"/>
        <v>3.2255081042336244</v>
      </c>
      <c r="BI20" s="77">
        <f t="shared" si="15"/>
        <v>5.8960900830076994</v>
      </c>
      <c r="BJ20" s="77"/>
      <c r="BK20" s="77">
        <f t="shared" si="17"/>
        <v>3.5260930888575457</v>
      </c>
      <c r="BL20" s="77">
        <f t="shared" si="18"/>
        <v>2.7422599366459339</v>
      </c>
      <c r="BM20" s="77">
        <f t="shared" si="19"/>
        <v>14.772595898171058</v>
      </c>
      <c r="BN20" s="25"/>
    </row>
    <row r="21" spans="1:66" ht="12.5" x14ac:dyDescent="0.25">
      <c r="A21" s="51" t="s">
        <v>125</v>
      </c>
      <c r="B21" s="68">
        <v>18</v>
      </c>
      <c r="C21" s="18">
        <v>180</v>
      </c>
      <c r="D21" s="18">
        <v>566</v>
      </c>
      <c r="E21" s="18">
        <v>59</v>
      </c>
      <c r="F21" s="18">
        <v>217</v>
      </c>
      <c r="G21" s="18">
        <v>5083</v>
      </c>
      <c r="H21" s="18">
        <v>423</v>
      </c>
      <c r="I21" s="18">
        <v>4070</v>
      </c>
      <c r="J21" s="18">
        <v>564</v>
      </c>
      <c r="K21" s="18">
        <v>141</v>
      </c>
      <c r="L21" s="18">
        <v>170</v>
      </c>
      <c r="M21" s="18">
        <v>924</v>
      </c>
      <c r="N21" s="18">
        <v>701</v>
      </c>
      <c r="O21" s="18">
        <v>324</v>
      </c>
      <c r="P21" s="18">
        <v>953</v>
      </c>
      <c r="Q21" s="18">
        <v>1538</v>
      </c>
      <c r="S21" s="18">
        <v>371</v>
      </c>
      <c r="T21" s="18">
        <v>2870</v>
      </c>
      <c r="U21" s="18">
        <v>15961</v>
      </c>
      <c r="V21" s="81">
        <v>35115</v>
      </c>
      <c r="X21" s="29" t="s">
        <v>125</v>
      </c>
      <c r="Y21" s="56">
        <f t="shared" si="0"/>
        <v>0.18</v>
      </c>
      <c r="Z21" s="56">
        <f t="shared" si="0"/>
        <v>0.56599999999999995</v>
      </c>
      <c r="AA21" s="56">
        <f t="shared" si="0"/>
        <v>5.8999999999999997E-2</v>
      </c>
      <c r="AB21" s="56">
        <f t="shared" si="0"/>
        <v>0.217</v>
      </c>
      <c r="AC21" s="56">
        <f t="shared" si="0"/>
        <v>5.0830000000000002</v>
      </c>
      <c r="AD21" s="56">
        <f t="shared" si="0"/>
        <v>0.42299999999999999</v>
      </c>
      <c r="AE21" s="56">
        <f t="shared" si="0"/>
        <v>4.07</v>
      </c>
      <c r="AF21" s="56">
        <f t="shared" si="0"/>
        <v>0.56399999999999995</v>
      </c>
      <c r="AG21" s="56">
        <f t="shared" si="0"/>
        <v>0.14099999999999999</v>
      </c>
      <c r="AH21" s="56">
        <f t="shared" si="0"/>
        <v>0.17</v>
      </c>
      <c r="AI21" s="56">
        <f t="shared" si="0"/>
        <v>0.92400000000000004</v>
      </c>
      <c r="AJ21" s="56">
        <f t="shared" si="0"/>
        <v>0.70099999999999996</v>
      </c>
      <c r="AK21" s="56">
        <f t="shared" si="0"/>
        <v>0.32400000000000001</v>
      </c>
      <c r="AL21" s="56">
        <f t="shared" si="0"/>
        <v>0.95299999999999996</v>
      </c>
      <c r="AM21" s="56">
        <f t="shared" si="0"/>
        <v>1.538</v>
      </c>
      <c r="AN21" s="56">
        <f t="shared" ref="AN21" si="21">IFERROR(R21/1000,"")</f>
        <v>0</v>
      </c>
      <c r="AO21" s="56">
        <f t="shared" si="1"/>
        <v>0.371</v>
      </c>
      <c r="AP21" s="56">
        <f t="shared" si="1"/>
        <v>2.87</v>
      </c>
      <c r="AQ21" s="56">
        <f t="shared" si="1"/>
        <v>15.961</v>
      </c>
      <c r="AR21" s="56">
        <f t="shared" si="1"/>
        <v>35.115000000000002</v>
      </c>
      <c r="AT21" s="26"/>
      <c r="AU21" s="31" t="s">
        <v>125</v>
      </c>
      <c r="AV21" s="77">
        <f t="shared" si="3"/>
        <v>0.93975148793985586</v>
      </c>
      <c r="AW21" s="77">
        <f t="shared" si="20"/>
        <v>2.9549963454108803</v>
      </c>
      <c r="AX21" s="77">
        <f t="shared" si="4"/>
        <v>0.30802965438028612</v>
      </c>
      <c r="AY21" s="77">
        <f t="shared" si="5"/>
        <v>1.1329226271274928</v>
      </c>
      <c r="AZ21" s="77">
        <f t="shared" si="6"/>
        <v>26.5375378511016</v>
      </c>
      <c r="BA21" s="77">
        <f t="shared" si="7"/>
        <v>2.2084159966586614</v>
      </c>
      <c r="BB21" s="77">
        <f t="shared" si="8"/>
        <v>21.248825310640076</v>
      </c>
      <c r="BC21" s="77">
        <f t="shared" si="9"/>
        <v>2.9445546622115484</v>
      </c>
      <c r="BD21" s="77">
        <f t="shared" si="10"/>
        <v>0.73613866555288709</v>
      </c>
      <c r="BE21" s="77">
        <f t="shared" si="11"/>
        <v>0.88754307194319726</v>
      </c>
      <c r="BF21" s="77">
        <f t="shared" si="12"/>
        <v>4.8240576380912605</v>
      </c>
      <c r="BG21" s="77">
        <f t="shared" si="13"/>
        <v>3.6598099613657715</v>
      </c>
      <c r="BH21" s="77">
        <f t="shared" si="14"/>
        <v>1.6915526782917407</v>
      </c>
      <c r="BI21" s="77">
        <f t="shared" si="15"/>
        <v>4.9754620444815707</v>
      </c>
      <c r="BJ21" s="77">
        <f t="shared" si="16"/>
        <v>8.029654380286102</v>
      </c>
      <c r="BK21" s="77"/>
      <c r="BL21" s="77">
        <f t="shared" si="18"/>
        <v>1.9369322334760364</v>
      </c>
      <c r="BM21" s="77">
        <f t="shared" si="19"/>
        <v>14.983815391041036</v>
      </c>
      <c r="BN21" s="25"/>
    </row>
    <row r="22" spans="1:66" ht="12.5" x14ac:dyDescent="0.25">
      <c r="A22" s="51" t="s">
        <v>175</v>
      </c>
      <c r="B22" s="68">
        <v>19</v>
      </c>
      <c r="C22" s="18">
        <v>92</v>
      </c>
      <c r="D22" s="18">
        <v>464</v>
      </c>
      <c r="E22" s="18">
        <v>81</v>
      </c>
      <c r="F22" s="18">
        <v>212</v>
      </c>
      <c r="G22" s="18">
        <v>3116</v>
      </c>
      <c r="H22" s="18">
        <v>313</v>
      </c>
      <c r="I22" s="18">
        <v>1691</v>
      </c>
      <c r="J22" s="18">
        <v>642</v>
      </c>
      <c r="K22" s="18">
        <v>303</v>
      </c>
      <c r="L22" s="18">
        <v>102</v>
      </c>
      <c r="M22" s="18">
        <v>1112</v>
      </c>
      <c r="N22" s="18">
        <v>469</v>
      </c>
      <c r="O22" s="18">
        <v>381</v>
      </c>
      <c r="P22" s="18">
        <v>838</v>
      </c>
      <c r="Q22" s="18">
        <v>1806</v>
      </c>
      <c r="R22" s="18">
        <v>515</v>
      </c>
      <c r="T22" s="18">
        <v>2085</v>
      </c>
      <c r="U22" s="18">
        <v>11042</v>
      </c>
      <c r="V22" s="81">
        <v>25264</v>
      </c>
      <c r="X22" s="29" t="s">
        <v>126</v>
      </c>
      <c r="Y22" s="56">
        <f t="shared" ref="Y22:AN23" si="22">IFERROR(C22/1000,"")</f>
        <v>9.1999999999999998E-2</v>
      </c>
      <c r="Z22" s="56">
        <f t="shared" si="22"/>
        <v>0.46400000000000002</v>
      </c>
      <c r="AA22" s="56">
        <f t="shared" si="22"/>
        <v>8.1000000000000003E-2</v>
      </c>
      <c r="AB22" s="56">
        <f t="shared" si="22"/>
        <v>0.21199999999999999</v>
      </c>
      <c r="AC22" s="56">
        <f t="shared" si="22"/>
        <v>3.1160000000000001</v>
      </c>
      <c r="AD22" s="56">
        <f t="shared" si="22"/>
        <v>0.313</v>
      </c>
      <c r="AE22" s="56">
        <f t="shared" si="22"/>
        <v>1.6910000000000001</v>
      </c>
      <c r="AF22" s="56">
        <f t="shared" si="22"/>
        <v>0.64200000000000002</v>
      </c>
      <c r="AG22" s="56">
        <f t="shared" si="22"/>
        <v>0.30299999999999999</v>
      </c>
      <c r="AH22" s="56">
        <f t="shared" si="22"/>
        <v>0.10199999999999999</v>
      </c>
      <c r="AI22" s="56">
        <f t="shared" si="22"/>
        <v>1.1120000000000001</v>
      </c>
      <c r="AJ22" s="56">
        <f t="shared" si="22"/>
        <v>0.46899999999999997</v>
      </c>
      <c r="AK22" s="56">
        <f t="shared" si="22"/>
        <v>0.38100000000000001</v>
      </c>
      <c r="AL22" s="56">
        <f t="shared" si="22"/>
        <v>0.83799999999999997</v>
      </c>
      <c r="AM22" s="56">
        <f t="shared" si="22"/>
        <v>1.806</v>
      </c>
      <c r="AN22" s="56">
        <f t="shared" si="22"/>
        <v>0.51500000000000001</v>
      </c>
      <c r="AO22" s="56">
        <f t="shared" ref="AO22:AR23" si="23">IFERROR(S22/1000,"")</f>
        <v>0</v>
      </c>
      <c r="AP22" s="56">
        <f t="shared" si="23"/>
        <v>2.085</v>
      </c>
      <c r="AQ22" s="56">
        <f t="shared" si="23"/>
        <v>11.042</v>
      </c>
      <c r="AR22" s="56">
        <f t="shared" si="23"/>
        <v>25.263999999999999</v>
      </c>
      <c r="AT22" s="26"/>
      <c r="AU22" s="31" t="s">
        <v>126</v>
      </c>
      <c r="AV22" s="77">
        <f t="shared" si="3"/>
        <v>0.64688510757980577</v>
      </c>
      <c r="AW22" s="77">
        <f t="shared" si="20"/>
        <v>3.2625509773590209</v>
      </c>
      <c r="AX22" s="77">
        <f t="shared" si="4"/>
        <v>0.56954014906482908</v>
      </c>
      <c r="AY22" s="77">
        <f t="shared" si="5"/>
        <v>1.4906482913795527</v>
      </c>
      <c r="AZ22" s="77">
        <f t="shared" si="6"/>
        <v>21.909717339333426</v>
      </c>
      <c r="BA22" s="77">
        <f t="shared" si="7"/>
        <v>2.2008156377443395</v>
      </c>
      <c r="BB22" s="77">
        <f t="shared" si="8"/>
        <v>11.890029531711432</v>
      </c>
      <c r="BC22" s="77">
        <f t="shared" si="9"/>
        <v>4.5141330333286458</v>
      </c>
      <c r="BD22" s="77">
        <f t="shared" si="10"/>
        <v>2.1305020390943605</v>
      </c>
      <c r="BE22" s="77">
        <f t="shared" si="11"/>
        <v>0.71719870622978465</v>
      </c>
      <c r="BF22" s="77">
        <f t="shared" si="12"/>
        <v>7.818872169877654</v>
      </c>
      <c r="BG22" s="77">
        <f t="shared" si="13"/>
        <v>3.2977077766840099</v>
      </c>
      <c r="BH22" s="77">
        <f t="shared" si="14"/>
        <v>2.6789481085641964</v>
      </c>
      <c r="BI22" s="77">
        <f t="shared" si="15"/>
        <v>5.8922795668682317</v>
      </c>
      <c r="BJ22" s="77">
        <f t="shared" si="16"/>
        <v>12.698635916186191</v>
      </c>
      <c r="BK22" s="77">
        <f t="shared" si="17"/>
        <v>3.6211503304739137</v>
      </c>
      <c r="BL22" s="77"/>
      <c r="BM22" s="77">
        <f t="shared" si="19"/>
        <v>14.6603853185206</v>
      </c>
      <c r="BN22" s="25"/>
    </row>
    <row r="23" spans="1:66" ht="12.5" x14ac:dyDescent="0.25">
      <c r="A23" s="51" t="s">
        <v>159</v>
      </c>
      <c r="B23" s="68">
        <v>78</v>
      </c>
      <c r="C23" s="18">
        <v>2307</v>
      </c>
      <c r="D23" s="18">
        <v>8680</v>
      </c>
      <c r="E23" s="18">
        <v>1237</v>
      </c>
      <c r="F23" s="18">
        <v>3696</v>
      </c>
      <c r="G23" s="18">
        <v>25928</v>
      </c>
      <c r="H23" s="18">
        <v>6356</v>
      </c>
      <c r="I23" s="18">
        <v>17379</v>
      </c>
      <c r="J23" s="18">
        <v>3629</v>
      </c>
      <c r="K23" s="18">
        <v>1047</v>
      </c>
      <c r="L23" s="18">
        <v>672</v>
      </c>
      <c r="M23" s="18">
        <v>6004</v>
      </c>
      <c r="N23" s="18">
        <v>6370</v>
      </c>
      <c r="O23" s="18">
        <v>1820</v>
      </c>
      <c r="P23" s="18">
        <v>2401</v>
      </c>
      <c r="Q23" s="18">
        <v>8399</v>
      </c>
      <c r="R23" s="18">
        <v>2604</v>
      </c>
      <c r="S23" s="18">
        <v>1261</v>
      </c>
      <c r="U23" s="18">
        <v>150934</v>
      </c>
      <c r="V23" s="81">
        <v>250724</v>
      </c>
      <c r="X23" s="29" t="s">
        <v>159</v>
      </c>
      <c r="Y23" s="56">
        <f t="shared" si="22"/>
        <v>2.3069999999999999</v>
      </c>
      <c r="Z23" s="56">
        <f t="shared" si="22"/>
        <v>8.68</v>
      </c>
      <c r="AA23" s="56">
        <f t="shared" si="22"/>
        <v>1.2370000000000001</v>
      </c>
      <c r="AB23" s="56">
        <f t="shared" si="22"/>
        <v>3.6960000000000002</v>
      </c>
      <c r="AC23" s="56">
        <f t="shared" si="22"/>
        <v>25.928000000000001</v>
      </c>
      <c r="AD23" s="56">
        <f t="shared" si="22"/>
        <v>6.3559999999999999</v>
      </c>
      <c r="AE23" s="56">
        <f t="shared" si="22"/>
        <v>17.379000000000001</v>
      </c>
      <c r="AF23" s="56">
        <f t="shared" si="22"/>
        <v>3.629</v>
      </c>
      <c r="AG23" s="56">
        <f t="shared" si="22"/>
        <v>1.0469999999999999</v>
      </c>
      <c r="AH23" s="56">
        <f t="shared" si="22"/>
        <v>0.67200000000000004</v>
      </c>
      <c r="AI23" s="56">
        <f t="shared" si="22"/>
        <v>6.0039999999999996</v>
      </c>
      <c r="AJ23" s="56">
        <f t="shared" si="22"/>
        <v>6.37</v>
      </c>
      <c r="AK23" s="56">
        <f t="shared" si="22"/>
        <v>1.82</v>
      </c>
      <c r="AL23" s="56">
        <f t="shared" si="22"/>
        <v>2.4009999999999998</v>
      </c>
      <c r="AM23" s="56">
        <f t="shared" si="22"/>
        <v>8.3989999999999991</v>
      </c>
      <c r="AN23" s="56">
        <f t="shared" si="22"/>
        <v>2.6040000000000001</v>
      </c>
      <c r="AO23" s="56">
        <f t="shared" si="23"/>
        <v>1.2609999999999999</v>
      </c>
      <c r="AP23" s="56">
        <f t="shared" si="23"/>
        <v>0</v>
      </c>
      <c r="AQ23" s="56">
        <f t="shared" si="23"/>
        <v>150.934</v>
      </c>
      <c r="AR23" s="56">
        <f t="shared" si="23"/>
        <v>250.72399999999999</v>
      </c>
      <c r="AT23" s="26"/>
      <c r="AU23" s="31" t="s">
        <v>159</v>
      </c>
      <c r="AV23" s="77">
        <f t="shared" si="3"/>
        <v>2.3118548952800881</v>
      </c>
      <c r="AW23" s="77">
        <f t="shared" si="20"/>
        <v>8.6982663593546441</v>
      </c>
      <c r="AX23" s="77">
        <f t="shared" si="4"/>
        <v>1.2396031666499652</v>
      </c>
      <c r="AY23" s="77">
        <f t="shared" si="5"/>
        <v>3.703777933660688</v>
      </c>
      <c r="AZ23" s="77">
        <f t="shared" si="6"/>
        <v>25.982563383104523</v>
      </c>
      <c r="BA23" s="77">
        <f t="shared" si="7"/>
        <v>6.3693756889467892</v>
      </c>
      <c r="BB23" s="77">
        <f t="shared" si="8"/>
        <v>17.415572702675622</v>
      </c>
      <c r="BC23" s="77">
        <f t="shared" si="9"/>
        <v>3.6366369375688947</v>
      </c>
      <c r="BD23" s="77">
        <f t="shared" si="10"/>
        <v>1.0492033269866721</v>
      </c>
      <c r="BE23" s="77">
        <f t="shared" si="11"/>
        <v>0.67341416975648871</v>
      </c>
      <c r="BF23" s="77">
        <f t="shared" si="12"/>
        <v>6.0166349333600566</v>
      </c>
      <c r="BG23" s="77">
        <f t="shared" si="13"/>
        <v>6.3834051508167162</v>
      </c>
      <c r="BH23" s="77">
        <f t="shared" si="14"/>
        <v>1.8238300430904901</v>
      </c>
      <c r="BI23" s="77">
        <f t="shared" si="15"/>
        <v>2.4060527106924541</v>
      </c>
      <c r="BJ23" s="77">
        <f t="shared" si="16"/>
        <v>8.4166750175368268</v>
      </c>
      <c r="BK23" s="77">
        <f t="shared" si="17"/>
        <v>2.6094799078063935</v>
      </c>
      <c r="BL23" s="77">
        <f t="shared" si="18"/>
        <v>1.2636536727126966</v>
      </c>
      <c r="BM23" s="77"/>
      <c r="BN23" s="25"/>
    </row>
    <row r="24" spans="1:66" ht="12.5" x14ac:dyDescent="0.25">
      <c r="X24" s="29"/>
      <c r="Y24" s="56"/>
      <c r="Z24" s="56"/>
      <c r="AA24" s="56"/>
      <c r="AB24" s="56"/>
      <c r="AC24" s="56"/>
      <c r="AD24" s="56"/>
      <c r="AE24" s="56"/>
      <c r="AF24" s="56"/>
      <c r="AG24" s="56"/>
      <c r="AH24" s="56"/>
      <c r="AI24" s="56"/>
      <c r="AJ24" s="56"/>
      <c r="AK24" s="56"/>
      <c r="AL24" s="56"/>
      <c r="AM24" s="56"/>
      <c r="AN24" s="56"/>
      <c r="AO24" s="56"/>
      <c r="AP24" s="56"/>
      <c r="AQ24" s="56"/>
      <c r="AR24" s="56"/>
      <c r="AT24" s="26"/>
      <c r="AU24" s="28"/>
      <c r="AV24" s="28"/>
      <c r="AW24" s="28"/>
      <c r="AX24" s="28"/>
      <c r="AY24" s="28"/>
      <c r="AZ24" s="28"/>
      <c r="BA24" s="28"/>
      <c r="BB24" s="28"/>
      <c r="BC24" s="28"/>
      <c r="BD24" s="28"/>
      <c r="BE24" s="28"/>
      <c r="BF24" s="28"/>
      <c r="BG24" s="28"/>
      <c r="BH24" s="28"/>
      <c r="BI24" s="28"/>
      <c r="BJ24" s="28"/>
      <c r="BK24" s="28"/>
      <c r="BL24" s="28"/>
      <c r="BM24" s="28"/>
      <c r="BN24" s="25"/>
    </row>
    <row r="25" spans="1:66" ht="12.5" x14ac:dyDescent="0.25">
      <c r="B25" s="68" t="s">
        <v>2</v>
      </c>
      <c r="C25" s="18">
        <v>10021</v>
      </c>
      <c r="D25" s="18">
        <v>45950</v>
      </c>
      <c r="E25" s="18">
        <v>6191</v>
      </c>
      <c r="F25" s="18">
        <v>20174</v>
      </c>
      <c r="G25" s="18">
        <v>158809</v>
      </c>
      <c r="H25" s="18">
        <v>28072</v>
      </c>
      <c r="I25" s="18">
        <v>83935</v>
      </c>
      <c r="J25" s="18">
        <v>28660</v>
      </c>
      <c r="K25" s="18">
        <v>10513</v>
      </c>
      <c r="L25" s="18">
        <v>5574</v>
      </c>
      <c r="M25" s="18">
        <v>53386</v>
      </c>
      <c r="N25" s="18">
        <v>32307</v>
      </c>
      <c r="O25" s="18">
        <v>11652</v>
      </c>
      <c r="P25" s="18">
        <v>22330</v>
      </c>
      <c r="Q25" s="18">
        <v>46784</v>
      </c>
      <c r="R25" s="18">
        <v>20088</v>
      </c>
      <c r="S25" s="18">
        <v>11885</v>
      </c>
      <c r="T25" s="18">
        <v>147974</v>
      </c>
      <c r="U25" s="18">
        <v>704347</v>
      </c>
      <c r="V25" s="81">
        <v>1448652</v>
      </c>
      <c r="X25" s="29" t="s">
        <v>2</v>
      </c>
      <c r="Y25" s="56">
        <f t="shared" ref="Y25:AR25" si="24">IFERROR(C25/1000,"")</f>
        <v>10.021000000000001</v>
      </c>
      <c r="Z25" s="56">
        <f t="shared" si="24"/>
        <v>45.95</v>
      </c>
      <c r="AA25" s="56">
        <f t="shared" si="24"/>
        <v>6.1909999999999998</v>
      </c>
      <c r="AB25" s="56">
        <f t="shared" si="24"/>
        <v>20.173999999999999</v>
      </c>
      <c r="AC25" s="56">
        <f t="shared" si="24"/>
        <v>158.809</v>
      </c>
      <c r="AD25" s="56">
        <f t="shared" si="24"/>
        <v>28.071999999999999</v>
      </c>
      <c r="AE25" s="56">
        <f t="shared" si="24"/>
        <v>83.935000000000002</v>
      </c>
      <c r="AF25" s="56">
        <f t="shared" si="24"/>
        <v>28.66</v>
      </c>
      <c r="AG25" s="56">
        <f t="shared" si="24"/>
        <v>10.513</v>
      </c>
      <c r="AH25" s="56">
        <f t="shared" si="24"/>
        <v>5.5739999999999998</v>
      </c>
      <c r="AI25" s="56">
        <f t="shared" si="24"/>
        <v>53.386000000000003</v>
      </c>
      <c r="AJ25" s="56">
        <f t="shared" si="24"/>
        <v>32.307000000000002</v>
      </c>
      <c r="AK25" s="56">
        <f t="shared" si="24"/>
        <v>11.651999999999999</v>
      </c>
      <c r="AL25" s="56">
        <f t="shared" si="24"/>
        <v>22.33</v>
      </c>
      <c r="AM25" s="56">
        <f t="shared" si="24"/>
        <v>46.783999999999999</v>
      </c>
      <c r="AN25" s="56">
        <f t="shared" si="24"/>
        <v>20.088000000000001</v>
      </c>
      <c r="AO25" s="56">
        <f t="shared" si="24"/>
        <v>11.885</v>
      </c>
      <c r="AP25" s="56">
        <f t="shared" si="24"/>
        <v>147.97399999999999</v>
      </c>
      <c r="AQ25" s="56">
        <f t="shared" si="24"/>
        <v>704.34699999999998</v>
      </c>
      <c r="AR25" s="56">
        <f t="shared" si="24"/>
        <v>1448.652</v>
      </c>
      <c r="AT25" s="24"/>
      <c r="AU25" s="28"/>
      <c r="AV25" s="58"/>
      <c r="AW25" s="58"/>
      <c r="AX25" s="58"/>
      <c r="AY25" s="58"/>
      <c r="AZ25" s="58"/>
      <c r="BA25" s="58"/>
      <c r="BB25" s="58"/>
      <c r="BC25" s="58"/>
      <c r="BD25" s="58"/>
      <c r="BE25" s="58"/>
      <c r="BF25" s="58"/>
      <c r="BG25" s="58"/>
      <c r="BH25" s="58"/>
      <c r="BI25" s="58"/>
      <c r="BJ25" s="58"/>
      <c r="BK25" s="58"/>
      <c r="BL25" s="58"/>
      <c r="BM25" s="58"/>
      <c r="BN25" s="58"/>
    </row>
    <row r="26" spans="1:66" ht="11.25" customHeight="1" x14ac:dyDescent="0.25">
      <c r="AR26" s="19"/>
      <c r="AU26" s="18"/>
      <c r="AV26" s="18"/>
      <c r="AW26" s="18"/>
      <c r="AX26" s="18"/>
      <c r="AY26" s="18"/>
      <c r="AZ26" s="18"/>
      <c r="BA26" s="18"/>
      <c r="BB26" s="18"/>
      <c r="BC26" s="18"/>
      <c r="BD26" s="18"/>
      <c r="BE26" s="18"/>
      <c r="BF26" s="18"/>
      <c r="BG26" s="18"/>
      <c r="BH26" s="18"/>
      <c r="BI26" s="18"/>
      <c r="BJ26" s="18"/>
      <c r="BK26" s="18"/>
      <c r="BL26" s="18"/>
      <c r="BM26" s="18"/>
      <c r="BN26" s="18"/>
    </row>
    <row r="27" spans="1:66" ht="12.75" customHeight="1" x14ac:dyDescent="0.25">
      <c r="AU27" s="18"/>
      <c r="AV27" s="18"/>
      <c r="AW27" s="18"/>
      <c r="AX27" s="18"/>
      <c r="AY27" s="18"/>
      <c r="AZ27" s="18"/>
      <c r="BA27" s="18"/>
      <c r="BB27" s="18"/>
      <c r="BC27" s="18"/>
      <c r="BD27" s="18"/>
      <c r="BE27" s="18"/>
      <c r="BF27" s="18"/>
      <c r="BG27" s="18"/>
      <c r="BH27" s="18"/>
      <c r="BI27" s="18"/>
      <c r="BJ27" s="18"/>
      <c r="BK27" s="18"/>
      <c r="BL27" s="18"/>
      <c r="BM27" s="18"/>
      <c r="BN27" s="18"/>
    </row>
    <row r="28" spans="1:66" ht="12.75" customHeight="1" x14ac:dyDescent="0.25">
      <c r="AU28" s="18"/>
      <c r="AV28" s="18"/>
      <c r="AW28" s="18"/>
      <c r="AX28" s="18"/>
      <c r="AY28" s="18"/>
      <c r="AZ28" s="18"/>
      <c r="BA28" s="18"/>
      <c r="BB28" s="18"/>
      <c r="BC28" s="18"/>
      <c r="BD28" s="18"/>
      <c r="BE28" s="18"/>
      <c r="BF28" s="18"/>
      <c r="BG28" s="18"/>
      <c r="BH28" s="18"/>
      <c r="BI28" s="18"/>
      <c r="BJ28" s="18"/>
      <c r="BK28" s="18"/>
      <c r="BL28" s="18"/>
      <c r="BM28" s="18"/>
      <c r="BN28" s="18"/>
    </row>
    <row r="29" spans="1:66" ht="12.75" customHeight="1" x14ac:dyDescent="0.25">
      <c r="AU29" s="18"/>
      <c r="AV29" s="18"/>
      <c r="AW29" s="18"/>
      <c r="AX29" s="18"/>
      <c r="AY29" s="18"/>
      <c r="AZ29" s="18"/>
      <c r="BA29" s="18"/>
      <c r="BB29" s="18"/>
      <c r="BC29" s="18"/>
      <c r="BD29" s="18"/>
      <c r="BE29" s="18"/>
      <c r="BF29" s="18"/>
      <c r="BG29" s="18"/>
      <c r="BH29" s="18"/>
      <c r="BI29" s="18"/>
      <c r="BJ29" s="18"/>
      <c r="BK29" s="18"/>
      <c r="BL29" s="18"/>
      <c r="BM29" s="18"/>
      <c r="BN29" s="18"/>
    </row>
    <row r="30" spans="1:66" ht="12.75" customHeight="1" x14ac:dyDescent="0.25">
      <c r="AU30" s="18"/>
      <c r="AV30" s="18"/>
      <c r="AW30" s="18"/>
      <c r="AX30" s="18"/>
      <c r="AY30" s="18"/>
      <c r="AZ30" s="18"/>
      <c r="BA30" s="18"/>
      <c r="BB30" s="18"/>
      <c r="BC30" s="18"/>
      <c r="BD30" s="18"/>
      <c r="BE30" s="18"/>
      <c r="BF30" s="18"/>
      <c r="BG30" s="18"/>
      <c r="BH30" s="18"/>
      <c r="BI30" s="18"/>
      <c r="BJ30" s="18"/>
      <c r="BK30" s="18"/>
      <c r="BL30" s="18"/>
      <c r="BM30" s="18"/>
      <c r="BN30" s="18"/>
    </row>
    <row r="31" spans="1:66" ht="12.75" customHeight="1" x14ac:dyDescent="0.25">
      <c r="AU31" s="18"/>
      <c r="AV31" s="18"/>
      <c r="AW31" s="18"/>
      <c r="AX31" s="18"/>
      <c r="AY31" s="18"/>
      <c r="AZ31" s="18"/>
      <c r="BA31" s="18"/>
      <c r="BB31" s="18"/>
      <c r="BC31" s="18"/>
      <c r="BD31" s="18"/>
      <c r="BE31" s="18"/>
      <c r="BF31" s="18"/>
      <c r="BG31" s="18"/>
      <c r="BH31" s="18"/>
      <c r="BI31" s="18"/>
      <c r="BJ31" s="18"/>
      <c r="BK31" s="18"/>
      <c r="BL31" s="18"/>
      <c r="BM31" s="18"/>
      <c r="BN31" s="18"/>
    </row>
    <row r="32" spans="1:66" ht="12.75" customHeight="1" x14ac:dyDescent="0.25">
      <c r="AU32" s="18"/>
      <c r="AV32" s="18"/>
      <c r="AW32" s="18"/>
      <c r="AX32" s="18"/>
      <c r="AY32" s="18"/>
      <c r="AZ32" s="18"/>
      <c r="BA32" s="18"/>
      <c r="BB32" s="18"/>
      <c r="BC32" s="18"/>
      <c r="BD32" s="18"/>
      <c r="BE32" s="18"/>
      <c r="BF32" s="18"/>
      <c r="BG32" s="18"/>
      <c r="BH32" s="18"/>
      <c r="BI32" s="18"/>
      <c r="BJ32" s="18"/>
      <c r="BK32" s="18"/>
      <c r="BL32" s="18"/>
      <c r="BM32" s="18"/>
      <c r="BN32" s="18"/>
    </row>
    <row r="33" spans="47:66" ht="12.75" customHeight="1" x14ac:dyDescent="0.25">
      <c r="AU33" s="18"/>
      <c r="AV33" s="18"/>
      <c r="AW33" s="18"/>
      <c r="AX33" s="18"/>
      <c r="AY33" s="18"/>
      <c r="AZ33" s="18"/>
      <c r="BA33" s="18"/>
      <c r="BB33" s="18"/>
      <c r="BC33" s="18"/>
      <c r="BD33" s="18"/>
      <c r="BE33" s="18"/>
      <c r="BF33" s="18"/>
      <c r="BG33" s="18"/>
      <c r="BH33" s="18"/>
      <c r="BI33" s="18"/>
      <c r="BJ33" s="18"/>
      <c r="BK33" s="18"/>
      <c r="BL33" s="18"/>
      <c r="BM33" s="18"/>
      <c r="BN33" s="18"/>
    </row>
    <row r="34" spans="47:66" ht="12.75" customHeight="1" x14ac:dyDescent="0.25">
      <c r="AU34" s="18"/>
      <c r="AV34" s="18"/>
      <c r="AW34" s="18"/>
      <c r="AX34" s="18"/>
      <c r="AY34" s="18"/>
      <c r="AZ34" s="18"/>
      <c r="BA34" s="18"/>
      <c r="BB34" s="18"/>
      <c r="BC34" s="18"/>
      <c r="BD34" s="18"/>
      <c r="BE34" s="18"/>
      <c r="BF34" s="18"/>
      <c r="BG34" s="18"/>
      <c r="BH34" s="18"/>
      <c r="BI34" s="18"/>
      <c r="BJ34" s="18"/>
      <c r="BK34" s="18"/>
      <c r="BL34" s="18"/>
      <c r="BM34" s="18"/>
      <c r="BN34" s="18"/>
    </row>
    <row r="35" spans="47:66" ht="12.75" customHeight="1" x14ac:dyDescent="0.25">
      <c r="AU35" s="18"/>
      <c r="AV35" s="18"/>
      <c r="AW35" s="18"/>
      <c r="AX35" s="18"/>
      <c r="AY35" s="18"/>
      <c r="AZ35" s="18"/>
      <c r="BA35" s="18"/>
      <c r="BB35" s="18"/>
      <c r="BC35" s="18"/>
      <c r="BD35" s="18"/>
      <c r="BE35" s="18"/>
      <c r="BF35" s="18"/>
      <c r="BG35" s="18"/>
      <c r="BH35" s="18"/>
      <c r="BI35" s="18"/>
      <c r="BJ35" s="18"/>
      <c r="BK35" s="18"/>
      <c r="BL35" s="18"/>
      <c r="BM35" s="18"/>
      <c r="BN35" s="18"/>
    </row>
    <row r="36" spans="47:66" ht="12.75" customHeight="1" x14ac:dyDescent="0.25">
      <c r="AU36" s="18"/>
      <c r="AV36" s="18"/>
      <c r="AW36" s="18"/>
      <c r="AX36" s="18"/>
      <c r="AY36" s="18"/>
      <c r="AZ36" s="18"/>
      <c r="BA36" s="18"/>
      <c r="BB36" s="18"/>
      <c r="BC36" s="18"/>
      <c r="BD36" s="18"/>
      <c r="BE36" s="18"/>
      <c r="BF36" s="18"/>
      <c r="BG36" s="18"/>
      <c r="BH36" s="18"/>
      <c r="BI36" s="18"/>
      <c r="BJ36" s="18"/>
      <c r="BK36" s="18"/>
      <c r="BL36" s="18"/>
      <c r="BM36" s="18"/>
      <c r="BN36" s="18"/>
    </row>
    <row r="37" spans="47:66" ht="12.75" customHeight="1" x14ac:dyDescent="0.25">
      <c r="AU37" s="18"/>
      <c r="AV37" s="18"/>
      <c r="AW37" s="18"/>
      <c r="AX37" s="18"/>
      <c r="AY37" s="18"/>
      <c r="AZ37" s="18"/>
      <c r="BA37" s="18"/>
      <c r="BB37" s="18"/>
      <c r="BC37" s="18"/>
      <c r="BD37" s="18"/>
      <c r="BE37" s="18"/>
      <c r="BF37" s="18"/>
      <c r="BG37" s="18"/>
      <c r="BH37" s="18"/>
      <c r="BI37" s="18"/>
      <c r="BJ37" s="18"/>
      <c r="BK37" s="18"/>
      <c r="BL37" s="18"/>
      <c r="BM37" s="18"/>
      <c r="BN37" s="18"/>
    </row>
    <row r="38" spans="47:66" ht="12.75" customHeight="1" x14ac:dyDescent="0.25">
      <c r="AU38" s="18"/>
      <c r="AV38" s="18"/>
      <c r="AW38" s="18"/>
      <c r="AX38" s="18"/>
      <c r="AY38" s="18"/>
      <c r="AZ38" s="18"/>
      <c r="BA38" s="18"/>
      <c r="BB38" s="18"/>
      <c r="BC38" s="18"/>
      <c r="BD38" s="18"/>
      <c r="BE38" s="18"/>
      <c r="BF38" s="18"/>
      <c r="BG38" s="18"/>
      <c r="BH38" s="18"/>
      <c r="BI38" s="18"/>
      <c r="BJ38" s="18"/>
      <c r="BK38" s="18"/>
      <c r="BL38" s="18"/>
      <c r="BM38" s="18"/>
      <c r="BN38" s="18"/>
    </row>
    <row r="39" spans="47:66" ht="12.75" customHeight="1" x14ac:dyDescent="0.25">
      <c r="AU39" s="18"/>
      <c r="AV39" s="18"/>
      <c r="AW39" s="18"/>
      <c r="AX39" s="18"/>
      <c r="AY39" s="18"/>
      <c r="AZ39" s="18"/>
      <c r="BA39" s="18"/>
      <c r="BB39" s="18"/>
      <c r="BC39" s="18"/>
      <c r="BD39" s="18"/>
      <c r="BE39" s="18"/>
      <c r="BF39" s="18"/>
      <c r="BG39" s="18"/>
      <c r="BH39" s="18"/>
      <c r="BI39" s="18"/>
      <c r="BJ39" s="18"/>
      <c r="BK39" s="18"/>
      <c r="BL39" s="18"/>
      <c r="BM39" s="18"/>
      <c r="BN39" s="18"/>
    </row>
    <row r="40" spans="47:66" ht="12.75" customHeight="1" x14ac:dyDescent="0.25">
      <c r="AU40" s="18"/>
      <c r="AV40" s="18"/>
      <c r="AW40" s="18"/>
      <c r="AX40" s="18"/>
      <c r="AY40" s="18"/>
      <c r="AZ40" s="18"/>
      <c r="BA40" s="18"/>
      <c r="BB40" s="18"/>
      <c r="BC40" s="18"/>
      <c r="BD40" s="18"/>
      <c r="BE40" s="18"/>
      <c r="BF40" s="18"/>
      <c r="BG40" s="18"/>
      <c r="BH40" s="18"/>
      <c r="BI40" s="18"/>
      <c r="BJ40" s="18"/>
      <c r="BK40" s="18"/>
      <c r="BL40" s="18"/>
      <c r="BM40" s="18"/>
      <c r="BN40" s="18"/>
    </row>
    <row r="41" spans="47:66" ht="12.75" customHeight="1" x14ac:dyDescent="0.25">
      <c r="AU41" s="18"/>
      <c r="AV41" s="18"/>
      <c r="AW41" s="18"/>
      <c r="AX41" s="18"/>
      <c r="AY41" s="18"/>
      <c r="AZ41" s="18"/>
      <c r="BA41" s="18"/>
      <c r="BB41" s="18"/>
      <c r="BC41" s="18"/>
      <c r="BD41" s="18"/>
      <c r="BE41" s="18"/>
      <c r="BF41" s="18"/>
      <c r="BG41" s="18"/>
      <c r="BH41" s="18"/>
      <c r="BI41" s="18"/>
      <c r="BJ41" s="18"/>
      <c r="BK41" s="18"/>
      <c r="BL41" s="18"/>
      <c r="BM41" s="18"/>
      <c r="BN41" s="18"/>
    </row>
    <row r="42" spans="47:66" ht="12.75" customHeight="1" x14ac:dyDescent="0.25">
      <c r="AU42" s="18"/>
      <c r="AV42" s="18"/>
      <c r="AW42" s="18"/>
      <c r="AX42" s="18"/>
      <c r="AY42" s="18"/>
      <c r="AZ42" s="18"/>
      <c r="BA42" s="18"/>
      <c r="BB42" s="18"/>
      <c r="BC42" s="18"/>
      <c r="BD42" s="18"/>
      <c r="BE42" s="18"/>
      <c r="BF42" s="18"/>
      <c r="BG42" s="18"/>
      <c r="BH42" s="18"/>
      <c r="BI42" s="18"/>
      <c r="BJ42" s="18"/>
      <c r="BK42" s="18"/>
      <c r="BL42" s="18"/>
      <c r="BM42" s="18"/>
      <c r="BN42" s="18"/>
    </row>
    <row r="43" spans="47:66" ht="12.75" customHeight="1" x14ac:dyDescent="0.25">
      <c r="AU43" s="18"/>
      <c r="AV43" s="18"/>
      <c r="AW43" s="18"/>
      <c r="AX43" s="18"/>
      <c r="AY43" s="18"/>
      <c r="AZ43" s="18"/>
      <c r="BA43" s="18"/>
      <c r="BB43" s="18"/>
      <c r="BC43" s="18"/>
      <c r="BD43" s="18"/>
      <c r="BE43" s="18"/>
      <c r="BF43" s="18"/>
      <c r="BG43" s="18"/>
      <c r="BH43" s="18"/>
      <c r="BI43" s="18"/>
      <c r="BJ43" s="18"/>
      <c r="BK43" s="18"/>
      <c r="BL43" s="18"/>
      <c r="BM43" s="18"/>
      <c r="BN43" s="18"/>
    </row>
    <row r="44" spans="47:66" ht="12.75" customHeight="1" x14ac:dyDescent="0.25">
      <c r="AU44" s="18"/>
      <c r="AV44" s="18"/>
      <c r="AW44" s="18"/>
      <c r="AX44" s="18"/>
      <c r="AY44" s="18"/>
      <c r="AZ44" s="18"/>
      <c r="BA44" s="18"/>
      <c r="BB44" s="18"/>
      <c r="BC44" s="18"/>
      <c r="BD44" s="18"/>
      <c r="BE44" s="18"/>
      <c r="BF44" s="18"/>
      <c r="BG44" s="18"/>
      <c r="BH44" s="18"/>
      <c r="BI44" s="18"/>
      <c r="BJ44" s="18"/>
      <c r="BK44" s="18"/>
      <c r="BL44" s="18"/>
      <c r="BM44" s="18"/>
      <c r="BN44" s="18"/>
    </row>
    <row r="45" spans="47:66" ht="12.75" customHeight="1" x14ac:dyDescent="0.25">
      <c r="AU45" s="18"/>
      <c r="AV45" s="18"/>
      <c r="AW45" s="18"/>
      <c r="AX45" s="18"/>
      <c r="AY45" s="18"/>
      <c r="AZ45" s="18"/>
      <c r="BA45" s="18"/>
      <c r="BB45" s="18"/>
      <c r="BC45" s="18"/>
      <c r="BD45" s="18"/>
      <c r="BE45" s="18"/>
      <c r="BF45" s="18"/>
      <c r="BG45" s="18"/>
      <c r="BH45" s="18"/>
      <c r="BI45" s="18"/>
      <c r="BJ45" s="18"/>
      <c r="BK45" s="18"/>
      <c r="BL45" s="18"/>
      <c r="BM45" s="18"/>
      <c r="BN45" s="18"/>
    </row>
    <row r="46" spans="47:66" ht="12.75" customHeight="1" x14ac:dyDescent="0.25">
      <c r="AU46" s="18"/>
      <c r="AV46" s="18"/>
      <c r="AW46" s="18"/>
      <c r="AX46" s="18"/>
      <c r="AY46" s="18"/>
      <c r="AZ46" s="18"/>
      <c r="BA46" s="18"/>
      <c r="BB46" s="18"/>
      <c r="BC46" s="18"/>
      <c r="BD46" s="18"/>
      <c r="BE46" s="18"/>
      <c r="BF46" s="18"/>
      <c r="BG46" s="18"/>
      <c r="BH46" s="18"/>
      <c r="BI46" s="18"/>
      <c r="BJ46" s="18"/>
      <c r="BK46" s="18"/>
      <c r="BL46" s="18"/>
      <c r="BM46" s="18"/>
      <c r="BN46" s="18"/>
    </row>
    <row r="47" spans="47:66" ht="12.75" customHeight="1" x14ac:dyDescent="0.25">
      <c r="AU47" s="18"/>
      <c r="AV47" s="18"/>
      <c r="AW47" s="18"/>
      <c r="AX47" s="18"/>
      <c r="AY47" s="18"/>
      <c r="AZ47" s="18"/>
      <c r="BA47" s="18"/>
      <c r="BB47" s="18"/>
      <c r="BC47" s="18"/>
      <c r="BD47" s="18"/>
      <c r="BE47" s="18"/>
      <c r="BF47" s="18"/>
      <c r="BG47" s="18"/>
      <c r="BH47" s="18"/>
      <c r="BI47" s="18"/>
      <c r="BJ47" s="18"/>
      <c r="BK47" s="18"/>
      <c r="BL47" s="18"/>
      <c r="BM47" s="18"/>
      <c r="BN47" s="18"/>
    </row>
  </sheetData>
  <conditionalFormatting sqref="AV6:BM23">
    <cfRule type="cellIs" dxfId="9" priority="39" operator="greaterThan">
      <formula>20</formula>
    </cfRule>
    <cfRule type="colorScale" priority="40">
      <colorScale>
        <cfvo type="min"/>
        <cfvo type="max"/>
        <color rgb="FFFCFCFF"/>
        <color rgb="FF0070C0"/>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7152-99A1-4592-8298-62E4960D3B95}">
  <dimension ref="A1:BN28"/>
  <sheetViews>
    <sheetView zoomScaleNormal="100" workbookViewId="0"/>
  </sheetViews>
  <sheetFormatPr defaultColWidth="11.54296875" defaultRowHeight="12.75" customHeight="1" x14ac:dyDescent="0.25"/>
  <cols>
    <col min="1" max="1" width="26" style="18" bestFit="1" customWidth="1"/>
    <col min="2" max="2" width="5.453125" style="18" bestFit="1" customWidth="1"/>
    <col min="3" max="21" width="11.54296875" style="18"/>
    <col min="22" max="22" width="11.54296875" style="81"/>
    <col min="23" max="24" width="11.54296875" style="18"/>
    <col min="25" max="44" width="7" style="18" customWidth="1"/>
    <col min="45" max="46" width="11.54296875" style="18"/>
    <col min="47" max="47" width="17.54296875" style="27" bestFit="1" customWidth="1"/>
    <col min="48" max="65" width="4.81640625" style="23" customWidth="1"/>
    <col min="66" max="66" width="8.81640625" style="23" customWidth="1"/>
    <col min="67" max="16384" width="11.54296875" style="18"/>
  </cols>
  <sheetData>
    <row r="1" spans="1:66" ht="12.75" customHeight="1" x14ac:dyDescent="0.3">
      <c r="A1" s="55" t="s">
        <v>182</v>
      </c>
      <c r="C1" s="114" t="s">
        <v>184</v>
      </c>
    </row>
    <row r="2" spans="1:66" ht="12.75" customHeight="1" x14ac:dyDescent="0.3">
      <c r="B2" s="50"/>
    </row>
    <row r="3" spans="1:66" ht="13" x14ac:dyDescent="0.3">
      <c r="C3" s="51" t="s">
        <v>111</v>
      </c>
      <c r="D3" s="51" t="s">
        <v>112</v>
      </c>
      <c r="E3" s="51" t="s">
        <v>113</v>
      </c>
      <c r="F3" s="51" t="s">
        <v>171</v>
      </c>
      <c r="G3" s="51" t="s">
        <v>115</v>
      </c>
      <c r="H3" s="51" t="s">
        <v>172</v>
      </c>
      <c r="I3" s="51" t="s">
        <v>117</v>
      </c>
      <c r="J3" s="51" t="s">
        <v>25</v>
      </c>
      <c r="K3" s="51" t="s">
        <v>118</v>
      </c>
      <c r="L3" s="51" t="s">
        <v>119</v>
      </c>
      <c r="M3" s="51" t="s">
        <v>120</v>
      </c>
      <c r="N3" s="51" t="s">
        <v>173</v>
      </c>
      <c r="O3" s="51" t="s">
        <v>122</v>
      </c>
      <c r="P3" s="51" t="s">
        <v>123</v>
      </c>
      <c r="Q3" s="51" t="s">
        <v>174</v>
      </c>
      <c r="R3" s="51" t="s">
        <v>125</v>
      </c>
      <c r="S3" s="51" t="s">
        <v>175</v>
      </c>
      <c r="T3" s="51" t="s">
        <v>159</v>
      </c>
      <c r="U3" s="51" t="s">
        <v>177</v>
      </c>
      <c r="V3" s="81" t="s">
        <v>23</v>
      </c>
      <c r="X3" s="20"/>
    </row>
    <row r="4" spans="1:66" ht="13" x14ac:dyDescent="0.3">
      <c r="C4" s="18">
        <v>1</v>
      </c>
      <c r="D4" s="18">
        <v>3</v>
      </c>
      <c r="E4" s="18">
        <v>4</v>
      </c>
      <c r="F4" s="18">
        <v>6</v>
      </c>
      <c r="G4" s="18">
        <v>7</v>
      </c>
      <c r="H4" s="18">
        <v>8</v>
      </c>
      <c r="I4" s="18">
        <v>9</v>
      </c>
      <c r="J4" s="18">
        <v>10</v>
      </c>
      <c r="K4" s="18">
        <v>11</v>
      </c>
      <c r="L4" s="18">
        <v>12</v>
      </c>
      <c r="M4" s="18">
        <v>13</v>
      </c>
      <c r="N4" s="18">
        <v>14</v>
      </c>
      <c r="O4" s="18">
        <v>15</v>
      </c>
      <c r="P4" s="18">
        <v>16</v>
      </c>
      <c r="Q4" s="18">
        <v>17</v>
      </c>
      <c r="R4" s="18">
        <v>18</v>
      </c>
      <c r="S4" s="18">
        <v>19</v>
      </c>
      <c r="T4" s="18">
        <v>78</v>
      </c>
      <c r="U4" s="18">
        <v>999</v>
      </c>
      <c r="V4" s="81" t="s">
        <v>2</v>
      </c>
      <c r="X4" s="20"/>
      <c r="Y4" s="51" t="s">
        <v>111</v>
      </c>
      <c r="Z4" s="51" t="s">
        <v>112</v>
      </c>
      <c r="AA4" s="51" t="s">
        <v>113</v>
      </c>
      <c r="AB4" s="51" t="s">
        <v>171</v>
      </c>
      <c r="AC4" s="51" t="s">
        <v>115</v>
      </c>
      <c r="AD4" s="51" t="s">
        <v>172</v>
      </c>
      <c r="AE4" s="51" t="s">
        <v>117</v>
      </c>
      <c r="AF4" s="51" t="s">
        <v>25</v>
      </c>
      <c r="AG4" s="51" t="s">
        <v>118</v>
      </c>
      <c r="AH4" s="51" t="s">
        <v>119</v>
      </c>
      <c r="AI4" s="51" t="s">
        <v>120</v>
      </c>
      <c r="AJ4" s="51" t="s">
        <v>173</v>
      </c>
      <c r="AK4" s="51" t="s">
        <v>122</v>
      </c>
      <c r="AL4" s="51" t="s">
        <v>123</v>
      </c>
      <c r="AM4" s="51" t="s">
        <v>174</v>
      </c>
      <c r="AN4" s="51" t="s">
        <v>125</v>
      </c>
      <c r="AO4" s="51" t="s">
        <v>175</v>
      </c>
      <c r="AP4" s="51" t="s">
        <v>159</v>
      </c>
      <c r="AQ4" s="48"/>
      <c r="AT4" s="24"/>
      <c r="AU4" s="28"/>
      <c r="AV4" s="25"/>
      <c r="AW4" s="25"/>
      <c r="AX4" s="25"/>
      <c r="AY4" s="25"/>
      <c r="AZ4" s="25"/>
      <c r="BA4" s="25"/>
      <c r="BB4" s="25"/>
      <c r="BC4" s="25"/>
      <c r="BD4" s="25"/>
      <c r="BE4" s="25"/>
      <c r="BF4" s="25"/>
      <c r="BG4" s="25"/>
      <c r="BH4" s="25"/>
      <c r="BI4" s="25"/>
      <c r="BJ4" s="25"/>
      <c r="BK4" s="25"/>
      <c r="BL4" s="25"/>
      <c r="BM4" s="25"/>
      <c r="BN4" s="25"/>
    </row>
    <row r="5" spans="1:66" ht="12.5" x14ac:dyDescent="0.25">
      <c r="X5" s="29"/>
      <c r="Y5" s="53" t="s">
        <v>129</v>
      </c>
      <c r="Z5" s="53" t="s">
        <v>130</v>
      </c>
      <c r="AA5" s="53" t="s">
        <v>131</v>
      </c>
      <c r="AB5" s="53" t="s">
        <v>132</v>
      </c>
      <c r="AC5" s="53" t="s">
        <v>133</v>
      </c>
      <c r="AD5" s="53" t="s">
        <v>134</v>
      </c>
      <c r="AE5" s="53" t="s">
        <v>135</v>
      </c>
      <c r="AF5" s="53" t="s">
        <v>136</v>
      </c>
      <c r="AG5" s="53" t="s">
        <v>137</v>
      </c>
      <c r="AH5" s="53" t="s">
        <v>138</v>
      </c>
      <c r="AI5" s="53" t="s">
        <v>139</v>
      </c>
      <c r="AJ5" s="53" t="s">
        <v>140</v>
      </c>
      <c r="AK5" s="53" t="s">
        <v>141</v>
      </c>
      <c r="AL5" s="53" t="s">
        <v>142</v>
      </c>
      <c r="AM5" s="53" t="s">
        <v>143</v>
      </c>
      <c r="AN5" s="53" t="s">
        <v>144</v>
      </c>
      <c r="AO5" s="53" t="s">
        <v>145</v>
      </c>
      <c r="AP5" s="53">
        <v>78</v>
      </c>
      <c r="AQ5" s="53" t="s">
        <v>128</v>
      </c>
      <c r="AR5" s="53" t="s">
        <v>2</v>
      </c>
      <c r="AT5" s="26"/>
      <c r="AU5" s="31"/>
      <c r="AV5" s="32" t="s">
        <v>129</v>
      </c>
      <c r="AW5" s="32" t="s">
        <v>178</v>
      </c>
      <c r="AX5" s="32" t="s">
        <v>179</v>
      </c>
      <c r="AY5" s="32" t="s">
        <v>132</v>
      </c>
      <c r="AZ5" s="32" t="s">
        <v>133</v>
      </c>
      <c r="BA5" s="32" t="s">
        <v>134</v>
      </c>
      <c r="BB5" s="32" t="s">
        <v>135</v>
      </c>
      <c r="BC5" s="32" t="s">
        <v>136</v>
      </c>
      <c r="BD5" s="32" t="s">
        <v>137</v>
      </c>
      <c r="BE5" s="32" t="s">
        <v>138</v>
      </c>
      <c r="BF5" s="32" t="s">
        <v>139</v>
      </c>
      <c r="BG5" s="32" t="s">
        <v>140</v>
      </c>
      <c r="BH5" s="32" t="s">
        <v>141</v>
      </c>
      <c r="BI5" s="32" t="s">
        <v>142</v>
      </c>
      <c r="BJ5" s="32" t="s">
        <v>143</v>
      </c>
      <c r="BK5" s="32" t="s">
        <v>144</v>
      </c>
      <c r="BL5" s="32" t="s">
        <v>145</v>
      </c>
      <c r="BM5" s="32">
        <v>78</v>
      </c>
      <c r="BN5" s="25"/>
    </row>
    <row r="6" spans="1:66" ht="12.5" x14ac:dyDescent="0.25">
      <c r="A6" s="51" t="s">
        <v>111</v>
      </c>
      <c r="B6" s="18">
        <v>1</v>
      </c>
      <c r="C6" s="18" t="s">
        <v>23</v>
      </c>
      <c r="D6" s="18">
        <v>758</v>
      </c>
      <c r="E6" s="18">
        <v>88</v>
      </c>
      <c r="F6" s="18">
        <v>707</v>
      </c>
      <c r="G6" s="18">
        <v>2260</v>
      </c>
      <c r="H6" s="18">
        <v>435</v>
      </c>
      <c r="I6" s="18">
        <v>552</v>
      </c>
      <c r="J6" s="18">
        <v>97</v>
      </c>
      <c r="K6" s="18">
        <v>64</v>
      </c>
      <c r="L6" s="18">
        <v>43</v>
      </c>
      <c r="M6" s="18">
        <v>596</v>
      </c>
      <c r="N6" s="18">
        <v>505</v>
      </c>
      <c r="O6" s="18">
        <v>291</v>
      </c>
      <c r="P6" s="18">
        <v>231</v>
      </c>
      <c r="Q6" s="18">
        <v>815</v>
      </c>
      <c r="R6" s="18">
        <v>180</v>
      </c>
      <c r="S6" s="18">
        <v>92</v>
      </c>
      <c r="T6" s="18">
        <v>2307</v>
      </c>
      <c r="U6" s="18">
        <v>16446</v>
      </c>
      <c r="V6" s="81">
        <v>26467</v>
      </c>
      <c r="X6" s="29" t="s">
        <v>111</v>
      </c>
      <c r="Y6" s="56" t="str">
        <f t="shared" ref="Y6:AN21" si="0">IFERROR(C6/1000,"")</f>
        <v/>
      </c>
      <c r="Z6" s="56">
        <f t="shared" si="0"/>
        <v>0.75800000000000001</v>
      </c>
      <c r="AA6" s="56">
        <f t="shared" si="0"/>
        <v>8.7999999999999995E-2</v>
      </c>
      <c r="AB6" s="56">
        <f t="shared" si="0"/>
        <v>0.70699999999999996</v>
      </c>
      <c r="AC6" s="56">
        <f t="shared" si="0"/>
        <v>2.2599999999999998</v>
      </c>
      <c r="AD6" s="56">
        <f t="shared" si="0"/>
        <v>0.435</v>
      </c>
      <c r="AE6" s="56">
        <f t="shared" si="0"/>
        <v>0.55200000000000005</v>
      </c>
      <c r="AF6" s="56">
        <f t="shared" si="0"/>
        <v>9.7000000000000003E-2</v>
      </c>
      <c r="AG6" s="56">
        <f t="shared" si="0"/>
        <v>6.4000000000000001E-2</v>
      </c>
      <c r="AH6" s="56">
        <f t="shared" si="0"/>
        <v>4.2999999999999997E-2</v>
      </c>
      <c r="AI6" s="56">
        <f t="shared" si="0"/>
        <v>0.59599999999999997</v>
      </c>
      <c r="AJ6" s="56">
        <f t="shared" si="0"/>
        <v>0.505</v>
      </c>
      <c r="AK6" s="56">
        <f t="shared" si="0"/>
        <v>0.29099999999999998</v>
      </c>
      <c r="AL6" s="56">
        <f t="shared" si="0"/>
        <v>0.23100000000000001</v>
      </c>
      <c r="AM6" s="56">
        <f t="shared" si="0"/>
        <v>0.81499999999999995</v>
      </c>
      <c r="AN6" s="56">
        <f t="shared" si="0"/>
        <v>0.18</v>
      </c>
      <c r="AO6" s="56">
        <f t="shared" ref="AO6:AR21" si="1">IFERROR(S6/1000,"")</f>
        <v>9.1999999999999998E-2</v>
      </c>
      <c r="AP6" s="56">
        <f t="shared" si="1"/>
        <v>2.3069999999999999</v>
      </c>
      <c r="AQ6" s="56">
        <f t="shared" si="1"/>
        <v>16.446000000000002</v>
      </c>
      <c r="AR6" s="56">
        <f t="shared" si="1"/>
        <v>26.466999999999999</v>
      </c>
      <c r="AT6" s="26"/>
      <c r="AU6" s="31" t="s">
        <v>111</v>
      </c>
      <c r="AV6" s="77"/>
      <c r="AW6" s="77">
        <f t="shared" ref="AW6:BF8" si="2">IFERROR(IF(Z6&gt;0,Z6,"x")/SUM($Y6:$AP6),"")*100</f>
        <v>7.5641153577487286</v>
      </c>
      <c r="AX6" s="77">
        <f t="shared" si="2"/>
        <v>0.87815587266739847</v>
      </c>
      <c r="AY6" s="77">
        <f t="shared" si="2"/>
        <v>7.05518411336194</v>
      </c>
      <c r="AZ6" s="77">
        <f t="shared" si="2"/>
        <v>22.552639457140007</v>
      </c>
      <c r="BA6" s="77">
        <f t="shared" si="2"/>
        <v>4.3408841432990721</v>
      </c>
      <c r="BB6" s="77">
        <f t="shared" si="2"/>
        <v>5.5084322921864093</v>
      </c>
      <c r="BC6" s="77">
        <f t="shared" si="2"/>
        <v>0.9679672687356552</v>
      </c>
      <c r="BD6" s="77">
        <f t="shared" si="2"/>
        <v>0.63865881648538081</v>
      </c>
      <c r="BE6" s="77">
        <f t="shared" si="2"/>
        <v>0.42909889232611514</v>
      </c>
      <c r="BF6" s="77">
        <f t="shared" si="2"/>
        <v>5.947510228520108</v>
      </c>
      <c r="BG6" s="77">
        <f t="shared" ref="BG6:BM8" si="3">IFERROR(IF(AJ6&gt;0,AJ6,"x")/SUM($Y6:$AP6),"")*100</f>
        <v>5.0394172238299575</v>
      </c>
      <c r="BH6" s="77">
        <f t="shared" si="3"/>
        <v>2.9039018062069655</v>
      </c>
      <c r="BI6" s="77">
        <f t="shared" si="3"/>
        <v>2.3051591657519213</v>
      </c>
      <c r="BJ6" s="77">
        <f t="shared" si="3"/>
        <v>8.1329208661810206</v>
      </c>
      <c r="BK6" s="77">
        <f t="shared" si="3"/>
        <v>1.7962279213651333</v>
      </c>
      <c r="BL6" s="77">
        <f t="shared" si="3"/>
        <v>0.91807204869773484</v>
      </c>
      <c r="BM6" s="77">
        <f t="shared" si="3"/>
        <v>23.021654525496459</v>
      </c>
      <c r="BN6" s="25"/>
    </row>
    <row r="7" spans="1:66" ht="12.5" x14ac:dyDescent="0.25">
      <c r="A7" s="51" t="s">
        <v>112</v>
      </c>
      <c r="B7" s="18">
        <v>3</v>
      </c>
      <c r="C7" s="18">
        <v>549</v>
      </c>
      <c r="D7" s="18">
        <v>343</v>
      </c>
      <c r="E7" s="18">
        <v>1043</v>
      </c>
      <c r="F7" s="18">
        <v>3550</v>
      </c>
      <c r="G7" s="18">
        <v>10763</v>
      </c>
      <c r="H7" s="18">
        <v>2284</v>
      </c>
      <c r="I7" s="18">
        <v>1925</v>
      </c>
      <c r="J7" s="18">
        <v>1285</v>
      </c>
      <c r="K7" s="18">
        <v>572</v>
      </c>
      <c r="L7" s="18">
        <v>319</v>
      </c>
      <c r="M7" s="18">
        <v>5816</v>
      </c>
      <c r="N7" s="18">
        <v>1672</v>
      </c>
      <c r="O7" s="18">
        <v>1818</v>
      </c>
      <c r="P7" s="18">
        <v>1039</v>
      </c>
      <c r="Q7" s="18">
        <v>3262</v>
      </c>
      <c r="R7" s="18">
        <v>566</v>
      </c>
      <c r="S7" s="18">
        <v>464</v>
      </c>
      <c r="T7" s="18">
        <v>8680</v>
      </c>
      <c r="U7" s="18">
        <v>46856</v>
      </c>
      <c r="V7" s="81">
        <v>92806</v>
      </c>
      <c r="X7" s="29" t="s">
        <v>112</v>
      </c>
      <c r="Y7" s="56">
        <f t="shared" si="0"/>
        <v>0.54900000000000004</v>
      </c>
      <c r="Z7" s="56">
        <f t="shared" si="0"/>
        <v>0.34300000000000003</v>
      </c>
      <c r="AA7" s="56">
        <f t="shared" si="0"/>
        <v>1.0429999999999999</v>
      </c>
      <c r="AB7" s="56">
        <f t="shared" si="0"/>
        <v>3.55</v>
      </c>
      <c r="AC7" s="56">
        <f t="shared" si="0"/>
        <v>10.763</v>
      </c>
      <c r="AD7" s="56">
        <f t="shared" si="0"/>
        <v>2.2839999999999998</v>
      </c>
      <c r="AE7" s="56">
        <f t="shared" si="0"/>
        <v>1.925</v>
      </c>
      <c r="AF7" s="56">
        <f t="shared" si="0"/>
        <v>1.2849999999999999</v>
      </c>
      <c r="AG7" s="56">
        <f t="shared" si="0"/>
        <v>0.57199999999999995</v>
      </c>
      <c r="AH7" s="56">
        <f t="shared" si="0"/>
        <v>0.31900000000000001</v>
      </c>
      <c r="AI7" s="56">
        <f t="shared" si="0"/>
        <v>5.8159999999999998</v>
      </c>
      <c r="AJ7" s="56">
        <f t="shared" si="0"/>
        <v>1.6719999999999999</v>
      </c>
      <c r="AK7" s="56">
        <f t="shared" si="0"/>
        <v>1.8180000000000001</v>
      </c>
      <c r="AL7" s="56">
        <f t="shared" si="0"/>
        <v>1.0389999999999999</v>
      </c>
      <c r="AM7" s="56">
        <f t="shared" si="0"/>
        <v>3.262</v>
      </c>
      <c r="AN7" s="56">
        <f t="shared" si="0"/>
        <v>0.56599999999999995</v>
      </c>
      <c r="AO7" s="56">
        <f t="shared" si="1"/>
        <v>0.46400000000000002</v>
      </c>
      <c r="AP7" s="56">
        <f t="shared" si="1"/>
        <v>8.68</v>
      </c>
      <c r="AQ7" s="56">
        <f t="shared" si="1"/>
        <v>46.856000000000002</v>
      </c>
      <c r="AR7" s="56">
        <f t="shared" si="1"/>
        <v>92.805999999999997</v>
      </c>
      <c r="AT7" s="26"/>
      <c r="AU7" s="31" t="s">
        <v>180</v>
      </c>
      <c r="AV7" s="77">
        <f t="shared" ref="AV7:AV23" si="4">IFERROR(IF(Y7&gt;0,Y7,"x")/SUM($Y7:$AP7),"")*100</f>
        <v>1.1947769314472254</v>
      </c>
      <c r="AW7" s="77">
        <f t="shared" si="2"/>
        <v>0.74646354733405884</v>
      </c>
      <c r="AX7" s="77">
        <f t="shared" si="2"/>
        <v>2.2698585418933623</v>
      </c>
      <c r="AY7" s="77">
        <f t="shared" si="2"/>
        <v>7.7257889009793264</v>
      </c>
      <c r="AZ7" s="77">
        <f t="shared" si="2"/>
        <v>23.423286180631123</v>
      </c>
      <c r="BA7" s="77">
        <f t="shared" si="2"/>
        <v>4.9706202393906418</v>
      </c>
      <c r="BB7" s="77">
        <f t="shared" si="2"/>
        <v>4.1893362350380849</v>
      </c>
      <c r="BC7" s="77">
        <f t="shared" si="2"/>
        <v>2.7965179542981504</v>
      </c>
      <c r="BD7" s="77">
        <f t="shared" si="2"/>
        <v>1.2448313384113168</v>
      </c>
      <c r="BE7" s="77">
        <f t="shared" si="2"/>
        <v>0.69423286180631127</v>
      </c>
      <c r="BF7" s="77">
        <f t="shared" si="2"/>
        <v>12.657236126224159</v>
      </c>
      <c r="BG7" s="77">
        <f t="shared" si="3"/>
        <v>3.6387377584330798</v>
      </c>
      <c r="BH7" s="77">
        <f t="shared" si="3"/>
        <v>3.9564744287268776</v>
      </c>
      <c r="BI7" s="77">
        <f t="shared" si="3"/>
        <v>2.2611534276387379</v>
      </c>
      <c r="BJ7" s="77">
        <f t="shared" si="3"/>
        <v>7.099020674646356</v>
      </c>
      <c r="BK7" s="77">
        <f t="shared" si="3"/>
        <v>1.2317736670293797</v>
      </c>
      <c r="BL7" s="77">
        <f t="shared" si="3"/>
        <v>1.0097932535364527</v>
      </c>
      <c r="BM7" s="77">
        <f t="shared" si="3"/>
        <v>18.890097932535365</v>
      </c>
      <c r="BN7" s="25"/>
    </row>
    <row r="8" spans="1:66" ht="12.5" x14ac:dyDescent="0.25">
      <c r="A8" s="51" t="s">
        <v>113</v>
      </c>
      <c r="B8" s="18">
        <v>4</v>
      </c>
      <c r="C8" s="18">
        <v>57</v>
      </c>
      <c r="D8" s="18">
        <v>471</v>
      </c>
      <c r="E8" s="18">
        <v>94</v>
      </c>
      <c r="F8" s="18">
        <v>566</v>
      </c>
      <c r="G8" s="18">
        <v>625</v>
      </c>
      <c r="H8" s="18">
        <v>418</v>
      </c>
      <c r="I8" s="18">
        <v>84</v>
      </c>
      <c r="J8" s="18">
        <v>205</v>
      </c>
      <c r="K8" s="18">
        <v>122</v>
      </c>
      <c r="L8" s="18">
        <v>57</v>
      </c>
      <c r="M8" s="18">
        <v>1022</v>
      </c>
      <c r="N8" s="18">
        <v>251</v>
      </c>
      <c r="O8" s="18">
        <v>484</v>
      </c>
      <c r="P8" s="18">
        <v>96</v>
      </c>
      <c r="Q8" s="18">
        <v>262</v>
      </c>
      <c r="R8" s="18">
        <v>59</v>
      </c>
      <c r="S8" s="18">
        <v>81</v>
      </c>
      <c r="T8" s="18">
        <v>1237</v>
      </c>
      <c r="U8" s="18">
        <v>4266</v>
      </c>
      <c r="V8" s="81">
        <v>10457</v>
      </c>
      <c r="X8" s="29" t="s">
        <v>113</v>
      </c>
      <c r="Y8" s="56">
        <f t="shared" si="0"/>
        <v>5.7000000000000002E-2</v>
      </c>
      <c r="Z8" s="56">
        <f t="shared" si="0"/>
        <v>0.47099999999999997</v>
      </c>
      <c r="AA8" s="56">
        <f t="shared" si="0"/>
        <v>9.4E-2</v>
      </c>
      <c r="AB8" s="56">
        <f t="shared" si="0"/>
        <v>0.56599999999999995</v>
      </c>
      <c r="AC8" s="56">
        <f t="shared" si="0"/>
        <v>0.625</v>
      </c>
      <c r="AD8" s="56">
        <f t="shared" si="0"/>
        <v>0.41799999999999998</v>
      </c>
      <c r="AE8" s="56">
        <f t="shared" si="0"/>
        <v>8.4000000000000005E-2</v>
      </c>
      <c r="AF8" s="56">
        <f t="shared" si="0"/>
        <v>0.20499999999999999</v>
      </c>
      <c r="AG8" s="56">
        <f t="shared" si="0"/>
        <v>0.122</v>
      </c>
      <c r="AH8" s="56">
        <f t="shared" si="0"/>
        <v>5.7000000000000002E-2</v>
      </c>
      <c r="AI8" s="56">
        <f t="shared" si="0"/>
        <v>1.022</v>
      </c>
      <c r="AJ8" s="56">
        <f t="shared" si="0"/>
        <v>0.251</v>
      </c>
      <c r="AK8" s="56">
        <f t="shared" si="0"/>
        <v>0.48399999999999999</v>
      </c>
      <c r="AL8" s="56">
        <f t="shared" si="0"/>
        <v>9.6000000000000002E-2</v>
      </c>
      <c r="AM8" s="56">
        <f t="shared" si="0"/>
        <v>0.26200000000000001</v>
      </c>
      <c r="AN8" s="56">
        <f t="shared" si="0"/>
        <v>5.8999999999999997E-2</v>
      </c>
      <c r="AO8" s="56">
        <f t="shared" si="1"/>
        <v>8.1000000000000003E-2</v>
      </c>
      <c r="AP8" s="56">
        <f t="shared" si="1"/>
        <v>1.2370000000000001</v>
      </c>
      <c r="AQ8" s="56">
        <f t="shared" si="1"/>
        <v>4.266</v>
      </c>
      <c r="AR8" s="56">
        <f t="shared" si="1"/>
        <v>10.457000000000001</v>
      </c>
      <c r="AT8" s="26"/>
      <c r="AU8" s="31" t="s">
        <v>181</v>
      </c>
      <c r="AV8" s="77">
        <f t="shared" si="4"/>
        <v>0.92069132611855908</v>
      </c>
      <c r="AW8" s="77">
        <f t="shared" si="2"/>
        <v>7.6078178000323042</v>
      </c>
      <c r="AX8" s="77">
        <f t="shared" si="2"/>
        <v>1.518333064125343</v>
      </c>
      <c r="AY8" s="77">
        <f t="shared" si="2"/>
        <v>9.1423033435632348</v>
      </c>
      <c r="AZ8" s="77">
        <f t="shared" si="2"/>
        <v>10.095299628492972</v>
      </c>
      <c r="BA8" s="77">
        <f t="shared" si="2"/>
        <v>6.7517363915360988</v>
      </c>
      <c r="BB8" s="77">
        <f t="shared" si="2"/>
        <v>1.3568082700694557</v>
      </c>
      <c r="BC8" s="77">
        <f t="shared" si="2"/>
        <v>3.311258278145695</v>
      </c>
      <c r="BD8" s="77">
        <f t="shared" si="2"/>
        <v>1.9706024874818282</v>
      </c>
      <c r="BE8" s="77">
        <f t="shared" si="2"/>
        <v>0.92069132611855908</v>
      </c>
      <c r="BF8" s="77">
        <f t="shared" si="2"/>
        <v>16.507833952511707</v>
      </c>
      <c r="BG8" s="77">
        <f t="shared" si="3"/>
        <v>4.0542723308027782</v>
      </c>
      <c r="BH8" s="77">
        <f t="shared" si="3"/>
        <v>7.817800032304957</v>
      </c>
      <c r="BI8" s="77">
        <f t="shared" si="3"/>
        <v>1.5506380229365206</v>
      </c>
      <c r="BJ8" s="77">
        <f t="shared" si="3"/>
        <v>4.2319496042642539</v>
      </c>
      <c r="BK8" s="77">
        <f t="shared" si="3"/>
        <v>0.95299628492973665</v>
      </c>
      <c r="BL8" s="77">
        <f t="shared" si="3"/>
        <v>1.3083508318526893</v>
      </c>
      <c r="BM8" s="77">
        <f t="shared" si="3"/>
        <v>19.980617024713293</v>
      </c>
      <c r="BN8" s="25"/>
    </row>
    <row r="9" spans="1:66" ht="12.5" x14ac:dyDescent="0.25">
      <c r="A9" s="51" t="s">
        <v>171</v>
      </c>
      <c r="B9" s="18">
        <v>6</v>
      </c>
      <c r="C9" s="18">
        <v>450</v>
      </c>
      <c r="D9" s="18">
        <v>2718</v>
      </c>
      <c r="E9" s="18">
        <v>757</v>
      </c>
      <c r="F9" s="18" t="s">
        <v>23</v>
      </c>
      <c r="G9" s="18">
        <v>3039</v>
      </c>
      <c r="H9" s="18">
        <v>1210</v>
      </c>
      <c r="I9" s="18">
        <v>485</v>
      </c>
      <c r="J9" s="18">
        <v>427</v>
      </c>
      <c r="K9" s="18">
        <v>210</v>
      </c>
      <c r="L9" s="18">
        <v>531</v>
      </c>
      <c r="M9" s="18">
        <v>2455</v>
      </c>
      <c r="N9" s="18">
        <v>1076</v>
      </c>
      <c r="O9" s="18">
        <v>1095</v>
      </c>
      <c r="P9" s="18">
        <v>609</v>
      </c>
      <c r="Q9" s="18">
        <v>987</v>
      </c>
      <c r="R9" s="18">
        <v>217</v>
      </c>
      <c r="S9" s="18">
        <v>212</v>
      </c>
      <c r="T9" s="18">
        <v>3696</v>
      </c>
      <c r="U9" s="18">
        <v>20519</v>
      </c>
      <c r="V9" s="81">
        <v>40693</v>
      </c>
      <c r="X9" s="29" t="s">
        <v>114</v>
      </c>
      <c r="Y9" s="56">
        <f t="shared" si="0"/>
        <v>0.45</v>
      </c>
      <c r="Z9" s="56">
        <f t="shared" si="0"/>
        <v>2.718</v>
      </c>
      <c r="AA9" s="56">
        <f t="shared" si="0"/>
        <v>0.75700000000000001</v>
      </c>
      <c r="AB9" s="56" t="str">
        <f t="shared" si="0"/>
        <v/>
      </c>
      <c r="AC9" s="56">
        <f t="shared" si="0"/>
        <v>3.0390000000000001</v>
      </c>
      <c r="AD9" s="56">
        <f t="shared" si="0"/>
        <v>1.21</v>
      </c>
      <c r="AE9" s="56">
        <f t="shared" si="0"/>
        <v>0.48499999999999999</v>
      </c>
      <c r="AF9" s="56">
        <f t="shared" si="0"/>
        <v>0.42699999999999999</v>
      </c>
      <c r="AG9" s="56">
        <f t="shared" si="0"/>
        <v>0.21</v>
      </c>
      <c r="AH9" s="56">
        <f t="shared" si="0"/>
        <v>0.53100000000000003</v>
      </c>
      <c r="AI9" s="56">
        <f t="shared" si="0"/>
        <v>2.4550000000000001</v>
      </c>
      <c r="AJ9" s="56">
        <f t="shared" si="0"/>
        <v>1.0760000000000001</v>
      </c>
      <c r="AK9" s="56">
        <f t="shared" si="0"/>
        <v>1.095</v>
      </c>
      <c r="AL9" s="56">
        <f t="shared" si="0"/>
        <v>0.60899999999999999</v>
      </c>
      <c r="AM9" s="56">
        <f t="shared" si="0"/>
        <v>0.98699999999999999</v>
      </c>
      <c r="AN9" s="56">
        <f t="shared" si="0"/>
        <v>0.217</v>
      </c>
      <c r="AO9" s="56">
        <f t="shared" si="1"/>
        <v>0.21199999999999999</v>
      </c>
      <c r="AP9" s="56">
        <f t="shared" si="1"/>
        <v>3.6960000000000002</v>
      </c>
      <c r="AQ9" s="56">
        <f t="shared" si="1"/>
        <v>20.518999999999998</v>
      </c>
      <c r="AR9" s="56">
        <f t="shared" si="1"/>
        <v>40.692999999999998</v>
      </c>
      <c r="AT9" s="26"/>
      <c r="AU9" s="31" t="s">
        <v>114</v>
      </c>
      <c r="AV9" s="77">
        <f t="shared" si="4"/>
        <v>2.2305938336472688</v>
      </c>
      <c r="AW9" s="77">
        <f t="shared" ref="AW9:AW23" si="5">IFERROR(IF(Z9&gt;0,Z9,"x")/SUM($Y9:$AP9),"")*100</f>
        <v>13.472786755229505</v>
      </c>
      <c r="AX9" s="77">
        <f t="shared" ref="AX9:AX23" si="6">IFERROR(IF(AA9&gt;0,AA9,"x")/SUM($Y9:$AP9),"")*100</f>
        <v>3.7523545157132943</v>
      </c>
      <c r="AY9" s="77"/>
      <c r="AZ9" s="77">
        <f t="shared" ref="AZ9:BM9" si="7">IFERROR(IF(AC9&gt;0,AC9,"x")/SUM($Y9:$AP9),"")*100</f>
        <v>15.06394368989789</v>
      </c>
      <c r="BA9" s="77">
        <f t="shared" si="7"/>
        <v>5.9978189749182116</v>
      </c>
      <c r="BB9" s="77">
        <f t="shared" si="7"/>
        <v>2.4040844651531676</v>
      </c>
      <c r="BC9" s="77">
        <f t="shared" si="7"/>
        <v>2.116585704371964</v>
      </c>
      <c r="BD9" s="77">
        <f t="shared" si="7"/>
        <v>1.0409437890353921</v>
      </c>
      <c r="BE9" s="77">
        <f t="shared" si="7"/>
        <v>2.6321007237037772</v>
      </c>
      <c r="BF9" s="77">
        <f t="shared" si="7"/>
        <v>12.169128581342322</v>
      </c>
      <c r="BG9" s="77">
        <f t="shared" si="7"/>
        <v>5.3335977000099142</v>
      </c>
      <c r="BH9" s="77">
        <f t="shared" si="7"/>
        <v>5.4277783285416872</v>
      </c>
      <c r="BI9" s="77">
        <f t="shared" si="7"/>
        <v>3.0187369882026371</v>
      </c>
      <c r="BJ9" s="77">
        <f t="shared" si="7"/>
        <v>4.8924358084663426</v>
      </c>
      <c r="BK9" s="77">
        <f t="shared" si="7"/>
        <v>1.0756419153365719</v>
      </c>
      <c r="BL9" s="77">
        <f t="shared" si="7"/>
        <v>1.0508575394071578</v>
      </c>
      <c r="BM9" s="77">
        <f t="shared" si="7"/>
        <v>18.320610687022899</v>
      </c>
      <c r="BN9" s="25"/>
    </row>
    <row r="10" spans="1:66" ht="12.5" x14ac:dyDescent="0.25">
      <c r="A10" s="51" t="s">
        <v>115</v>
      </c>
      <c r="B10" s="18">
        <v>7</v>
      </c>
      <c r="C10" s="18">
        <v>1882</v>
      </c>
      <c r="D10" s="18">
        <v>14611</v>
      </c>
      <c r="E10" s="18">
        <v>1426</v>
      </c>
      <c r="F10" s="18">
        <v>6042</v>
      </c>
      <c r="G10" s="18" t="s">
        <v>23</v>
      </c>
      <c r="H10" s="18">
        <v>8053</v>
      </c>
      <c r="I10" s="18">
        <v>25630</v>
      </c>
      <c r="J10" s="18">
        <v>6017</v>
      </c>
      <c r="K10" s="18">
        <v>2089</v>
      </c>
      <c r="L10" s="18">
        <v>1448</v>
      </c>
      <c r="M10" s="18">
        <v>12257</v>
      </c>
      <c r="N10" s="18">
        <v>7339</v>
      </c>
      <c r="O10" s="18">
        <v>5282</v>
      </c>
      <c r="P10" s="18">
        <v>5656</v>
      </c>
      <c r="Q10" s="18">
        <v>26950</v>
      </c>
      <c r="R10" s="18">
        <v>5083</v>
      </c>
      <c r="S10" s="18">
        <v>3116</v>
      </c>
      <c r="T10" s="18">
        <v>25928</v>
      </c>
      <c r="U10" s="18">
        <v>138027</v>
      </c>
      <c r="V10" s="81">
        <v>296836</v>
      </c>
      <c r="X10" s="29" t="s">
        <v>115</v>
      </c>
      <c r="Y10" s="56">
        <f t="shared" si="0"/>
        <v>1.8819999999999999</v>
      </c>
      <c r="Z10" s="56">
        <f t="shared" si="0"/>
        <v>14.611000000000001</v>
      </c>
      <c r="AA10" s="56">
        <f t="shared" si="0"/>
        <v>1.4259999999999999</v>
      </c>
      <c r="AB10" s="56">
        <f t="shared" si="0"/>
        <v>6.0419999999999998</v>
      </c>
      <c r="AC10" s="56" t="str">
        <f t="shared" si="0"/>
        <v/>
      </c>
      <c r="AD10" s="56">
        <f t="shared" si="0"/>
        <v>8.0530000000000008</v>
      </c>
      <c r="AE10" s="56">
        <f t="shared" si="0"/>
        <v>25.63</v>
      </c>
      <c r="AF10" s="56">
        <f t="shared" si="0"/>
        <v>6.0170000000000003</v>
      </c>
      <c r="AG10" s="56">
        <f t="shared" si="0"/>
        <v>2.089</v>
      </c>
      <c r="AH10" s="56">
        <f t="shared" si="0"/>
        <v>1.448</v>
      </c>
      <c r="AI10" s="56">
        <f t="shared" si="0"/>
        <v>12.257</v>
      </c>
      <c r="AJ10" s="56">
        <f t="shared" si="0"/>
        <v>7.3390000000000004</v>
      </c>
      <c r="AK10" s="56">
        <f t="shared" si="0"/>
        <v>5.282</v>
      </c>
      <c r="AL10" s="56">
        <f t="shared" si="0"/>
        <v>5.6559999999999997</v>
      </c>
      <c r="AM10" s="56">
        <f t="shared" si="0"/>
        <v>26.95</v>
      </c>
      <c r="AN10" s="56">
        <f t="shared" si="0"/>
        <v>5.0830000000000002</v>
      </c>
      <c r="AO10" s="56">
        <f t="shared" si="1"/>
        <v>3.1160000000000001</v>
      </c>
      <c r="AP10" s="56">
        <f t="shared" si="1"/>
        <v>25.928000000000001</v>
      </c>
      <c r="AQ10" s="56">
        <f t="shared" si="1"/>
        <v>138.02699999999999</v>
      </c>
      <c r="AR10" s="56">
        <f t="shared" si="1"/>
        <v>296.83600000000001</v>
      </c>
      <c r="AT10" s="26"/>
      <c r="AU10" s="31" t="s">
        <v>115</v>
      </c>
      <c r="AV10" s="77">
        <f t="shared" si="4"/>
        <v>1.1850713750480133</v>
      </c>
      <c r="AW10" s="77">
        <f t="shared" si="5"/>
        <v>9.2003601810980484</v>
      </c>
      <c r="AX10" s="77">
        <f t="shared" si="6"/>
        <v>0.8979339961840952</v>
      </c>
      <c r="AY10" s="77">
        <f t="shared" ref="AY10:AY23" si="8">IFERROR(IF(AB10&gt;0,AB10,"x")/SUM($Y10:$AP10),"")*100</f>
        <v>3.8045702699469164</v>
      </c>
      <c r="AZ10" s="77"/>
      <c r="BA10" s="77">
        <f t="shared" ref="BA10:BM10" si="9">IFERROR(IF(AD10&gt;0,AD10,"x")/SUM($Y10:$AP10),"")*100</f>
        <v>5.0708712982261703</v>
      </c>
      <c r="BB10" s="77">
        <f t="shared" si="9"/>
        <v>16.138883816408388</v>
      </c>
      <c r="BC10" s="77">
        <f t="shared" si="9"/>
        <v>3.7888280890881498</v>
      </c>
      <c r="BD10" s="77">
        <f t="shared" si="9"/>
        <v>1.3154166325586079</v>
      </c>
      <c r="BE10" s="77">
        <f t="shared" si="9"/>
        <v>0.91178711533981049</v>
      </c>
      <c r="BF10" s="77">
        <f t="shared" si="9"/>
        <v>7.7180764314365042</v>
      </c>
      <c r="BG10" s="77">
        <f t="shared" si="9"/>
        <v>4.6212746128997724</v>
      </c>
      <c r="BH10" s="77">
        <f t="shared" si="9"/>
        <v>3.3260079718403861</v>
      </c>
      <c r="BI10" s="77">
        <f t="shared" si="9"/>
        <v>3.561510997487547</v>
      </c>
      <c r="BJ10" s="77">
        <f t="shared" si="9"/>
        <v>16.970070965751308</v>
      </c>
      <c r="BK10" s="77">
        <f t="shared" si="9"/>
        <v>3.2007002122045978</v>
      </c>
      <c r="BL10" s="77">
        <f t="shared" si="9"/>
        <v>1.9621054222367749</v>
      </c>
      <c r="BM10" s="77">
        <f t="shared" si="9"/>
        <v>16.326530612244898</v>
      </c>
      <c r="BN10" s="25"/>
    </row>
    <row r="11" spans="1:66" ht="12.5" x14ac:dyDescent="0.25">
      <c r="A11" s="51" t="s">
        <v>172</v>
      </c>
      <c r="B11" s="18">
        <v>8</v>
      </c>
      <c r="C11" s="18">
        <v>461</v>
      </c>
      <c r="D11" s="18">
        <v>2407</v>
      </c>
      <c r="E11" s="18">
        <v>732</v>
      </c>
      <c r="F11" s="18">
        <v>1393</v>
      </c>
      <c r="G11" s="18">
        <v>6120</v>
      </c>
      <c r="H11" s="18" t="s">
        <v>23</v>
      </c>
      <c r="I11" s="18">
        <v>1120</v>
      </c>
      <c r="J11" s="18">
        <v>718</v>
      </c>
      <c r="K11" s="18">
        <v>339</v>
      </c>
      <c r="L11" s="18">
        <v>282</v>
      </c>
      <c r="M11" s="18">
        <v>2069</v>
      </c>
      <c r="N11" s="18">
        <v>1608</v>
      </c>
      <c r="O11" s="18">
        <v>1382</v>
      </c>
      <c r="P11" s="18">
        <v>547</v>
      </c>
      <c r="Q11" s="18">
        <v>1802</v>
      </c>
      <c r="R11" s="18">
        <v>423</v>
      </c>
      <c r="S11" s="18">
        <v>313</v>
      </c>
      <c r="T11" s="18">
        <v>6356</v>
      </c>
      <c r="U11" s="18">
        <v>29777</v>
      </c>
      <c r="V11" s="81">
        <v>57849</v>
      </c>
      <c r="X11" s="29" t="s">
        <v>116</v>
      </c>
      <c r="Y11" s="56">
        <f t="shared" si="0"/>
        <v>0.46100000000000002</v>
      </c>
      <c r="Z11" s="56">
        <f t="shared" si="0"/>
        <v>2.407</v>
      </c>
      <c r="AA11" s="56">
        <f t="shared" si="0"/>
        <v>0.73199999999999998</v>
      </c>
      <c r="AB11" s="56">
        <f t="shared" si="0"/>
        <v>1.393</v>
      </c>
      <c r="AC11" s="56">
        <f t="shared" si="0"/>
        <v>6.12</v>
      </c>
      <c r="AD11" s="56" t="str">
        <f t="shared" si="0"/>
        <v/>
      </c>
      <c r="AE11" s="56">
        <f t="shared" si="0"/>
        <v>1.1200000000000001</v>
      </c>
      <c r="AF11" s="56">
        <f t="shared" si="0"/>
        <v>0.71799999999999997</v>
      </c>
      <c r="AG11" s="56">
        <f t="shared" si="0"/>
        <v>0.33900000000000002</v>
      </c>
      <c r="AH11" s="56">
        <f t="shared" si="0"/>
        <v>0.28199999999999997</v>
      </c>
      <c r="AI11" s="56">
        <f t="shared" si="0"/>
        <v>2.069</v>
      </c>
      <c r="AJ11" s="56">
        <f t="shared" si="0"/>
        <v>1.6080000000000001</v>
      </c>
      <c r="AK11" s="56">
        <f t="shared" si="0"/>
        <v>1.3819999999999999</v>
      </c>
      <c r="AL11" s="56">
        <f t="shared" si="0"/>
        <v>0.54700000000000004</v>
      </c>
      <c r="AM11" s="56">
        <f t="shared" si="0"/>
        <v>1.802</v>
      </c>
      <c r="AN11" s="56">
        <f t="shared" si="0"/>
        <v>0.42299999999999999</v>
      </c>
      <c r="AO11" s="56">
        <f t="shared" si="1"/>
        <v>0.313</v>
      </c>
      <c r="AP11" s="56">
        <f t="shared" si="1"/>
        <v>6.3559999999999999</v>
      </c>
      <c r="AQ11" s="56">
        <f t="shared" si="1"/>
        <v>29.777000000000001</v>
      </c>
      <c r="AR11" s="56">
        <f t="shared" si="1"/>
        <v>57.848999999999997</v>
      </c>
      <c r="AT11" s="26"/>
      <c r="AU11" s="31" t="s">
        <v>116</v>
      </c>
      <c r="AV11" s="77">
        <f t="shared" si="4"/>
        <v>1.6422057566258192</v>
      </c>
      <c r="AW11" s="77">
        <f t="shared" si="5"/>
        <v>8.5743801652892557</v>
      </c>
      <c r="AX11" s="77">
        <f t="shared" si="6"/>
        <v>2.6075805072670275</v>
      </c>
      <c r="AY11" s="77">
        <f t="shared" si="8"/>
        <v>4.9622399544029632</v>
      </c>
      <c r="AZ11" s="77">
        <f t="shared" ref="AZ11:AZ23" si="10">IFERROR(IF(AC11&gt;0,AC11,"x")/SUM($Y11:$AP11),"")*100</f>
        <v>21.801082929609574</v>
      </c>
      <c r="BA11" s="77"/>
      <c r="BB11" s="77">
        <f t="shared" ref="BB11:BM11" si="11">IFERROR(IF(AE11&gt;0,AE11,"x")/SUM($Y11:$AP11),"")*100</f>
        <v>3.9897406668566546</v>
      </c>
      <c r="BC11" s="77">
        <f t="shared" si="11"/>
        <v>2.5577087489313191</v>
      </c>
      <c r="BD11" s="77">
        <f t="shared" si="11"/>
        <v>1.207609005414648</v>
      </c>
      <c r="BE11" s="77">
        <f t="shared" si="11"/>
        <v>1.0045597036192646</v>
      </c>
      <c r="BF11" s="77">
        <f t="shared" si="11"/>
        <v>7.3703334283271582</v>
      </c>
      <c r="BG11" s="77">
        <f t="shared" si="11"/>
        <v>5.7281276717013396</v>
      </c>
      <c r="BH11" s="77">
        <f t="shared" si="11"/>
        <v>4.9230550014249062</v>
      </c>
      <c r="BI11" s="77">
        <f t="shared" si="11"/>
        <v>1.9485608435451693</v>
      </c>
      <c r="BJ11" s="77">
        <f t="shared" si="11"/>
        <v>6.4192077514961516</v>
      </c>
      <c r="BK11" s="77">
        <f t="shared" si="11"/>
        <v>1.5068395554288969</v>
      </c>
      <c r="BL11" s="77">
        <f t="shared" si="11"/>
        <v>1.1149900256483327</v>
      </c>
      <c r="BM11" s="77">
        <f t="shared" si="11"/>
        <v>22.641778284411508</v>
      </c>
      <c r="BN11" s="25"/>
    </row>
    <row r="12" spans="1:66" ht="12.5" x14ac:dyDescent="0.25">
      <c r="A12" s="51" t="s">
        <v>117</v>
      </c>
      <c r="B12" s="18">
        <v>9</v>
      </c>
      <c r="C12" s="18">
        <v>553</v>
      </c>
      <c r="D12" s="18">
        <v>3396</v>
      </c>
      <c r="E12" s="18">
        <v>206</v>
      </c>
      <c r="F12" s="18">
        <v>1813</v>
      </c>
      <c r="G12" s="18">
        <v>20288</v>
      </c>
      <c r="H12" s="18">
        <v>3024</v>
      </c>
      <c r="I12" s="18" t="s">
        <v>23</v>
      </c>
      <c r="J12" s="18">
        <v>1661</v>
      </c>
      <c r="K12" s="18">
        <v>735</v>
      </c>
      <c r="L12" s="18">
        <v>921</v>
      </c>
      <c r="M12" s="18">
        <v>4647</v>
      </c>
      <c r="N12" s="18">
        <v>4450</v>
      </c>
      <c r="O12" s="18">
        <v>2045</v>
      </c>
      <c r="P12" s="18">
        <v>2903</v>
      </c>
      <c r="Q12" s="18">
        <v>14153</v>
      </c>
      <c r="R12" s="18">
        <v>4070</v>
      </c>
      <c r="S12" s="18">
        <v>1691</v>
      </c>
      <c r="T12" s="18">
        <v>17379</v>
      </c>
      <c r="U12" s="18">
        <v>71359</v>
      </c>
      <c r="V12" s="81">
        <v>155294</v>
      </c>
      <c r="X12" s="29" t="s">
        <v>117</v>
      </c>
      <c r="Y12" s="56">
        <f t="shared" si="0"/>
        <v>0.55300000000000005</v>
      </c>
      <c r="Z12" s="56">
        <f t="shared" si="0"/>
        <v>3.3959999999999999</v>
      </c>
      <c r="AA12" s="56">
        <f t="shared" si="0"/>
        <v>0.20599999999999999</v>
      </c>
      <c r="AB12" s="56">
        <f t="shared" si="0"/>
        <v>1.8129999999999999</v>
      </c>
      <c r="AC12" s="56">
        <f t="shared" si="0"/>
        <v>20.288</v>
      </c>
      <c r="AD12" s="56">
        <f t="shared" si="0"/>
        <v>3.024</v>
      </c>
      <c r="AE12" s="56" t="str">
        <f t="shared" si="0"/>
        <v/>
      </c>
      <c r="AF12" s="56">
        <f t="shared" si="0"/>
        <v>1.661</v>
      </c>
      <c r="AG12" s="56">
        <f t="shared" si="0"/>
        <v>0.73499999999999999</v>
      </c>
      <c r="AH12" s="56">
        <f t="shared" si="0"/>
        <v>0.92100000000000004</v>
      </c>
      <c r="AI12" s="56">
        <f t="shared" si="0"/>
        <v>4.6470000000000002</v>
      </c>
      <c r="AJ12" s="56">
        <f t="shared" si="0"/>
        <v>4.45</v>
      </c>
      <c r="AK12" s="56">
        <f t="shared" si="0"/>
        <v>2.0449999999999999</v>
      </c>
      <c r="AL12" s="56">
        <f t="shared" si="0"/>
        <v>2.903</v>
      </c>
      <c r="AM12" s="56">
        <f t="shared" si="0"/>
        <v>14.153</v>
      </c>
      <c r="AN12" s="56">
        <f t="shared" si="0"/>
        <v>4.07</v>
      </c>
      <c r="AO12" s="56">
        <f t="shared" si="1"/>
        <v>1.6910000000000001</v>
      </c>
      <c r="AP12" s="56">
        <f t="shared" si="1"/>
        <v>17.379000000000001</v>
      </c>
      <c r="AQ12" s="56">
        <f t="shared" si="1"/>
        <v>71.358999999999995</v>
      </c>
      <c r="AR12" s="56">
        <f t="shared" si="1"/>
        <v>155.29400000000001</v>
      </c>
      <c r="AT12" s="26"/>
      <c r="AU12" s="31" t="s">
        <v>117</v>
      </c>
      <c r="AV12" s="77">
        <f t="shared" si="4"/>
        <v>0.65884315243938751</v>
      </c>
      <c r="AW12" s="77">
        <f t="shared" si="5"/>
        <v>4.0459879668791316</v>
      </c>
      <c r="AX12" s="77">
        <f t="shared" si="6"/>
        <v>0.24542800976946441</v>
      </c>
      <c r="AY12" s="77">
        <f t="shared" si="8"/>
        <v>2.1600047655924222</v>
      </c>
      <c r="AZ12" s="77">
        <f t="shared" si="10"/>
        <v>24.171084767975216</v>
      </c>
      <c r="BA12" s="77">
        <f t="shared" ref="BA12:BA23" si="12">IFERROR(IF(AD12&gt;0,AD12,"x")/SUM($Y12:$AP12),"")*100</f>
        <v>3.6027878715672834</v>
      </c>
      <c r="BB12" s="77"/>
      <c r="BC12" s="77">
        <f t="shared" ref="BC12:BM12" si="13">IFERROR(IF(AF12&gt;0,AF12,"x")/SUM($Y12:$AP12),"")*100</f>
        <v>1.9789122535295165</v>
      </c>
      <c r="BD12" s="77">
        <f t="shared" si="13"/>
        <v>0.87567760767260361</v>
      </c>
      <c r="BE12" s="77">
        <f t="shared" si="13"/>
        <v>1.0972776553285279</v>
      </c>
      <c r="BF12" s="77">
        <f t="shared" si="13"/>
        <v>5.5364269970810742</v>
      </c>
      <c r="BG12" s="77">
        <f t="shared" si="13"/>
        <v>5.3017215702627025</v>
      </c>
      <c r="BH12" s="77">
        <f t="shared" si="13"/>
        <v>2.4364091261094889</v>
      </c>
      <c r="BI12" s="77">
        <f t="shared" si="13"/>
        <v>3.4586287007803653</v>
      </c>
      <c r="BJ12" s="77">
        <f t="shared" si="13"/>
        <v>16.861857389646747</v>
      </c>
      <c r="BK12" s="77">
        <f t="shared" si="13"/>
        <v>4.848990290105438</v>
      </c>
      <c r="BL12" s="77">
        <f t="shared" si="13"/>
        <v>2.0146541966998268</v>
      </c>
      <c r="BM12" s="77">
        <f t="shared" si="13"/>
        <v>20.705307678560789</v>
      </c>
      <c r="BN12" s="25"/>
    </row>
    <row r="13" spans="1:66" ht="12.5" x14ac:dyDescent="0.25">
      <c r="A13" s="51" t="s">
        <v>25</v>
      </c>
      <c r="B13" s="18">
        <v>10</v>
      </c>
      <c r="C13" s="18">
        <v>77</v>
      </c>
      <c r="D13" s="18">
        <v>1738</v>
      </c>
      <c r="E13" s="18">
        <v>770</v>
      </c>
      <c r="F13" s="18">
        <v>819</v>
      </c>
      <c r="G13" s="18">
        <v>4297</v>
      </c>
      <c r="H13" s="18">
        <v>1024</v>
      </c>
      <c r="I13" s="18">
        <v>755</v>
      </c>
      <c r="J13" s="18" t="s">
        <v>23</v>
      </c>
      <c r="K13" s="18">
        <v>2241</v>
      </c>
      <c r="L13" s="18">
        <v>309</v>
      </c>
      <c r="M13" s="18">
        <v>5002</v>
      </c>
      <c r="N13" s="18">
        <v>1051</v>
      </c>
      <c r="O13" s="18">
        <v>2661</v>
      </c>
      <c r="P13" s="18">
        <v>1115</v>
      </c>
      <c r="Q13" s="18">
        <v>1966</v>
      </c>
      <c r="R13" s="18">
        <v>564</v>
      </c>
      <c r="S13" s="18">
        <v>642</v>
      </c>
      <c r="T13" s="18">
        <v>3629</v>
      </c>
      <c r="U13" s="18">
        <v>22916</v>
      </c>
      <c r="V13" s="81">
        <v>51576</v>
      </c>
      <c r="X13" s="29" t="s">
        <v>25</v>
      </c>
      <c r="Y13" s="56">
        <f t="shared" si="0"/>
        <v>7.6999999999999999E-2</v>
      </c>
      <c r="Z13" s="56">
        <f t="shared" si="0"/>
        <v>1.738</v>
      </c>
      <c r="AA13" s="56">
        <f t="shared" si="0"/>
        <v>0.77</v>
      </c>
      <c r="AB13" s="56">
        <f t="shared" si="0"/>
        <v>0.81899999999999995</v>
      </c>
      <c r="AC13" s="56">
        <f t="shared" si="0"/>
        <v>4.2969999999999997</v>
      </c>
      <c r="AD13" s="56">
        <f t="shared" si="0"/>
        <v>1.024</v>
      </c>
      <c r="AE13" s="56">
        <f t="shared" si="0"/>
        <v>0.755</v>
      </c>
      <c r="AF13" s="56" t="str">
        <f t="shared" si="0"/>
        <v/>
      </c>
      <c r="AG13" s="56">
        <f t="shared" si="0"/>
        <v>2.2410000000000001</v>
      </c>
      <c r="AH13" s="56">
        <f t="shared" si="0"/>
        <v>0.309</v>
      </c>
      <c r="AI13" s="56">
        <f t="shared" si="0"/>
        <v>5.0019999999999998</v>
      </c>
      <c r="AJ13" s="56">
        <f t="shared" si="0"/>
        <v>1.0509999999999999</v>
      </c>
      <c r="AK13" s="56">
        <f t="shared" si="0"/>
        <v>2.661</v>
      </c>
      <c r="AL13" s="56">
        <f t="shared" si="0"/>
        <v>1.115</v>
      </c>
      <c r="AM13" s="56">
        <f t="shared" si="0"/>
        <v>1.966</v>
      </c>
      <c r="AN13" s="56">
        <f t="shared" si="0"/>
        <v>0.56399999999999995</v>
      </c>
      <c r="AO13" s="56">
        <f t="shared" si="1"/>
        <v>0.64200000000000002</v>
      </c>
      <c r="AP13" s="56">
        <f t="shared" si="1"/>
        <v>3.629</v>
      </c>
      <c r="AQ13" s="56">
        <f t="shared" si="1"/>
        <v>22.916</v>
      </c>
      <c r="AR13" s="56">
        <f t="shared" si="1"/>
        <v>51.576000000000001</v>
      </c>
      <c r="AT13" s="26"/>
      <c r="AU13" s="31" t="s">
        <v>25</v>
      </c>
      <c r="AV13" s="77">
        <f t="shared" si="4"/>
        <v>0.26866713189113745</v>
      </c>
      <c r="AW13" s="77">
        <f t="shared" si="5"/>
        <v>6.0642009769713887</v>
      </c>
      <c r="AX13" s="77">
        <f t="shared" si="6"/>
        <v>2.6866713189113751</v>
      </c>
      <c r="AY13" s="77">
        <f t="shared" si="8"/>
        <v>2.8576413119330075</v>
      </c>
      <c r="AZ13" s="77">
        <f t="shared" si="10"/>
        <v>14.993021632937891</v>
      </c>
      <c r="BA13" s="77">
        <f t="shared" si="12"/>
        <v>3.572923935799023</v>
      </c>
      <c r="BB13" s="77">
        <f t="shared" ref="BB13:BB23" si="14">IFERROR(IF(AE13&gt;0,AE13,"x")/SUM($Y13:$AP13),"")*100</f>
        <v>2.6343335659455689</v>
      </c>
      <c r="BC13" s="77"/>
      <c r="BD13" s="77">
        <f t="shared" ref="BD13:BM13" si="15">IFERROR(IF(AG13&gt;0,AG13,"x")/SUM($Y13:$AP13),"")*100</f>
        <v>7.8192602930914168</v>
      </c>
      <c r="BE13" s="77">
        <f t="shared" si="15"/>
        <v>1.0781577110956038</v>
      </c>
      <c r="BF13" s="77">
        <f t="shared" si="15"/>
        <v>17.452896022330773</v>
      </c>
      <c r="BG13" s="77">
        <f t="shared" si="15"/>
        <v>3.6671318911374735</v>
      </c>
      <c r="BH13" s="77">
        <f t="shared" si="15"/>
        <v>9.284717376133985</v>
      </c>
      <c r="BI13" s="77">
        <f t="shared" si="15"/>
        <v>3.890439637124913</v>
      </c>
      <c r="BJ13" s="77">
        <f t="shared" si="15"/>
        <v>6.8597348220516396</v>
      </c>
      <c r="BK13" s="77">
        <f t="shared" si="15"/>
        <v>1.9678995115143056</v>
      </c>
      <c r="BL13" s="77">
        <f t="shared" si="15"/>
        <v>2.240055826936497</v>
      </c>
      <c r="BM13" s="77">
        <f t="shared" si="15"/>
        <v>12.662247034193999</v>
      </c>
      <c r="BN13" s="25"/>
    </row>
    <row r="14" spans="1:66" ht="12.5" x14ac:dyDescent="0.25">
      <c r="A14" s="51" t="s">
        <v>118</v>
      </c>
      <c r="B14" s="18">
        <v>11</v>
      </c>
      <c r="C14" s="18">
        <v>47</v>
      </c>
      <c r="D14" s="18">
        <v>415</v>
      </c>
      <c r="E14" s="18">
        <v>186</v>
      </c>
      <c r="F14" s="18">
        <v>200</v>
      </c>
      <c r="G14" s="18">
        <v>931</v>
      </c>
      <c r="H14" s="18">
        <v>256</v>
      </c>
      <c r="I14" s="18">
        <v>244</v>
      </c>
      <c r="J14" s="18">
        <v>873</v>
      </c>
      <c r="K14" s="18" t="s">
        <v>23</v>
      </c>
      <c r="L14" s="18">
        <v>403</v>
      </c>
      <c r="M14" s="18">
        <v>2484</v>
      </c>
      <c r="N14" s="18">
        <v>395</v>
      </c>
      <c r="O14" s="18">
        <v>1293</v>
      </c>
      <c r="P14" s="18">
        <v>308</v>
      </c>
      <c r="Q14" s="18">
        <v>987</v>
      </c>
      <c r="R14" s="18">
        <v>141</v>
      </c>
      <c r="S14" s="18">
        <v>303</v>
      </c>
      <c r="T14" s="18">
        <v>1047</v>
      </c>
      <c r="U14" s="18">
        <v>11542</v>
      </c>
      <c r="V14" s="81">
        <v>22055</v>
      </c>
      <c r="X14" s="29" t="s">
        <v>118</v>
      </c>
      <c r="Y14" s="56">
        <f t="shared" si="0"/>
        <v>4.7E-2</v>
      </c>
      <c r="Z14" s="56">
        <f t="shared" si="0"/>
        <v>0.41499999999999998</v>
      </c>
      <c r="AA14" s="56">
        <f t="shared" si="0"/>
        <v>0.186</v>
      </c>
      <c r="AB14" s="56">
        <f t="shared" si="0"/>
        <v>0.2</v>
      </c>
      <c r="AC14" s="56">
        <f t="shared" si="0"/>
        <v>0.93100000000000005</v>
      </c>
      <c r="AD14" s="56">
        <f t="shared" si="0"/>
        <v>0.25600000000000001</v>
      </c>
      <c r="AE14" s="56">
        <f t="shared" si="0"/>
        <v>0.24399999999999999</v>
      </c>
      <c r="AF14" s="56">
        <f t="shared" si="0"/>
        <v>0.873</v>
      </c>
      <c r="AG14" s="56" t="str">
        <f t="shared" si="0"/>
        <v/>
      </c>
      <c r="AH14" s="56">
        <f t="shared" si="0"/>
        <v>0.40300000000000002</v>
      </c>
      <c r="AI14" s="56">
        <f t="shared" si="0"/>
        <v>2.484</v>
      </c>
      <c r="AJ14" s="56">
        <f t="shared" si="0"/>
        <v>0.39500000000000002</v>
      </c>
      <c r="AK14" s="56">
        <f t="shared" si="0"/>
        <v>1.2929999999999999</v>
      </c>
      <c r="AL14" s="56">
        <f t="shared" si="0"/>
        <v>0.308</v>
      </c>
      <c r="AM14" s="56">
        <f t="shared" si="0"/>
        <v>0.98699999999999999</v>
      </c>
      <c r="AN14" s="56">
        <f t="shared" si="0"/>
        <v>0.14099999999999999</v>
      </c>
      <c r="AO14" s="56">
        <f t="shared" si="1"/>
        <v>0.30299999999999999</v>
      </c>
      <c r="AP14" s="56">
        <f t="shared" si="1"/>
        <v>1.0469999999999999</v>
      </c>
      <c r="AQ14" s="56">
        <f t="shared" si="1"/>
        <v>11.542</v>
      </c>
      <c r="AR14" s="56">
        <f t="shared" si="1"/>
        <v>22.055</v>
      </c>
      <c r="AT14" s="26"/>
      <c r="AU14" s="31" t="s">
        <v>118</v>
      </c>
      <c r="AV14" s="77">
        <f t="shared" si="4"/>
        <v>0.44706553790545034</v>
      </c>
      <c r="AW14" s="77">
        <f t="shared" si="5"/>
        <v>3.947493579377912</v>
      </c>
      <c r="AX14" s="77">
        <f t="shared" si="6"/>
        <v>1.769238086179016</v>
      </c>
      <c r="AY14" s="77">
        <f t="shared" si="8"/>
        <v>1.9024065442785121</v>
      </c>
      <c r="AZ14" s="77">
        <f t="shared" si="10"/>
        <v>8.8557024636164741</v>
      </c>
      <c r="BA14" s="77">
        <f t="shared" si="12"/>
        <v>2.4350803766764955</v>
      </c>
      <c r="BB14" s="77">
        <f t="shared" si="14"/>
        <v>2.3209359840197847</v>
      </c>
      <c r="BC14" s="77">
        <f t="shared" ref="BC14:BC23" si="16">IFERROR(IF(AF14&gt;0,AF14,"x")/SUM($Y14:$AP14),"")*100</f>
        <v>8.3040045657757044</v>
      </c>
      <c r="BD14" s="77"/>
      <c r="BE14" s="77">
        <f t="shared" ref="BE14:BM14" si="17">IFERROR(IF(AH14&gt;0,AH14,"x")/SUM($Y14:$AP14),"")*100</f>
        <v>3.8333491867212022</v>
      </c>
      <c r="BF14" s="77">
        <f t="shared" si="17"/>
        <v>23.627889279939119</v>
      </c>
      <c r="BG14" s="77">
        <f t="shared" si="17"/>
        <v>3.7572529249500617</v>
      </c>
      <c r="BH14" s="77">
        <f t="shared" si="17"/>
        <v>12.29905830876058</v>
      </c>
      <c r="BI14" s="77">
        <f t="shared" si="17"/>
        <v>2.9297060781889086</v>
      </c>
      <c r="BJ14" s="77">
        <f t="shared" si="17"/>
        <v>9.3883762960144566</v>
      </c>
      <c r="BK14" s="77">
        <f t="shared" si="17"/>
        <v>1.3411966137163509</v>
      </c>
      <c r="BL14" s="77">
        <f t="shared" si="17"/>
        <v>2.8821459145819457</v>
      </c>
      <c r="BM14" s="77">
        <f t="shared" si="17"/>
        <v>9.9590982592980097</v>
      </c>
      <c r="BN14" s="25"/>
    </row>
    <row r="15" spans="1:66" ht="12.5" x14ac:dyDescent="0.25">
      <c r="A15" s="51" t="s">
        <v>119</v>
      </c>
      <c r="B15" s="18">
        <v>12</v>
      </c>
      <c r="C15" s="18">
        <v>26</v>
      </c>
      <c r="D15" s="18">
        <v>215</v>
      </c>
      <c r="E15" s="18">
        <v>49</v>
      </c>
      <c r="F15" s="18">
        <v>421</v>
      </c>
      <c r="G15" s="18">
        <v>588</v>
      </c>
      <c r="H15" s="18">
        <v>133</v>
      </c>
      <c r="I15" s="18">
        <v>352</v>
      </c>
      <c r="J15" s="18">
        <v>223</v>
      </c>
      <c r="K15" s="18">
        <v>289</v>
      </c>
      <c r="L15" s="18" t="s">
        <v>23</v>
      </c>
      <c r="M15" s="18">
        <v>878</v>
      </c>
      <c r="N15" s="18">
        <v>179</v>
      </c>
      <c r="O15" s="18">
        <v>534</v>
      </c>
      <c r="P15" s="18">
        <v>164</v>
      </c>
      <c r="Q15" s="18">
        <v>579</v>
      </c>
      <c r="R15" s="18">
        <v>170</v>
      </c>
      <c r="S15" s="18">
        <v>102</v>
      </c>
      <c r="T15" s="18">
        <v>672</v>
      </c>
      <c r="U15" s="18">
        <v>4134</v>
      </c>
      <c r="V15" s="81">
        <v>9708</v>
      </c>
      <c r="X15" s="29" t="s">
        <v>119</v>
      </c>
      <c r="Y15" s="56">
        <f t="shared" si="0"/>
        <v>2.5999999999999999E-2</v>
      </c>
      <c r="Z15" s="56">
        <f t="shared" si="0"/>
        <v>0.215</v>
      </c>
      <c r="AA15" s="56">
        <f t="shared" si="0"/>
        <v>4.9000000000000002E-2</v>
      </c>
      <c r="AB15" s="56">
        <f t="shared" si="0"/>
        <v>0.42099999999999999</v>
      </c>
      <c r="AC15" s="56">
        <f t="shared" si="0"/>
        <v>0.58799999999999997</v>
      </c>
      <c r="AD15" s="56">
        <f t="shared" si="0"/>
        <v>0.13300000000000001</v>
      </c>
      <c r="AE15" s="56">
        <f t="shared" si="0"/>
        <v>0.35199999999999998</v>
      </c>
      <c r="AF15" s="56">
        <f t="shared" si="0"/>
        <v>0.223</v>
      </c>
      <c r="AG15" s="56">
        <f t="shared" si="0"/>
        <v>0.28899999999999998</v>
      </c>
      <c r="AH15" s="56" t="str">
        <f t="shared" si="0"/>
        <v/>
      </c>
      <c r="AI15" s="56">
        <f t="shared" si="0"/>
        <v>0.878</v>
      </c>
      <c r="AJ15" s="56">
        <f t="shared" si="0"/>
        <v>0.17899999999999999</v>
      </c>
      <c r="AK15" s="56">
        <f t="shared" si="0"/>
        <v>0.53400000000000003</v>
      </c>
      <c r="AL15" s="56">
        <f t="shared" si="0"/>
        <v>0.16400000000000001</v>
      </c>
      <c r="AM15" s="56">
        <f t="shared" si="0"/>
        <v>0.57899999999999996</v>
      </c>
      <c r="AN15" s="56">
        <f t="shared" si="0"/>
        <v>0.17</v>
      </c>
      <c r="AO15" s="56">
        <f t="shared" si="1"/>
        <v>0.10199999999999999</v>
      </c>
      <c r="AP15" s="56">
        <f t="shared" si="1"/>
        <v>0.67200000000000004</v>
      </c>
      <c r="AQ15" s="56">
        <f t="shared" si="1"/>
        <v>4.1340000000000003</v>
      </c>
      <c r="AR15" s="56">
        <f t="shared" si="1"/>
        <v>9.7080000000000002</v>
      </c>
      <c r="AT15" s="26"/>
      <c r="AU15" s="31" t="s">
        <v>119</v>
      </c>
      <c r="AV15" s="77">
        <f t="shared" si="4"/>
        <v>0.46645138141370657</v>
      </c>
      <c r="AW15" s="77">
        <f t="shared" si="5"/>
        <v>3.8571941155364198</v>
      </c>
      <c r="AX15" s="77">
        <f t="shared" si="6"/>
        <v>0.87908144958737011</v>
      </c>
      <c r="AY15" s="77">
        <f t="shared" si="8"/>
        <v>7.5529242913527099</v>
      </c>
      <c r="AZ15" s="77">
        <f t="shared" si="10"/>
        <v>10.548977395048441</v>
      </c>
      <c r="BA15" s="77">
        <f t="shared" si="12"/>
        <v>2.3860782203085762</v>
      </c>
      <c r="BB15" s="77">
        <f t="shared" si="14"/>
        <v>6.3150340868317194</v>
      </c>
      <c r="BC15" s="77">
        <f t="shared" si="16"/>
        <v>4.000717617509868</v>
      </c>
      <c r="BD15" s="77">
        <f t="shared" ref="BD15:BD23" si="18">IFERROR(IF(AG15&gt;0,AG15,"x")/SUM($Y15:$AP15),"")*100</f>
        <v>5.1847865087908156</v>
      </c>
      <c r="BE15" s="77"/>
      <c r="BF15" s="77">
        <f t="shared" ref="BF15:BM15" si="19">IFERROR(IF(AI15&gt;0,AI15,"x")/SUM($Y15:$AP15),"")*100</f>
        <v>15.751704341585937</v>
      </c>
      <c r="BG15" s="77">
        <f t="shared" si="19"/>
        <v>3.2113383566559031</v>
      </c>
      <c r="BH15" s="77">
        <f t="shared" si="19"/>
        <v>9.5801937567276667</v>
      </c>
      <c r="BI15" s="77">
        <f t="shared" si="19"/>
        <v>2.9422317904556876</v>
      </c>
      <c r="BJ15" s="77">
        <f t="shared" si="19"/>
        <v>10.38751345532831</v>
      </c>
      <c r="BK15" s="77">
        <f t="shared" si="19"/>
        <v>3.0498744169357739</v>
      </c>
      <c r="BL15" s="77">
        <f t="shared" si="19"/>
        <v>1.8299246501614641</v>
      </c>
      <c r="BM15" s="77">
        <f t="shared" si="19"/>
        <v>12.055974165769648</v>
      </c>
      <c r="BN15" s="25"/>
    </row>
    <row r="16" spans="1:66" ht="12.5" x14ac:dyDescent="0.25">
      <c r="A16" s="51" t="s">
        <v>120</v>
      </c>
      <c r="B16" s="18">
        <v>13</v>
      </c>
      <c r="C16" s="18">
        <v>396</v>
      </c>
      <c r="D16" s="18">
        <v>5997</v>
      </c>
      <c r="E16" s="18">
        <v>1608</v>
      </c>
      <c r="F16" s="18">
        <v>2798</v>
      </c>
      <c r="G16" s="18">
        <v>7172</v>
      </c>
      <c r="H16" s="18">
        <v>2304</v>
      </c>
      <c r="I16" s="18">
        <v>1680</v>
      </c>
      <c r="J16" s="18">
        <v>4932</v>
      </c>
      <c r="K16" s="18">
        <v>3667</v>
      </c>
      <c r="L16" s="18">
        <v>1016</v>
      </c>
      <c r="M16" s="18" t="s">
        <v>23</v>
      </c>
      <c r="N16" s="18">
        <v>1679</v>
      </c>
      <c r="O16" s="18">
        <v>5678</v>
      </c>
      <c r="P16" s="18">
        <v>2064</v>
      </c>
      <c r="Q16" s="18">
        <v>4355</v>
      </c>
      <c r="R16" s="18">
        <v>924</v>
      </c>
      <c r="S16" s="18">
        <v>1112</v>
      </c>
      <c r="T16" s="18">
        <v>6004</v>
      </c>
      <c r="U16" s="18">
        <v>38679</v>
      </c>
      <c r="V16" s="81">
        <v>92065</v>
      </c>
      <c r="X16" s="29" t="s">
        <v>120</v>
      </c>
      <c r="Y16" s="56">
        <f t="shared" si="0"/>
        <v>0.39600000000000002</v>
      </c>
      <c r="Z16" s="56">
        <f t="shared" si="0"/>
        <v>5.9969999999999999</v>
      </c>
      <c r="AA16" s="56">
        <f t="shared" si="0"/>
        <v>1.6080000000000001</v>
      </c>
      <c r="AB16" s="56">
        <f t="shared" si="0"/>
        <v>2.798</v>
      </c>
      <c r="AC16" s="56">
        <f t="shared" si="0"/>
        <v>7.1719999999999997</v>
      </c>
      <c r="AD16" s="56">
        <f t="shared" si="0"/>
        <v>2.3039999999999998</v>
      </c>
      <c r="AE16" s="56">
        <f t="shared" si="0"/>
        <v>1.68</v>
      </c>
      <c r="AF16" s="56">
        <f t="shared" si="0"/>
        <v>4.9320000000000004</v>
      </c>
      <c r="AG16" s="56">
        <f t="shared" si="0"/>
        <v>3.6669999999999998</v>
      </c>
      <c r="AH16" s="56">
        <f t="shared" si="0"/>
        <v>1.016</v>
      </c>
      <c r="AI16" s="56" t="str">
        <f t="shared" si="0"/>
        <v/>
      </c>
      <c r="AJ16" s="56">
        <f t="shared" si="0"/>
        <v>1.679</v>
      </c>
      <c r="AK16" s="56">
        <f t="shared" si="0"/>
        <v>5.6779999999999999</v>
      </c>
      <c r="AL16" s="56">
        <f t="shared" si="0"/>
        <v>2.0640000000000001</v>
      </c>
      <c r="AM16" s="56">
        <f t="shared" si="0"/>
        <v>4.3550000000000004</v>
      </c>
      <c r="AN16" s="56">
        <f t="shared" si="0"/>
        <v>0.92400000000000004</v>
      </c>
      <c r="AO16" s="56">
        <f t="shared" si="1"/>
        <v>1.1120000000000001</v>
      </c>
      <c r="AP16" s="56">
        <f t="shared" si="1"/>
        <v>6.0039999999999996</v>
      </c>
      <c r="AQ16" s="56">
        <f t="shared" si="1"/>
        <v>38.679000000000002</v>
      </c>
      <c r="AR16" s="56">
        <f t="shared" si="1"/>
        <v>92.064999999999998</v>
      </c>
      <c r="AT16" s="26"/>
      <c r="AU16" s="31" t="s">
        <v>120</v>
      </c>
      <c r="AV16" s="77">
        <f t="shared" si="4"/>
        <v>0.74176750458921814</v>
      </c>
      <c r="AW16" s="77">
        <f t="shared" si="5"/>
        <v>11.23328213389278</v>
      </c>
      <c r="AX16" s="77">
        <f t="shared" si="6"/>
        <v>3.012025624695613</v>
      </c>
      <c r="AY16" s="77">
        <f t="shared" si="8"/>
        <v>5.2410744389914958</v>
      </c>
      <c r="AZ16" s="77">
        <f t="shared" si="10"/>
        <v>13.434233694226949</v>
      </c>
      <c r="BA16" s="77">
        <f t="shared" si="12"/>
        <v>4.315738208519087</v>
      </c>
      <c r="BB16" s="77">
        <f t="shared" si="14"/>
        <v>3.1468924437118342</v>
      </c>
      <c r="BC16" s="77">
        <f t="shared" si="16"/>
        <v>9.238377102611171</v>
      </c>
      <c r="BD16" s="77">
        <f t="shared" si="18"/>
        <v>6.868842018506724</v>
      </c>
      <c r="BE16" s="77">
        <f t="shared" ref="BE16:BE23" si="20">IFERROR(IF(AH16&gt;0,AH16,"x")/SUM($Y16:$AP16),"")*100</f>
        <v>1.9031206683400141</v>
      </c>
      <c r="BF16" s="77"/>
      <c r="BG16" s="77">
        <f t="shared" ref="BG16:BM16" si="21">IFERROR(IF(AJ16&gt;0,AJ16,"x")/SUM($Y16:$AP16),"")*100</f>
        <v>3.1450192934477208</v>
      </c>
      <c r="BH16" s="77">
        <f t="shared" si="21"/>
        <v>10.635747199640354</v>
      </c>
      <c r="BI16" s="77">
        <f t="shared" si="21"/>
        <v>3.8661821451316825</v>
      </c>
      <c r="BJ16" s="77">
        <f t="shared" si="21"/>
        <v>8.1575694002172856</v>
      </c>
      <c r="BK16" s="77">
        <f t="shared" si="21"/>
        <v>1.730790844041509</v>
      </c>
      <c r="BL16" s="77">
        <f t="shared" si="21"/>
        <v>2.0829430936949764</v>
      </c>
      <c r="BM16" s="77">
        <f t="shared" si="21"/>
        <v>11.246394185741579</v>
      </c>
      <c r="BN16" s="25"/>
    </row>
    <row r="17" spans="1:66" ht="12.5" x14ac:dyDescent="0.25">
      <c r="A17" s="51" t="s">
        <v>173</v>
      </c>
      <c r="B17" s="18">
        <v>14</v>
      </c>
      <c r="C17" s="18">
        <v>394</v>
      </c>
      <c r="D17" s="18">
        <v>1727</v>
      </c>
      <c r="E17" s="18">
        <v>418</v>
      </c>
      <c r="F17" s="18">
        <v>1796</v>
      </c>
      <c r="G17" s="18">
        <v>5193</v>
      </c>
      <c r="H17" s="18">
        <v>1664</v>
      </c>
      <c r="I17" s="18">
        <v>2466</v>
      </c>
      <c r="J17" s="18">
        <v>1037</v>
      </c>
      <c r="K17" s="18">
        <v>672</v>
      </c>
      <c r="L17" s="18">
        <v>403</v>
      </c>
      <c r="M17" s="18">
        <v>2114</v>
      </c>
      <c r="N17" s="18" t="s">
        <v>23</v>
      </c>
      <c r="O17" s="18">
        <v>1820</v>
      </c>
      <c r="P17" s="18">
        <v>773</v>
      </c>
      <c r="Q17" s="18">
        <v>4290</v>
      </c>
      <c r="R17" s="18">
        <v>701</v>
      </c>
      <c r="S17" s="18">
        <v>469</v>
      </c>
      <c r="T17" s="18">
        <v>6370</v>
      </c>
      <c r="U17" s="18">
        <v>28714</v>
      </c>
      <c r="V17" s="81">
        <v>61021</v>
      </c>
      <c r="X17" s="29" t="s">
        <v>121</v>
      </c>
      <c r="Y17" s="56">
        <f t="shared" si="0"/>
        <v>0.39400000000000002</v>
      </c>
      <c r="Z17" s="56">
        <f t="shared" si="0"/>
        <v>1.7270000000000001</v>
      </c>
      <c r="AA17" s="56">
        <f t="shared" si="0"/>
        <v>0.41799999999999998</v>
      </c>
      <c r="AB17" s="56">
        <f t="shared" si="0"/>
        <v>1.796</v>
      </c>
      <c r="AC17" s="56">
        <f t="shared" si="0"/>
        <v>5.1929999999999996</v>
      </c>
      <c r="AD17" s="56">
        <f t="shared" si="0"/>
        <v>1.6639999999999999</v>
      </c>
      <c r="AE17" s="56">
        <f t="shared" si="0"/>
        <v>2.4660000000000002</v>
      </c>
      <c r="AF17" s="56">
        <f t="shared" si="0"/>
        <v>1.0369999999999999</v>
      </c>
      <c r="AG17" s="56">
        <f t="shared" si="0"/>
        <v>0.67200000000000004</v>
      </c>
      <c r="AH17" s="56">
        <f t="shared" si="0"/>
        <v>0.40300000000000002</v>
      </c>
      <c r="AI17" s="56">
        <f t="shared" si="0"/>
        <v>2.1139999999999999</v>
      </c>
      <c r="AJ17" s="56" t="str">
        <f t="shared" si="0"/>
        <v/>
      </c>
      <c r="AK17" s="56">
        <f t="shared" si="0"/>
        <v>1.82</v>
      </c>
      <c r="AL17" s="56">
        <f t="shared" si="0"/>
        <v>0.77300000000000002</v>
      </c>
      <c r="AM17" s="56">
        <f t="shared" si="0"/>
        <v>4.29</v>
      </c>
      <c r="AN17" s="56">
        <f t="shared" si="0"/>
        <v>0.70099999999999996</v>
      </c>
      <c r="AO17" s="56">
        <f t="shared" si="1"/>
        <v>0.46899999999999997</v>
      </c>
      <c r="AP17" s="56">
        <f t="shared" si="1"/>
        <v>6.37</v>
      </c>
      <c r="AQ17" s="56">
        <f t="shared" si="1"/>
        <v>28.713999999999999</v>
      </c>
      <c r="AR17" s="56">
        <f t="shared" si="1"/>
        <v>61.021000000000001</v>
      </c>
      <c r="AT17" s="26"/>
      <c r="AU17" s="31" t="s">
        <v>121</v>
      </c>
      <c r="AV17" s="77">
        <f t="shared" si="4"/>
        <v>1.2195499427368683</v>
      </c>
      <c r="AW17" s="77">
        <f t="shared" si="5"/>
        <v>5.3455907388491664</v>
      </c>
      <c r="AX17" s="77">
        <f t="shared" si="6"/>
        <v>1.2938372488934289</v>
      </c>
      <c r="AY17" s="77">
        <f t="shared" si="8"/>
        <v>5.5591667440492785</v>
      </c>
      <c r="AZ17" s="77">
        <f t="shared" si="10"/>
        <v>16.073915869625779</v>
      </c>
      <c r="BA17" s="77">
        <f t="shared" si="12"/>
        <v>5.1505865601881951</v>
      </c>
      <c r="BB17" s="77">
        <f t="shared" si="14"/>
        <v>7.6330207075865939</v>
      </c>
      <c r="BC17" s="77">
        <f t="shared" si="16"/>
        <v>3.2098306868480515</v>
      </c>
      <c r="BD17" s="77">
        <f t="shared" si="18"/>
        <v>2.0800445723836942</v>
      </c>
      <c r="BE17" s="77">
        <f t="shared" si="20"/>
        <v>1.2474076825455787</v>
      </c>
      <c r="BF17" s="77">
        <f t="shared" ref="BF17:BF23" si="22">IFERROR(IF(AI17&gt;0,AI17,"x")/SUM($Y17:$AP17),"")*100</f>
        <v>6.5434735506237045</v>
      </c>
      <c r="BG17" s="77"/>
      <c r="BH17" s="77">
        <f t="shared" ref="BH17:BM17" si="23">IFERROR(IF(AK17&gt;0,AK17,"x")/SUM($Y17:$AP17),"")*100</f>
        <v>5.633454050205839</v>
      </c>
      <c r="BI17" s="77">
        <f t="shared" si="23"/>
        <v>2.3926703191258865</v>
      </c>
      <c r="BJ17" s="77">
        <f t="shared" si="23"/>
        <v>13.27885597548519</v>
      </c>
      <c r="BK17" s="77">
        <f t="shared" si="23"/>
        <v>2.1698084006562048</v>
      </c>
      <c r="BL17" s="77">
        <f t="shared" si="23"/>
        <v>1.4516977744761199</v>
      </c>
      <c r="BM17" s="77">
        <f t="shared" si="23"/>
        <v>19.717089175720435</v>
      </c>
      <c r="BN17" s="25"/>
    </row>
    <row r="18" spans="1:66" ht="12.5" x14ac:dyDescent="0.25">
      <c r="A18" s="51" t="s">
        <v>122</v>
      </c>
      <c r="B18" s="18">
        <v>15</v>
      </c>
      <c r="C18" s="18">
        <v>66</v>
      </c>
      <c r="D18" s="18">
        <v>499</v>
      </c>
      <c r="E18" s="18">
        <v>331</v>
      </c>
      <c r="F18" s="18">
        <v>309</v>
      </c>
      <c r="G18" s="18">
        <v>730</v>
      </c>
      <c r="H18" s="18">
        <v>517</v>
      </c>
      <c r="I18" s="18">
        <v>214</v>
      </c>
      <c r="J18" s="18">
        <v>435</v>
      </c>
      <c r="K18" s="18">
        <v>278</v>
      </c>
      <c r="L18" s="18">
        <v>271</v>
      </c>
      <c r="M18" s="18">
        <v>1376</v>
      </c>
      <c r="N18" s="18">
        <v>350</v>
      </c>
      <c r="O18" s="18" t="s">
        <v>23</v>
      </c>
      <c r="P18" s="18">
        <v>961</v>
      </c>
      <c r="Q18" s="18">
        <v>2790</v>
      </c>
      <c r="R18" s="18">
        <v>324</v>
      </c>
      <c r="S18" s="18">
        <v>381</v>
      </c>
      <c r="T18" s="18">
        <v>1820</v>
      </c>
      <c r="U18" s="18">
        <v>25890</v>
      </c>
      <c r="V18" s="81">
        <v>37542</v>
      </c>
      <c r="X18" s="29" t="s">
        <v>122</v>
      </c>
      <c r="Y18" s="56">
        <f t="shared" si="0"/>
        <v>6.6000000000000003E-2</v>
      </c>
      <c r="Z18" s="56">
        <f t="shared" si="0"/>
        <v>0.499</v>
      </c>
      <c r="AA18" s="56">
        <f t="shared" si="0"/>
        <v>0.33100000000000002</v>
      </c>
      <c r="AB18" s="56">
        <f t="shared" si="0"/>
        <v>0.309</v>
      </c>
      <c r="AC18" s="56">
        <f t="shared" si="0"/>
        <v>0.73</v>
      </c>
      <c r="AD18" s="56">
        <f t="shared" si="0"/>
        <v>0.51700000000000002</v>
      </c>
      <c r="AE18" s="56">
        <f t="shared" si="0"/>
        <v>0.214</v>
      </c>
      <c r="AF18" s="56">
        <f t="shared" si="0"/>
        <v>0.435</v>
      </c>
      <c r="AG18" s="56">
        <f t="shared" si="0"/>
        <v>0.27800000000000002</v>
      </c>
      <c r="AH18" s="56">
        <f t="shared" si="0"/>
        <v>0.27100000000000002</v>
      </c>
      <c r="AI18" s="56">
        <f t="shared" si="0"/>
        <v>1.3759999999999999</v>
      </c>
      <c r="AJ18" s="56">
        <f t="shared" si="0"/>
        <v>0.35</v>
      </c>
      <c r="AK18" s="56" t="str">
        <f t="shared" si="0"/>
        <v/>
      </c>
      <c r="AL18" s="56">
        <f t="shared" si="0"/>
        <v>0.96099999999999997</v>
      </c>
      <c r="AM18" s="56">
        <f t="shared" si="0"/>
        <v>2.79</v>
      </c>
      <c r="AN18" s="56">
        <f t="shared" si="0"/>
        <v>0.32400000000000001</v>
      </c>
      <c r="AO18" s="56">
        <f t="shared" si="1"/>
        <v>0.38100000000000001</v>
      </c>
      <c r="AP18" s="56">
        <f t="shared" si="1"/>
        <v>1.82</v>
      </c>
      <c r="AQ18" s="56">
        <f t="shared" si="1"/>
        <v>25.89</v>
      </c>
      <c r="AR18" s="56">
        <f t="shared" si="1"/>
        <v>37.542000000000002</v>
      </c>
      <c r="AT18" s="26"/>
      <c r="AU18" s="31" t="s">
        <v>122</v>
      </c>
      <c r="AV18" s="77">
        <f t="shared" si="4"/>
        <v>0.56642636457260565</v>
      </c>
      <c r="AW18" s="77">
        <f t="shared" si="5"/>
        <v>4.2825266048747004</v>
      </c>
      <c r="AX18" s="77">
        <f t="shared" si="6"/>
        <v>2.8407140405080673</v>
      </c>
      <c r="AY18" s="77">
        <f t="shared" si="8"/>
        <v>2.6519052523171989</v>
      </c>
      <c r="AZ18" s="77">
        <f t="shared" si="10"/>
        <v>6.2650188808788201</v>
      </c>
      <c r="BA18" s="77">
        <f t="shared" si="12"/>
        <v>4.4370065224854107</v>
      </c>
      <c r="BB18" s="77">
        <f t="shared" si="14"/>
        <v>1.8365945760384483</v>
      </c>
      <c r="BC18" s="77">
        <f t="shared" si="16"/>
        <v>3.733264675592173</v>
      </c>
      <c r="BD18" s="77">
        <f t="shared" si="18"/>
        <v>2.3858565053209753</v>
      </c>
      <c r="BE18" s="77">
        <f t="shared" si="20"/>
        <v>2.3257809818056989</v>
      </c>
      <c r="BF18" s="77">
        <f t="shared" si="22"/>
        <v>11.809131479574322</v>
      </c>
      <c r="BG18" s="77">
        <f t="shared" ref="BG18:BG23" si="24">IFERROR(IF(AJ18&gt;0,AJ18,"x")/SUM($Y18:$AP18),"")*100</f>
        <v>3.0037761757638175</v>
      </c>
      <c r="BH18" s="77"/>
      <c r="BI18" s="77">
        <f>IFERROR(IF(AL18&gt;0,AL18,"x")/SUM($Y18:$AP18),"")*100</f>
        <v>8.2475111568829398</v>
      </c>
      <c r="BJ18" s="77">
        <f>IFERROR(IF(AM18&gt;0,AM18,"x")/SUM($Y18:$AP18),"")*100</f>
        <v>23.944387229660148</v>
      </c>
      <c r="BK18" s="77">
        <f>IFERROR(IF(AN18&gt;0,AN18,"x")/SUM($Y18:$AP18),"")*100</f>
        <v>2.780638516992791</v>
      </c>
      <c r="BL18" s="77">
        <f>IFERROR(IF(AO18&gt;0,AO18,"x")/SUM($Y18:$AP18),"")*100</f>
        <v>3.2698249227600416</v>
      </c>
      <c r="BM18" s="77">
        <f>IFERROR(IF(AP18&gt;0,AP18,"x")/SUM($Y18:$AP18),"")*100</f>
        <v>15.619636113971852</v>
      </c>
      <c r="BN18" s="25"/>
    </row>
    <row r="19" spans="1:66" ht="12.5" x14ac:dyDescent="0.25">
      <c r="A19" s="51" t="s">
        <v>123</v>
      </c>
      <c r="B19" s="18">
        <v>16</v>
      </c>
      <c r="C19" s="18">
        <v>122</v>
      </c>
      <c r="D19" s="18">
        <v>918</v>
      </c>
      <c r="E19" s="18">
        <v>203</v>
      </c>
      <c r="F19" s="18">
        <v>1973</v>
      </c>
      <c r="G19" s="18">
        <v>1907</v>
      </c>
      <c r="H19" s="18">
        <v>451</v>
      </c>
      <c r="I19" s="18">
        <v>836</v>
      </c>
      <c r="J19" s="18">
        <v>1023</v>
      </c>
      <c r="K19" s="18">
        <v>389</v>
      </c>
      <c r="L19" s="18">
        <v>223</v>
      </c>
      <c r="M19" s="18">
        <v>2309</v>
      </c>
      <c r="N19" s="18">
        <v>495</v>
      </c>
      <c r="O19" s="18">
        <v>2189</v>
      </c>
      <c r="P19" s="18" t="s">
        <v>23</v>
      </c>
      <c r="Q19" s="18">
        <v>5100</v>
      </c>
      <c r="R19" s="18">
        <v>953</v>
      </c>
      <c r="S19" s="18">
        <v>838</v>
      </c>
      <c r="T19" s="18">
        <v>2401</v>
      </c>
      <c r="U19" s="18">
        <v>37546</v>
      </c>
      <c r="V19" s="81">
        <v>59876</v>
      </c>
      <c r="X19" s="29" t="s">
        <v>123</v>
      </c>
      <c r="Y19" s="56">
        <f t="shared" si="0"/>
        <v>0.122</v>
      </c>
      <c r="Z19" s="56">
        <f t="shared" si="0"/>
        <v>0.91800000000000004</v>
      </c>
      <c r="AA19" s="56">
        <f t="shared" si="0"/>
        <v>0.20300000000000001</v>
      </c>
      <c r="AB19" s="56">
        <f t="shared" si="0"/>
        <v>1.9730000000000001</v>
      </c>
      <c r="AC19" s="56">
        <f t="shared" si="0"/>
        <v>1.907</v>
      </c>
      <c r="AD19" s="56">
        <f t="shared" si="0"/>
        <v>0.45100000000000001</v>
      </c>
      <c r="AE19" s="56">
        <f t="shared" si="0"/>
        <v>0.83599999999999997</v>
      </c>
      <c r="AF19" s="56">
        <f t="shared" si="0"/>
        <v>1.0229999999999999</v>
      </c>
      <c r="AG19" s="56">
        <f t="shared" si="0"/>
        <v>0.38900000000000001</v>
      </c>
      <c r="AH19" s="56">
        <f t="shared" si="0"/>
        <v>0.223</v>
      </c>
      <c r="AI19" s="56">
        <f t="shared" si="0"/>
        <v>2.3090000000000002</v>
      </c>
      <c r="AJ19" s="56">
        <f t="shared" si="0"/>
        <v>0.495</v>
      </c>
      <c r="AK19" s="56">
        <f t="shared" si="0"/>
        <v>2.1890000000000001</v>
      </c>
      <c r="AL19" s="56" t="str">
        <f t="shared" si="0"/>
        <v/>
      </c>
      <c r="AM19" s="56">
        <f t="shared" si="0"/>
        <v>5.0999999999999996</v>
      </c>
      <c r="AN19" s="56">
        <f t="shared" si="0"/>
        <v>0.95299999999999996</v>
      </c>
      <c r="AO19" s="56">
        <f t="shared" si="1"/>
        <v>0.83799999999999997</v>
      </c>
      <c r="AP19" s="56">
        <f t="shared" si="1"/>
        <v>2.4009999999999998</v>
      </c>
      <c r="AQ19" s="56">
        <f t="shared" si="1"/>
        <v>37.545999999999999</v>
      </c>
      <c r="AR19" s="56">
        <f t="shared" si="1"/>
        <v>59.875999999999998</v>
      </c>
      <c r="AT19" s="26"/>
      <c r="AU19" s="31" t="s">
        <v>123</v>
      </c>
      <c r="AV19" s="77">
        <f t="shared" si="4"/>
        <v>0.54635020152261526</v>
      </c>
      <c r="AW19" s="77">
        <f t="shared" si="5"/>
        <v>4.1110613524406636</v>
      </c>
      <c r="AX19" s="77">
        <f t="shared" si="6"/>
        <v>0.90909090909090917</v>
      </c>
      <c r="AY19" s="77">
        <f t="shared" si="8"/>
        <v>8.8356471115091821</v>
      </c>
      <c r="AZ19" s="77">
        <f t="shared" si="10"/>
        <v>8.540080609046127</v>
      </c>
      <c r="BA19" s="77">
        <f t="shared" si="12"/>
        <v>2.0197044334975369</v>
      </c>
      <c r="BB19" s="77">
        <f t="shared" si="14"/>
        <v>3.74384236453202</v>
      </c>
      <c r="BC19" s="77">
        <f t="shared" si="16"/>
        <v>4.5812807881773399</v>
      </c>
      <c r="BD19" s="77">
        <f t="shared" si="18"/>
        <v>1.7420510523958801</v>
      </c>
      <c r="BE19" s="77">
        <f t="shared" si="20"/>
        <v>0.99865651589789528</v>
      </c>
      <c r="BF19" s="77">
        <f t="shared" si="22"/>
        <v>10.34034930586655</v>
      </c>
      <c r="BG19" s="77">
        <f t="shared" si="24"/>
        <v>2.2167487684729066</v>
      </c>
      <c r="BH19" s="77">
        <f>IFERROR(IF(AK19&gt;0,AK19,"x")/SUM($Y19:$AP19),"")*100</f>
        <v>9.8029556650246317</v>
      </c>
      <c r="BI19" s="77"/>
      <c r="BJ19" s="77">
        <f>IFERROR(IF(AM19&gt;0,AM19,"x")/SUM($Y19:$AP19),"")*100</f>
        <v>22.839229735781462</v>
      </c>
      <c r="BK19" s="77">
        <f>IFERROR(IF(AN19&gt;0,AN19,"x")/SUM($Y19:$AP19),"")*100</f>
        <v>4.2678011643528881</v>
      </c>
      <c r="BL19" s="77">
        <f>IFERROR(IF(AO19&gt;0,AO19,"x")/SUM($Y19:$AP19),"")*100</f>
        <v>3.7527989252127183</v>
      </c>
      <c r="BM19" s="77">
        <f>IFERROR(IF(AP19&gt;0,AP19,"x")/SUM($Y19:$AP19),"")*100</f>
        <v>10.752351097178684</v>
      </c>
      <c r="BN19" s="25"/>
    </row>
    <row r="20" spans="1:66" ht="12.5" x14ac:dyDescent="0.25">
      <c r="A20" s="51" t="s">
        <v>174</v>
      </c>
      <c r="B20" s="18">
        <v>17</v>
      </c>
      <c r="C20" s="18">
        <v>391</v>
      </c>
      <c r="D20" s="18">
        <v>1581</v>
      </c>
      <c r="E20" s="18">
        <v>220</v>
      </c>
      <c r="F20" s="18">
        <v>826</v>
      </c>
      <c r="G20" s="18">
        <v>7186</v>
      </c>
      <c r="H20" s="18">
        <v>1179</v>
      </c>
      <c r="I20" s="18">
        <v>3291</v>
      </c>
      <c r="J20" s="18">
        <v>1020</v>
      </c>
      <c r="K20" s="18">
        <v>771</v>
      </c>
      <c r="L20" s="18">
        <v>791</v>
      </c>
      <c r="M20" s="18">
        <v>4058</v>
      </c>
      <c r="N20" s="18">
        <v>2130</v>
      </c>
      <c r="O20" s="18">
        <v>6003</v>
      </c>
      <c r="P20" s="18">
        <v>5594</v>
      </c>
      <c r="Q20" s="18" t="s">
        <v>23</v>
      </c>
      <c r="R20" s="18">
        <v>1538</v>
      </c>
      <c r="S20" s="18">
        <v>1806</v>
      </c>
      <c r="T20" s="18">
        <v>8399</v>
      </c>
      <c r="U20" s="18">
        <v>87849</v>
      </c>
      <c r="V20" s="81">
        <v>134633</v>
      </c>
      <c r="X20" s="29" t="s">
        <v>124</v>
      </c>
      <c r="Y20" s="56">
        <f t="shared" si="0"/>
        <v>0.39100000000000001</v>
      </c>
      <c r="Z20" s="56">
        <f t="shared" si="0"/>
        <v>1.581</v>
      </c>
      <c r="AA20" s="56">
        <f t="shared" si="0"/>
        <v>0.22</v>
      </c>
      <c r="AB20" s="56">
        <f t="shared" si="0"/>
        <v>0.82599999999999996</v>
      </c>
      <c r="AC20" s="56">
        <f t="shared" si="0"/>
        <v>7.1859999999999999</v>
      </c>
      <c r="AD20" s="56">
        <f t="shared" si="0"/>
        <v>1.179</v>
      </c>
      <c r="AE20" s="56">
        <f t="shared" si="0"/>
        <v>3.2909999999999999</v>
      </c>
      <c r="AF20" s="56">
        <f t="shared" si="0"/>
        <v>1.02</v>
      </c>
      <c r="AG20" s="56">
        <f t="shared" si="0"/>
        <v>0.77100000000000002</v>
      </c>
      <c r="AH20" s="56">
        <f t="shared" si="0"/>
        <v>0.79100000000000004</v>
      </c>
      <c r="AI20" s="56">
        <f t="shared" si="0"/>
        <v>4.0579999999999998</v>
      </c>
      <c r="AJ20" s="56">
        <f t="shared" si="0"/>
        <v>2.13</v>
      </c>
      <c r="AK20" s="56">
        <f t="shared" si="0"/>
        <v>6.0030000000000001</v>
      </c>
      <c r="AL20" s="56">
        <f t="shared" si="0"/>
        <v>5.5940000000000003</v>
      </c>
      <c r="AM20" s="56" t="str">
        <f t="shared" si="0"/>
        <v/>
      </c>
      <c r="AN20" s="56">
        <f t="shared" si="0"/>
        <v>1.538</v>
      </c>
      <c r="AO20" s="56">
        <f t="shared" si="1"/>
        <v>1.806</v>
      </c>
      <c r="AP20" s="56">
        <f t="shared" si="1"/>
        <v>8.3989999999999991</v>
      </c>
      <c r="AQ20" s="56">
        <f t="shared" si="1"/>
        <v>87.849000000000004</v>
      </c>
      <c r="AR20" s="56">
        <f t="shared" si="1"/>
        <v>134.63300000000001</v>
      </c>
      <c r="AT20" s="26"/>
      <c r="AU20" s="31" t="s">
        <v>124</v>
      </c>
      <c r="AV20" s="77">
        <f t="shared" si="4"/>
        <v>0.83575581395348841</v>
      </c>
      <c r="AW20" s="77">
        <f t="shared" si="5"/>
        <v>3.3793604651162794</v>
      </c>
      <c r="AX20" s="77">
        <f t="shared" si="6"/>
        <v>0.47024623803009585</v>
      </c>
      <c r="AY20" s="77">
        <f t="shared" si="8"/>
        <v>1.7655608755129961</v>
      </c>
      <c r="AZ20" s="77">
        <f t="shared" si="10"/>
        <v>15.359952120383038</v>
      </c>
      <c r="BA20" s="77">
        <f t="shared" si="12"/>
        <v>2.5200923392612866</v>
      </c>
      <c r="BB20" s="77">
        <f t="shared" si="14"/>
        <v>7.0344562243502065</v>
      </c>
      <c r="BC20" s="77">
        <f t="shared" si="16"/>
        <v>2.1802325581395352</v>
      </c>
      <c r="BD20" s="77">
        <f t="shared" si="18"/>
        <v>1.6479993160054722</v>
      </c>
      <c r="BE20" s="77">
        <f t="shared" si="20"/>
        <v>1.6907489740082084</v>
      </c>
      <c r="BF20" s="77">
        <f t="shared" si="22"/>
        <v>8.6739056087551312</v>
      </c>
      <c r="BG20" s="77">
        <f t="shared" si="24"/>
        <v>4.5528385772913822</v>
      </c>
      <c r="BH20" s="77">
        <f>IFERROR(IF(AK20&gt;0,AK20,"x")/SUM($Y20:$AP20),"")*100</f>
        <v>12.831309849521205</v>
      </c>
      <c r="BI20" s="77">
        <f>IFERROR(IF(AL20&gt;0,AL20,"x")/SUM($Y20:$AP20),"")*100</f>
        <v>11.957079343365255</v>
      </c>
      <c r="BJ20" s="77"/>
      <c r="BK20" s="77">
        <f>IFERROR(IF(AN20&gt;0,AN20,"x")/SUM($Y20:$AP20),"")*100</f>
        <v>3.2874487004103976</v>
      </c>
      <c r="BL20" s="77">
        <f>IFERROR(IF(AO20&gt;0,AO20,"x")/SUM($Y20:$AP20),"")*100</f>
        <v>3.8602941176470598</v>
      </c>
      <c r="BM20" s="77">
        <f>IFERROR(IF(AP20&gt;0,AP20,"x")/SUM($Y20:$AP20),"")*100</f>
        <v>17.952718878248973</v>
      </c>
      <c r="BN20" s="25"/>
    </row>
    <row r="21" spans="1:66" ht="12.5" x14ac:dyDescent="0.25">
      <c r="A21" s="51" t="s">
        <v>125</v>
      </c>
      <c r="B21" s="18">
        <v>18</v>
      </c>
      <c r="C21" s="18">
        <v>144</v>
      </c>
      <c r="D21" s="18">
        <v>567</v>
      </c>
      <c r="E21" s="18">
        <v>67</v>
      </c>
      <c r="F21" s="18">
        <v>338</v>
      </c>
      <c r="G21" s="18">
        <v>3339</v>
      </c>
      <c r="H21" s="18">
        <v>549</v>
      </c>
      <c r="I21" s="18">
        <v>2914</v>
      </c>
      <c r="J21" s="18">
        <v>661</v>
      </c>
      <c r="K21" s="18">
        <v>211</v>
      </c>
      <c r="L21" s="18">
        <v>200</v>
      </c>
      <c r="M21" s="18">
        <v>1243</v>
      </c>
      <c r="N21" s="18">
        <v>1033</v>
      </c>
      <c r="O21" s="18">
        <v>1275</v>
      </c>
      <c r="P21" s="18">
        <v>1378</v>
      </c>
      <c r="Q21" s="18">
        <v>3050</v>
      </c>
      <c r="R21" s="18" t="s">
        <v>23</v>
      </c>
      <c r="S21" s="18">
        <v>515</v>
      </c>
      <c r="T21" s="18">
        <v>2604</v>
      </c>
      <c r="U21" s="18">
        <v>15343</v>
      </c>
      <c r="V21" s="81">
        <v>35431</v>
      </c>
      <c r="X21" s="29" t="s">
        <v>125</v>
      </c>
      <c r="Y21" s="56">
        <f t="shared" si="0"/>
        <v>0.14399999999999999</v>
      </c>
      <c r="Z21" s="56">
        <f t="shared" si="0"/>
        <v>0.56699999999999995</v>
      </c>
      <c r="AA21" s="56">
        <f t="shared" si="0"/>
        <v>6.7000000000000004E-2</v>
      </c>
      <c r="AB21" s="56">
        <f t="shared" si="0"/>
        <v>0.33800000000000002</v>
      </c>
      <c r="AC21" s="56">
        <f t="shared" si="0"/>
        <v>3.339</v>
      </c>
      <c r="AD21" s="56">
        <f t="shared" si="0"/>
        <v>0.54900000000000004</v>
      </c>
      <c r="AE21" s="56">
        <f t="shared" si="0"/>
        <v>2.9140000000000001</v>
      </c>
      <c r="AF21" s="56">
        <f t="shared" si="0"/>
        <v>0.66100000000000003</v>
      </c>
      <c r="AG21" s="56">
        <f t="shared" si="0"/>
        <v>0.21099999999999999</v>
      </c>
      <c r="AH21" s="56">
        <f t="shared" si="0"/>
        <v>0.2</v>
      </c>
      <c r="AI21" s="56">
        <f t="shared" si="0"/>
        <v>1.2430000000000001</v>
      </c>
      <c r="AJ21" s="56">
        <f t="shared" si="0"/>
        <v>1.0329999999999999</v>
      </c>
      <c r="AK21" s="56">
        <f t="shared" si="0"/>
        <v>1.2749999999999999</v>
      </c>
      <c r="AL21" s="56">
        <f t="shared" si="0"/>
        <v>1.3779999999999999</v>
      </c>
      <c r="AM21" s="56">
        <f t="shared" si="0"/>
        <v>3.05</v>
      </c>
      <c r="AN21" s="56" t="str">
        <f t="shared" ref="AN21:AR23" si="25">IFERROR(R21/1000,"")</f>
        <v/>
      </c>
      <c r="AO21" s="56">
        <f t="shared" si="1"/>
        <v>0.51500000000000001</v>
      </c>
      <c r="AP21" s="56">
        <f t="shared" si="1"/>
        <v>2.6040000000000001</v>
      </c>
      <c r="AQ21" s="56">
        <f t="shared" si="1"/>
        <v>15.343</v>
      </c>
      <c r="AR21" s="56">
        <f t="shared" si="1"/>
        <v>35.430999999999997</v>
      </c>
      <c r="AT21" s="26"/>
      <c r="AU21" s="31" t="s">
        <v>125</v>
      </c>
      <c r="AV21" s="77">
        <f t="shared" si="4"/>
        <v>0.7168458781362006</v>
      </c>
      <c r="AW21" s="77">
        <f t="shared" si="5"/>
        <v>2.82258064516129</v>
      </c>
      <c r="AX21" s="77">
        <f t="shared" si="6"/>
        <v>0.33353245718837116</v>
      </c>
      <c r="AY21" s="77">
        <f t="shared" si="8"/>
        <v>1.6825965750696934</v>
      </c>
      <c r="AZ21" s="77">
        <f t="shared" si="10"/>
        <v>16.621863799283155</v>
      </c>
      <c r="BA21" s="77">
        <f t="shared" si="12"/>
        <v>2.7329749103942653</v>
      </c>
      <c r="BB21" s="77">
        <f t="shared" si="14"/>
        <v>14.506172839506174</v>
      </c>
      <c r="BC21" s="77">
        <f t="shared" si="16"/>
        <v>3.2905217045001987</v>
      </c>
      <c r="BD21" s="77">
        <f t="shared" si="18"/>
        <v>1.0503783353245719</v>
      </c>
      <c r="BE21" s="77">
        <f t="shared" si="20"/>
        <v>0.99561927518916771</v>
      </c>
      <c r="BF21" s="77">
        <f t="shared" si="22"/>
        <v>6.1877737953006768</v>
      </c>
      <c r="BG21" s="77">
        <f t="shared" si="24"/>
        <v>5.1423735563520507</v>
      </c>
      <c r="BH21" s="77">
        <f>IFERROR(IF(AK21&gt;0,AK21,"x")/SUM($Y21:$AP21),"")*100</f>
        <v>6.3470728793309439</v>
      </c>
      <c r="BI21" s="77">
        <f>IFERROR(IF(AL21&gt;0,AL21,"x")/SUM($Y21:$AP21),"")*100</f>
        <v>6.8598168060533649</v>
      </c>
      <c r="BJ21" s="77">
        <f>IFERROR(IF(AM21&gt;0,AM21,"x")/SUM($Y21:$AP21),"")*100</f>
        <v>15.183193946634804</v>
      </c>
      <c r="BK21" s="77"/>
      <c r="BL21" s="77">
        <f>IFERROR(IF(AO21&gt;0,AO21,"x")/SUM($Y21:$AP21),"")*100</f>
        <v>2.5637196336121066</v>
      </c>
      <c r="BM21" s="77">
        <f>IFERROR(IF(AP21&gt;0,AP21,"x")/SUM($Y21:$AP21),"")*100</f>
        <v>12.962962962962962</v>
      </c>
      <c r="BN21" s="25"/>
    </row>
    <row r="22" spans="1:66" ht="12.5" x14ac:dyDescent="0.25">
      <c r="A22" s="51" t="s">
        <v>175</v>
      </c>
      <c r="B22" s="18">
        <v>19</v>
      </c>
      <c r="C22" s="18">
        <v>75</v>
      </c>
      <c r="D22" s="18">
        <v>545</v>
      </c>
      <c r="E22" s="18">
        <v>85</v>
      </c>
      <c r="F22" s="18">
        <v>475</v>
      </c>
      <c r="G22" s="18">
        <v>1763</v>
      </c>
      <c r="H22" s="18">
        <v>446</v>
      </c>
      <c r="I22" s="18">
        <v>740</v>
      </c>
      <c r="J22" s="18">
        <v>343</v>
      </c>
      <c r="K22" s="18">
        <v>222</v>
      </c>
      <c r="L22" s="18">
        <v>165</v>
      </c>
      <c r="M22" s="18">
        <v>812</v>
      </c>
      <c r="N22" s="18">
        <v>542</v>
      </c>
      <c r="O22" s="18">
        <v>906</v>
      </c>
      <c r="P22" s="18">
        <v>762</v>
      </c>
      <c r="Q22" s="18">
        <v>2372</v>
      </c>
      <c r="R22" s="18">
        <v>371</v>
      </c>
      <c r="S22" s="18" t="s">
        <v>23</v>
      </c>
      <c r="T22" s="18">
        <v>1261</v>
      </c>
      <c r="U22" s="18">
        <v>11715</v>
      </c>
      <c r="V22" s="81">
        <v>23600</v>
      </c>
      <c r="X22" s="29" t="s">
        <v>126</v>
      </c>
      <c r="Y22" s="56">
        <f t="shared" ref="Y22:AM23" si="26">IFERROR(C22/1000,"")</f>
        <v>7.4999999999999997E-2</v>
      </c>
      <c r="Z22" s="56">
        <f t="shared" si="26"/>
        <v>0.54500000000000004</v>
      </c>
      <c r="AA22" s="56">
        <f t="shared" si="26"/>
        <v>8.5000000000000006E-2</v>
      </c>
      <c r="AB22" s="56">
        <f t="shared" si="26"/>
        <v>0.47499999999999998</v>
      </c>
      <c r="AC22" s="56">
        <f t="shared" si="26"/>
        <v>1.7629999999999999</v>
      </c>
      <c r="AD22" s="56">
        <f t="shared" si="26"/>
        <v>0.44600000000000001</v>
      </c>
      <c r="AE22" s="56">
        <f t="shared" si="26"/>
        <v>0.74</v>
      </c>
      <c r="AF22" s="56">
        <f t="shared" si="26"/>
        <v>0.34300000000000003</v>
      </c>
      <c r="AG22" s="56">
        <f t="shared" si="26"/>
        <v>0.222</v>
      </c>
      <c r="AH22" s="56">
        <f t="shared" si="26"/>
        <v>0.16500000000000001</v>
      </c>
      <c r="AI22" s="56">
        <f t="shared" si="26"/>
        <v>0.81200000000000006</v>
      </c>
      <c r="AJ22" s="56">
        <f t="shared" si="26"/>
        <v>0.54200000000000004</v>
      </c>
      <c r="AK22" s="56">
        <f t="shared" si="26"/>
        <v>0.90600000000000003</v>
      </c>
      <c r="AL22" s="56">
        <f t="shared" si="26"/>
        <v>0.76200000000000001</v>
      </c>
      <c r="AM22" s="56">
        <f t="shared" si="26"/>
        <v>2.3719999999999999</v>
      </c>
      <c r="AN22" s="56">
        <f t="shared" si="25"/>
        <v>0.371</v>
      </c>
      <c r="AO22" s="56" t="str">
        <f t="shared" si="25"/>
        <v/>
      </c>
      <c r="AP22" s="56">
        <f t="shared" si="25"/>
        <v>1.2609999999999999</v>
      </c>
      <c r="AQ22" s="56">
        <f t="shared" si="25"/>
        <v>11.715</v>
      </c>
      <c r="AR22" s="56">
        <f t="shared" si="25"/>
        <v>23.6</v>
      </c>
      <c r="AT22" s="26"/>
      <c r="AU22" s="31" t="s">
        <v>126</v>
      </c>
      <c r="AV22" s="77">
        <f t="shared" si="4"/>
        <v>0.63104753891459819</v>
      </c>
      <c r="AW22" s="77">
        <f t="shared" si="5"/>
        <v>4.5856121161127481</v>
      </c>
      <c r="AX22" s="77">
        <f t="shared" si="6"/>
        <v>0.71518721076987801</v>
      </c>
      <c r="AY22" s="77">
        <f t="shared" si="8"/>
        <v>3.9966344131257889</v>
      </c>
      <c r="AZ22" s="77">
        <f t="shared" si="10"/>
        <v>14.833824148085823</v>
      </c>
      <c r="BA22" s="77">
        <f t="shared" si="12"/>
        <v>3.752629364745478</v>
      </c>
      <c r="BB22" s="77">
        <f t="shared" si="14"/>
        <v>6.226335717290703</v>
      </c>
      <c r="BC22" s="77">
        <f t="shared" si="16"/>
        <v>2.8859907446360964</v>
      </c>
      <c r="BD22" s="77">
        <f t="shared" si="18"/>
        <v>1.8679007151872109</v>
      </c>
      <c r="BE22" s="77">
        <f t="shared" si="20"/>
        <v>1.3883045856121161</v>
      </c>
      <c r="BF22" s="77">
        <f t="shared" si="22"/>
        <v>6.8321413546487175</v>
      </c>
      <c r="BG22" s="77">
        <f t="shared" si="24"/>
        <v>4.5603702145561638</v>
      </c>
      <c r="BH22" s="77">
        <f>IFERROR(IF(AK22&gt;0,AK22,"x")/SUM($Y22:$AP22),"")*100</f>
        <v>7.6230542700883479</v>
      </c>
      <c r="BI22" s="77">
        <f>IFERROR(IF(AL22&gt;0,AL22,"x")/SUM($Y22:$AP22),"")*100</f>
        <v>6.4114429953723189</v>
      </c>
      <c r="BJ22" s="77">
        <f>IFERROR(IF(AM22&gt;0,AM22,"x")/SUM($Y22:$AP22),"")*100</f>
        <v>19.957930164072359</v>
      </c>
      <c r="BK22" s="77">
        <f>IFERROR(IF(AN22&gt;0,AN22,"x")/SUM($Y22:$AP22),"")*100</f>
        <v>3.1215818258308792</v>
      </c>
      <c r="BL22" s="77"/>
      <c r="BM22" s="77">
        <f>IFERROR(IF(AP22&gt;0,AP22,"x")/SUM($Y22:$AP22),"")*100</f>
        <v>10.610012620950778</v>
      </c>
      <c r="BN22" s="25"/>
    </row>
    <row r="23" spans="1:66" ht="12.5" x14ac:dyDescent="0.25">
      <c r="A23" s="51" t="s">
        <v>159</v>
      </c>
      <c r="B23" s="18">
        <v>78</v>
      </c>
      <c r="C23" s="18">
        <v>3063</v>
      </c>
      <c r="D23" s="18">
        <v>21068</v>
      </c>
      <c r="E23" s="18">
        <v>2532</v>
      </c>
      <c r="F23" s="18">
        <v>8165</v>
      </c>
      <c r="G23" s="18">
        <v>25999</v>
      </c>
      <c r="H23" s="18">
        <v>13321</v>
      </c>
      <c r="I23" s="18">
        <v>12373</v>
      </c>
      <c r="J23" s="18">
        <v>4993</v>
      </c>
      <c r="K23" s="18">
        <v>3924</v>
      </c>
      <c r="L23" s="18">
        <v>1420</v>
      </c>
      <c r="M23" s="18">
        <v>10086</v>
      </c>
      <c r="N23" s="18">
        <v>9083</v>
      </c>
      <c r="O23" s="18">
        <v>10293</v>
      </c>
      <c r="P23" s="18">
        <v>3921</v>
      </c>
      <c r="Q23" s="18">
        <v>12778</v>
      </c>
      <c r="R23" s="18">
        <v>2870</v>
      </c>
      <c r="S23" s="18">
        <v>2085</v>
      </c>
      <c r="T23" s="18" t="s">
        <v>23</v>
      </c>
      <c r="U23" s="18">
        <v>157140</v>
      </c>
      <c r="V23" s="81">
        <v>305114</v>
      </c>
      <c r="X23" s="29" t="s">
        <v>159</v>
      </c>
      <c r="Y23" s="56">
        <f t="shared" si="26"/>
        <v>3.0630000000000002</v>
      </c>
      <c r="Z23" s="56">
        <f t="shared" si="26"/>
        <v>21.068000000000001</v>
      </c>
      <c r="AA23" s="56">
        <f t="shared" si="26"/>
        <v>2.532</v>
      </c>
      <c r="AB23" s="56">
        <f t="shared" si="26"/>
        <v>8.1649999999999991</v>
      </c>
      <c r="AC23" s="56">
        <f t="shared" si="26"/>
        <v>25.998999999999999</v>
      </c>
      <c r="AD23" s="56">
        <f t="shared" si="26"/>
        <v>13.321</v>
      </c>
      <c r="AE23" s="56">
        <f t="shared" si="26"/>
        <v>12.372999999999999</v>
      </c>
      <c r="AF23" s="56">
        <f t="shared" si="26"/>
        <v>4.9930000000000003</v>
      </c>
      <c r="AG23" s="56">
        <f t="shared" si="26"/>
        <v>3.9239999999999999</v>
      </c>
      <c r="AH23" s="56">
        <f t="shared" si="26"/>
        <v>1.42</v>
      </c>
      <c r="AI23" s="56">
        <f t="shared" si="26"/>
        <v>10.086</v>
      </c>
      <c r="AJ23" s="56">
        <f t="shared" si="26"/>
        <v>9.0830000000000002</v>
      </c>
      <c r="AK23" s="56">
        <f t="shared" si="26"/>
        <v>10.292999999999999</v>
      </c>
      <c r="AL23" s="56">
        <f t="shared" si="26"/>
        <v>3.9209999999999998</v>
      </c>
      <c r="AM23" s="56">
        <f t="shared" si="26"/>
        <v>12.778</v>
      </c>
      <c r="AN23" s="56">
        <f t="shared" si="25"/>
        <v>2.87</v>
      </c>
      <c r="AO23" s="56">
        <f t="shared" si="25"/>
        <v>2.085</v>
      </c>
      <c r="AP23" s="56" t="str">
        <f t="shared" si="25"/>
        <v/>
      </c>
      <c r="AQ23" s="56">
        <f t="shared" si="25"/>
        <v>157.13999999999999</v>
      </c>
      <c r="AR23" s="56">
        <f t="shared" si="25"/>
        <v>305.11399999999998</v>
      </c>
      <c r="AT23" s="26"/>
      <c r="AU23" s="31" t="s">
        <v>159</v>
      </c>
      <c r="AV23" s="77">
        <f t="shared" si="4"/>
        <v>2.0699582359063085</v>
      </c>
      <c r="AW23" s="77">
        <f t="shared" si="5"/>
        <v>14.237636341519458</v>
      </c>
      <c r="AX23" s="77">
        <f t="shared" si="6"/>
        <v>1.7111114114641761</v>
      </c>
      <c r="AY23" s="77">
        <f t="shared" si="8"/>
        <v>5.5178612458945491</v>
      </c>
      <c r="AZ23" s="77">
        <f t="shared" si="10"/>
        <v>17.569978509738199</v>
      </c>
      <c r="BA23" s="77">
        <f t="shared" si="12"/>
        <v>9.0022571532836846</v>
      </c>
      <c r="BB23" s="77">
        <f t="shared" si="14"/>
        <v>8.3616040655790886</v>
      </c>
      <c r="BC23" s="77">
        <f t="shared" si="16"/>
        <v>3.3742414207901397</v>
      </c>
      <c r="BD23" s="77">
        <f t="shared" si="18"/>
        <v>2.6518172111316853</v>
      </c>
      <c r="BE23" s="77">
        <f t="shared" si="20"/>
        <v>0.95962804276426938</v>
      </c>
      <c r="BF23" s="77">
        <f t="shared" si="22"/>
        <v>6.8160622812115639</v>
      </c>
      <c r="BG23" s="77">
        <f t="shared" si="24"/>
        <v>6.1382405017097605</v>
      </c>
      <c r="BH23" s="77">
        <f>IFERROR(IF(AK23&gt;0,AK23,"x")/SUM($Y23:$AP23),"")*100</f>
        <v>6.9559517212483266</v>
      </c>
      <c r="BI23" s="77">
        <f>IFERROR(IF(AL23&gt;0,AL23,"x")/SUM($Y23:$AP23),"")*100</f>
        <v>2.6497898279427465</v>
      </c>
      <c r="BJ23" s="77">
        <f>IFERROR(IF(AM23&gt;0,AM23,"x")/SUM($Y23:$AP23),"")*100</f>
        <v>8.6353007960858008</v>
      </c>
      <c r="BK23" s="77">
        <f>IFERROR(IF(AN23&gt;0,AN23,"x")/SUM($Y23:$AP23),"")*100</f>
        <v>1.9395299174179248</v>
      </c>
      <c r="BL23" s="77">
        <f>IFERROR(IF(AO23&gt;0,AO23,"x")/SUM($Y23:$AP23),"")*100</f>
        <v>1.4090313163123254</v>
      </c>
      <c r="BM23" s="77"/>
      <c r="BN23" s="25"/>
    </row>
    <row r="24" spans="1:66" ht="12.5" x14ac:dyDescent="0.25">
      <c r="X24" s="29"/>
      <c r="Y24" s="56"/>
      <c r="Z24" s="56"/>
      <c r="AA24" s="56"/>
      <c r="AB24" s="56"/>
      <c r="AC24" s="56"/>
      <c r="AD24" s="56"/>
      <c r="AE24" s="56"/>
      <c r="AF24" s="56"/>
      <c r="AG24" s="56"/>
      <c r="AH24" s="56"/>
      <c r="AI24" s="56"/>
      <c r="AJ24" s="56"/>
      <c r="AK24" s="56"/>
      <c r="AL24" s="56"/>
      <c r="AM24" s="56"/>
      <c r="AN24" s="56"/>
      <c r="AO24" s="56"/>
      <c r="AP24" s="56"/>
      <c r="AQ24" s="56"/>
      <c r="AR24" s="56"/>
      <c r="AT24" s="26"/>
      <c r="AU24" s="28"/>
      <c r="AV24" s="28"/>
      <c r="AW24" s="28"/>
      <c r="AX24" s="28"/>
      <c r="AY24" s="28"/>
      <c r="AZ24" s="28"/>
      <c r="BA24" s="28"/>
      <c r="BB24" s="28"/>
      <c r="BC24" s="28"/>
      <c r="BD24" s="28"/>
      <c r="BE24" s="28"/>
      <c r="BF24" s="28"/>
      <c r="BG24" s="28"/>
      <c r="BH24" s="28"/>
      <c r="BI24" s="28"/>
      <c r="BJ24" s="28"/>
      <c r="BK24" s="28"/>
      <c r="BL24" s="28"/>
      <c r="BM24" s="28"/>
      <c r="BN24" s="25"/>
    </row>
    <row r="25" spans="1:66" ht="12.5" x14ac:dyDescent="0.25">
      <c r="B25" s="18" t="s">
        <v>2</v>
      </c>
      <c r="C25" s="18">
        <v>8753</v>
      </c>
      <c r="D25" s="18">
        <v>59974</v>
      </c>
      <c r="E25" s="18">
        <v>10815</v>
      </c>
      <c r="F25" s="18">
        <v>32191</v>
      </c>
      <c r="G25" s="18">
        <v>102200</v>
      </c>
      <c r="H25" s="18">
        <v>37268</v>
      </c>
      <c r="I25" s="18">
        <v>55661</v>
      </c>
      <c r="J25" s="18">
        <v>25950</v>
      </c>
      <c r="K25" s="18">
        <v>16795</v>
      </c>
      <c r="L25" s="18">
        <v>8802</v>
      </c>
      <c r="M25" s="18">
        <v>59224</v>
      </c>
      <c r="N25" s="18">
        <v>33838</v>
      </c>
      <c r="O25" s="18">
        <v>45049</v>
      </c>
      <c r="P25" s="18">
        <v>28121</v>
      </c>
      <c r="Q25" s="18">
        <v>86498</v>
      </c>
      <c r="R25" s="18">
        <v>19154</v>
      </c>
      <c r="S25" s="18">
        <v>14222</v>
      </c>
      <c r="T25" s="18">
        <v>99790</v>
      </c>
      <c r="U25" s="18">
        <v>768718</v>
      </c>
      <c r="V25" s="81">
        <v>1513023</v>
      </c>
      <c r="X25" s="29" t="s">
        <v>2</v>
      </c>
      <c r="Y25" s="56">
        <f t="shared" ref="Y25:AR25" si="27">IFERROR(C25/1000,"")</f>
        <v>8.7530000000000001</v>
      </c>
      <c r="Z25" s="56">
        <f t="shared" si="27"/>
        <v>59.973999999999997</v>
      </c>
      <c r="AA25" s="56">
        <f t="shared" si="27"/>
        <v>10.815</v>
      </c>
      <c r="AB25" s="56">
        <f t="shared" si="27"/>
        <v>32.191000000000003</v>
      </c>
      <c r="AC25" s="56">
        <f t="shared" si="27"/>
        <v>102.2</v>
      </c>
      <c r="AD25" s="56">
        <f t="shared" si="27"/>
        <v>37.268000000000001</v>
      </c>
      <c r="AE25" s="56">
        <f t="shared" si="27"/>
        <v>55.661000000000001</v>
      </c>
      <c r="AF25" s="56">
        <f t="shared" si="27"/>
        <v>25.95</v>
      </c>
      <c r="AG25" s="56">
        <f t="shared" si="27"/>
        <v>16.795000000000002</v>
      </c>
      <c r="AH25" s="56">
        <f t="shared" si="27"/>
        <v>8.8019999999999996</v>
      </c>
      <c r="AI25" s="56">
        <f t="shared" si="27"/>
        <v>59.223999999999997</v>
      </c>
      <c r="AJ25" s="56">
        <f t="shared" si="27"/>
        <v>33.838000000000001</v>
      </c>
      <c r="AK25" s="56">
        <f t="shared" si="27"/>
        <v>45.048999999999999</v>
      </c>
      <c r="AL25" s="56">
        <f t="shared" si="27"/>
        <v>28.120999999999999</v>
      </c>
      <c r="AM25" s="56">
        <f t="shared" si="27"/>
        <v>86.498000000000005</v>
      </c>
      <c r="AN25" s="56">
        <f t="shared" si="27"/>
        <v>19.154</v>
      </c>
      <c r="AO25" s="56">
        <f t="shared" si="27"/>
        <v>14.222</v>
      </c>
      <c r="AP25" s="56">
        <f t="shared" si="27"/>
        <v>99.79</v>
      </c>
      <c r="AQ25" s="56">
        <f t="shared" si="27"/>
        <v>768.71799999999996</v>
      </c>
      <c r="AR25" s="56">
        <f t="shared" si="27"/>
        <v>1513.0229999999999</v>
      </c>
      <c r="AT25" s="24"/>
      <c r="AU25" s="28"/>
      <c r="AV25" s="28"/>
      <c r="AW25" s="28"/>
      <c r="AX25" s="28"/>
      <c r="AY25" s="28"/>
      <c r="AZ25" s="28"/>
      <c r="BA25" s="28"/>
      <c r="BB25" s="28"/>
      <c r="BC25" s="28"/>
      <c r="BD25" s="28"/>
      <c r="BE25" s="28"/>
      <c r="BF25" s="28"/>
      <c r="BG25" s="28"/>
      <c r="BH25" s="28"/>
      <c r="BI25" s="28"/>
      <c r="BJ25" s="28"/>
      <c r="BK25" s="28"/>
      <c r="BL25" s="28"/>
      <c r="BM25" s="28"/>
      <c r="BN25" s="25"/>
    </row>
    <row r="26" spans="1:66" ht="11.25" customHeight="1" x14ac:dyDescent="0.25">
      <c r="AR26" s="19"/>
      <c r="AT26" s="24"/>
      <c r="AU26" s="28"/>
      <c r="AV26" s="28"/>
      <c r="AW26" s="28"/>
      <c r="AX26" s="28"/>
      <c r="AY26" s="28"/>
      <c r="AZ26" s="28"/>
      <c r="BA26" s="28"/>
      <c r="BB26" s="28"/>
      <c r="BC26" s="28"/>
      <c r="BD26" s="28"/>
      <c r="BE26" s="28"/>
      <c r="BF26" s="28"/>
      <c r="BG26" s="28"/>
      <c r="BH26" s="28"/>
      <c r="BI26" s="28"/>
      <c r="BJ26" s="28"/>
      <c r="BK26" s="28"/>
      <c r="BL26" s="28"/>
      <c r="BM26" s="28"/>
      <c r="BN26" s="25"/>
    </row>
    <row r="27" spans="1:66" ht="12.75" customHeight="1" x14ac:dyDescent="0.25">
      <c r="AU27" s="28"/>
      <c r="AV27" s="28"/>
      <c r="AW27" s="28"/>
      <c r="AX27" s="28"/>
      <c r="AY27" s="28"/>
      <c r="AZ27" s="28"/>
      <c r="BA27" s="28"/>
      <c r="BB27" s="28"/>
      <c r="BC27" s="28"/>
      <c r="BD27" s="28"/>
      <c r="BE27" s="28"/>
      <c r="BF27" s="28"/>
      <c r="BG27" s="28"/>
      <c r="BH27" s="28"/>
      <c r="BI27" s="28"/>
      <c r="BJ27" s="28"/>
      <c r="BK27" s="28"/>
      <c r="BL27" s="28"/>
      <c r="BM27" s="28"/>
      <c r="BN27" s="25"/>
    </row>
    <row r="28" spans="1:66" ht="12.75" customHeight="1" x14ac:dyDescent="0.25">
      <c r="AU28" s="28"/>
      <c r="AV28" s="28"/>
      <c r="AW28" s="28"/>
      <c r="AX28" s="28"/>
      <c r="AY28" s="28"/>
      <c r="AZ28" s="28"/>
      <c r="BA28" s="28"/>
      <c r="BB28" s="28"/>
      <c r="BC28" s="28"/>
      <c r="BD28" s="28"/>
      <c r="BE28" s="28"/>
      <c r="BF28" s="28"/>
      <c r="BG28" s="28"/>
      <c r="BH28" s="28"/>
      <c r="BI28" s="28"/>
      <c r="BJ28" s="28"/>
      <c r="BK28" s="28"/>
      <c r="BL28" s="28"/>
      <c r="BM28" s="28"/>
      <c r="BN28" s="25"/>
    </row>
  </sheetData>
  <conditionalFormatting sqref="AV6:BM23">
    <cfRule type="cellIs" dxfId="8" priority="39" operator="greaterThan">
      <formula>20</formula>
    </cfRule>
    <cfRule type="colorScale" priority="40">
      <colorScale>
        <cfvo type="min"/>
        <cfvo type="max"/>
        <color rgb="FFFCFCFF"/>
        <color rgb="FF0070C0"/>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92343-CC1B-4BD3-9478-6B73A4C94FDE}">
  <dimension ref="A1:N441"/>
  <sheetViews>
    <sheetView tabSelected="1" topLeftCell="E1" workbookViewId="0">
      <selection activeCell="J170" sqref="J170"/>
    </sheetView>
  </sheetViews>
  <sheetFormatPr defaultRowHeight="14.5" x14ac:dyDescent="0.35"/>
  <cols>
    <col min="1" max="1" width="37.453125" customWidth="1"/>
    <col min="2" max="2" width="9.1796875" customWidth="1"/>
    <col min="3" max="3" width="15.453125" customWidth="1"/>
    <col min="4" max="4" width="16" customWidth="1"/>
    <col min="5" max="5" width="16.453125" customWidth="1"/>
    <col min="6" max="6" width="10.90625" customWidth="1"/>
    <col min="7" max="7" width="12.7265625" customWidth="1"/>
    <col min="8" max="8" width="13.26953125" customWidth="1"/>
    <col min="10" max="10" width="23.08984375" customWidth="1"/>
    <col min="11" max="11" width="14.453125" customWidth="1"/>
  </cols>
  <sheetData>
    <row r="1" spans="1:14" ht="15" thickBot="1" x14ac:dyDescent="0.4">
      <c r="A1" s="119" t="s">
        <v>239</v>
      </c>
      <c r="B1" s="119"/>
      <c r="C1" s="119"/>
      <c r="D1" s="119"/>
      <c r="E1" s="119"/>
      <c r="F1" s="119"/>
      <c r="G1" s="119"/>
      <c r="H1" s="119"/>
      <c r="J1" s="200" t="s">
        <v>1061</v>
      </c>
      <c r="K1" s="200"/>
      <c r="L1" s="200"/>
      <c r="M1" s="200"/>
      <c r="N1" s="200"/>
    </row>
    <row r="2" spans="1:14" ht="31.5" x14ac:dyDescent="0.35">
      <c r="B2" t="s">
        <v>240</v>
      </c>
      <c r="C2" t="s">
        <v>241</v>
      </c>
      <c r="D2" t="s">
        <v>242</v>
      </c>
      <c r="E2" t="s">
        <v>243</v>
      </c>
      <c r="F2" t="s">
        <v>244</v>
      </c>
      <c r="G2" t="s">
        <v>245</v>
      </c>
      <c r="H2" t="s">
        <v>246</v>
      </c>
      <c r="J2" s="148" t="s">
        <v>834</v>
      </c>
      <c r="K2" s="121" t="s">
        <v>1062</v>
      </c>
      <c r="L2" s="151" t="s">
        <v>835</v>
      </c>
      <c r="M2" s="121" t="s">
        <v>1063</v>
      </c>
      <c r="N2" s="126" t="s">
        <v>1064</v>
      </c>
    </row>
    <row r="3" spans="1:14" x14ac:dyDescent="0.35">
      <c r="B3" t="s">
        <v>247</v>
      </c>
      <c r="C3" t="s">
        <v>247</v>
      </c>
      <c r="D3" t="s">
        <v>247</v>
      </c>
      <c r="E3" t="s">
        <v>247</v>
      </c>
      <c r="F3" t="s">
        <v>247</v>
      </c>
      <c r="G3" t="s">
        <v>247</v>
      </c>
      <c r="H3" t="s">
        <v>247</v>
      </c>
      <c r="J3" s="149"/>
      <c r="K3" s="122"/>
      <c r="L3" s="152"/>
      <c r="M3" s="124"/>
      <c r="N3" s="120"/>
    </row>
    <row r="4" spans="1:14" ht="15" thickBot="1" x14ac:dyDescent="0.4">
      <c r="A4" t="s">
        <v>248</v>
      </c>
      <c r="J4" s="150"/>
      <c r="K4" s="123"/>
      <c r="L4" s="153"/>
      <c r="M4" s="125"/>
      <c r="N4" s="127"/>
    </row>
    <row r="5" spans="1:14" ht="32" thickBot="1" x14ac:dyDescent="0.4">
      <c r="A5" t="s">
        <v>249</v>
      </c>
      <c r="B5">
        <v>0</v>
      </c>
      <c r="C5">
        <v>0</v>
      </c>
      <c r="D5">
        <v>0</v>
      </c>
      <c r="E5">
        <v>0</v>
      </c>
      <c r="F5">
        <v>0</v>
      </c>
      <c r="G5">
        <v>0</v>
      </c>
      <c r="J5" s="128" t="s">
        <v>836</v>
      </c>
      <c r="K5" s="128"/>
      <c r="L5" s="128"/>
      <c r="M5" s="128"/>
      <c r="N5" s="129"/>
    </row>
    <row r="6" spans="1:14" x14ac:dyDescent="0.35">
      <c r="B6" t="s">
        <v>250</v>
      </c>
      <c r="C6" t="s">
        <v>250</v>
      </c>
      <c r="D6" t="s">
        <v>250</v>
      </c>
      <c r="E6" t="s">
        <v>250</v>
      </c>
      <c r="F6" t="s">
        <v>250</v>
      </c>
      <c r="G6" t="s">
        <v>250</v>
      </c>
      <c r="J6" s="155" t="s">
        <v>35</v>
      </c>
      <c r="K6" s="130" t="s">
        <v>837</v>
      </c>
      <c r="L6" s="133" t="s">
        <v>837</v>
      </c>
      <c r="M6" s="130" t="s">
        <v>837</v>
      </c>
      <c r="N6" s="132" t="s">
        <v>837</v>
      </c>
    </row>
    <row r="7" spans="1:14" ht="15" thickBot="1" x14ac:dyDescent="0.4">
      <c r="A7" t="s">
        <v>251</v>
      </c>
      <c r="B7" t="s">
        <v>252</v>
      </c>
      <c r="C7" t="s">
        <v>253</v>
      </c>
      <c r="D7" t="s">
        <v>253</v>
      </c>
      <c r="E7" t="s">
        <v>254</v>
      </c>
      <c r="F7" t="s">
        <v>255</v>
      </c>
      <c r="G7" t="s">
        <v>256</v>
      </c>
      <c r="J7" s="156"/>
      <c r="K7" s="131" t="s">
        <v>838</v>
      </c>
      <c r="L7" s="134" t="s">
        <v>838</v>
      </c>
      <c r="M7" s="131" t="s">
        <v>838</v>
      </c>
      <c r="N7" s="135" t="s">
        <v>838</v>
      </c>
    </row>
    <row r="8" spans="1:14" ht="32" thickBot="1" x14ac:dyDescent="0.4">
      <c r="B8" s="118" t="s">
        <v>257</v>
      </c>
      <c r="C8" s="118" t="s">
        <v>257</v>
      </c>
      <c r="D8" s="118" t="s">
        <v>257</v>
      </c>
      <c r="E8" s="118" t="s">
        <v>257</v>
      </c>
      <c r="F8" s="118" t="s">
        <v>257</v>
      </c>
      <c r="G8" s="118" t="s">
        <v>257</v>
      </c>
      <c r="J8" s="128" t="s">
        <v>839</v>
      </c>
      <c r="K8" s="136"/>
      <c r="L8" s="137"/>
      <c r="M8" s="136"/>
      <c r="N8" s="138"/>
    </row>
    <row r="9" spans="1:14" x14ac:dyDescent="0.35">
      <c r="A9" t="s">
        <v>258</v>
      </c>
      <c r="B9" t="s">
        <v>259</v>
      </c>
      <c r="C9" t="s">
        <v>260</v>
      </c>
      <c r="D9" t="s">
        <v>261</v>
      </c>
      <c r="E9" t="s">
        <v>262</v>
      </c>
      <c r="F9" t="s">
        <v>263</v>
      </c>
      <c r="G9" t="s">
        <v>264</v>
      </c>
      <c r="J9" s="155" t="s">
        <v>41</v>
      </c>
      <c r="K9" s="130" t="s">
        <v>840</v>
      </c>
      <c r="L9" s="157"/>
      <c r="M9" s="159"/>
      <c r="N9" s="132" t="s">
        <v>840</v>
      </c>
    </row>
    <row r="10" spans="1:14" x14ac:dyDescent="0.35">
      <c r="B10" s="118" t="s">
        <v>265</v>
      </c>
      <c r="C10" s="118" t="s">
        <v>265</v>
      </c>
      <c r="D10" s="118" t="s">
        <v>265</v>
      </c>
      <c r="E10" s="118" t="s">
        <v>265</v>
      </c>
      <c r="F10" s="118" t="s">
        <v>257</v>
      </c>
      <c r="G10" s="118" t="s">
        <v>265</v>
      </c>
      <c r="J10" s="154"/>
      <c r="K10" s="130" t="s">
        <v>838</v>
      </c>
      <c r="L10" s="158"/>
      <c r="M10" s="160"/>
      <c r="N10" s="132" t="s">
        <v>838</v>
      </c>
    </row>
    <row r="11" spans="1:14" x14ac:dyDescent="0.35">
      <c r="A11" t="s">
        <v>266</v>
      </c>
      <c r="B11" t="s">
        <v>267</v>
      </c>
      <c r="C11" t="s">
        <v>268</v>
      </c>
      <c r="D11" t="s">
        <v>269</v>
      </c>
      <c r="E11" t="s">
        <v>270</v>
      </c>
      <c r="F11" t="s">
        <v>271</v>
      </c>
      <c r="G11" t="s">
        <v>272</v>
      </c>
      <c r="J11" s="154" t="s">
        <v>42</v>
      </c>
      <c r="K11" s="130" t="s">
        <v>841</v>
      </c>
      <c r="L11" s="161"/>
      <c r="M11" s="160"/>
      <c r="N11" s="132" t="s">
        <v>841</v>
      </c>
    </row>
    <row r="12" spans="1:14" x14ac:dyDescent="0.35">
      <c r="B12" s="118" t="s">
        <v>265</v>
      </c>
      <c r="C12" s="118" t="s">
        <v>265</v>
      </c>
      <c r="D12" s="118" t="s">
        <v>265</v>
      </c>
      <c r="E12" s="118" t="s">
        <v>265</v>
      </c>
      <c r="F12" s="118" t="s">
        <v>265</v>
      </c>
      <c r="G12" s="118" t="s">
        <v>265</v>
      </c>
      <c r="J12" s="154"/>
      <c r="K12" s="130" t="s">
        <v>838</v>
      </c>
      <c r="L12" s="161"/>
      <c r="M12" s="160"/>
      <c r="N12" s="132" t="s">
        <v>838</v>
      </c>
    </row>
    <row r="13" spans="1:14" x14ac:dyDescent="0.35">
      <c r="A13" t="s">
        <v>40</v>
      </c>
      <c r="B13">
        <v>0</v>
      </c>
      <c r="C13">
        <v>0</v>
      </c>
      <c r="D13">
        <v>0</v>
      </c>
      <c r="E13">
        <v>0</v>
      </c>
      <c r="F13">
        <v>0</v>
      </c>
      <c r="G13">
        <v>0</v>
      </c>
      <c r="J13" s="154" t="s">
        <v>43</v>
      </c>
      <c r="K13" s="130" t="s">
        <v>842</v>
      </c>
      <c r="L13" s="161"/>
      <c r="M13" s="160"/>
      <c r="N13" s="132" t="s">
        <v>842</v>
      </c>
    </row>
    <row r="14" spans="1:14" x14ac:dyDescent="0.35">
      <c r="B14" t="s">
        <v>250</v>
      </c>
      <c r="C14" t="s">
        <v>250</v>
      </c>
      <c r="D14" t="s">
        <v>250</v>
      </c>
      <c r="E14" t="s">
        <v>250</v>
      </c>
      <c r="F14" t="s">
        <v>250</v>
      </c>
      <c r="G14" t="s">
        <v>250</v>
      </c>
      <c r="J14" s="154"/>
      <c r="K14" s="130" t="s">
        <v>838</v>
      </c>
      <c r="L14" s="161"/>
      <c r="M14" s="160"/>
      <c r="N14" s="132" t="s">
        <v>838</v>
      </c>
    </row>
    <row r="15" spans="1:14" x14ac:dyDescent="0.35">
      <c r="A15" t="s">
        <v>41</v>
      </c>
      <c r="B15" t="s">
        <v>273</v>
      </c>
      <c r="C15" t="s">
        <v>274</v>
      </c>
      <c r="D15" t="s">
        <v>275</v>
      </c>
      <c r="E15" t="s">
        <v>276</v>
      </c>
      <c r="F15" t="s">
        <v>277</v>
      </c>
      <c r="G15" t="s">
        <v>278</v>
      </c>
      <c r="J15" s="154" t="s">
        <v>44</v>
      </c>
      <c r="K15" s="130" t="s">
        <v>843</v>
      </c>
      <c r="L15" s="161"/>
      <c r="M15" s="160"/>
      <c r="N15" s="132" t="s">
        <v>843</v>
      </c>
    </row>
    <row r="16" spans="1:14" x14ac:dyDescent="0.35">
      <c r="B16" s="118" t="s">
        <v>265</v>
      </c>
      <c r="C16" s="118" t="s">
        <v>265</v>
      </c>
      <c r="D16" s="118" t="s">
        <v>265</v>
      </c>
      <c r="E16" s="118" t="s">
        <v>265</v>
      </c>
      <c r="F16" s="118" t="s">
        <v>257</v>
      </c>
      <c r="G16" s="118" t="s">
        <v>265</v>
      </c>
      <c r="J16" s="154"/>
      <c r="K16" s="130" t="s">
        <v>838</v>
      </c>
      <c r="L16" s="161"/>
      <c r="M16" s="160"/>
      <c r="N16" s="132" t="s">
        <v>838</v>
      </c>
    </row>
    <row r="17" spans="1:14" x14ac:dyDescent="0.35">
      <c r="A17" t="s">
        <v>42</v>
      </c>
      <c r="B17" t="s">
        <v>279</v>
      </c>
      <c r="C17" t="s">
        <v>280</v>
      </c>
      <c r="D17" t="s">
        <v>281</v>
      </c>
      <c r="E17" t="s">
        <v>282</v>
      </c>
      <c r="F17" t="s">
        <v>283</v>
      </c>
      <c r="G17" t="s">
        <v>284</v>
      </c>
      <c r="J17" s="154" t="s">
        <v>45</v>
      </c>
      <c r="K17" s="130" t="s">
        <v>844</v>
      </c>
      <c r="L17" s="161"/>
      <c r="M17" s="160"/>
      <c r="N17" s="132" t="s">
        <v>845</v>
      </c>
    </row>
    <row r="18" spans="1:14" ht="15" thickBot="1" x14ac:dyDescent="0.4">
      <c r="B18" s="118" t="s">
        <v>265</v>
      </c>
      <c r="C18" s="118" t="s">
        <v>265</v>
      </c>
      <c r="D18" s="118" t="s">
        <v>265</v>
      </c>
      <c r="E18" s="118" t="s">
        <v>265</v>
      </c>
      <c r="F18" s="118" t="s">
        <v>257</v>
      </c>
      <c r="G18" s="118" t="s">
        <v>265</v>
      </c>
      <c r="J18" s="156"/>
      <c r="K18" s="131" t="s">
        <v>838</v>
      </c>
      <c r="L18" s="162"/>
      <c r="M18" s="163"/>
      <c r="N18" s="135" t="s">
        <v>838</v>
      </c>
    </row>
    <row r="19" spans="1:14" ht="42.5" thickBot="1" x14ac:dyDescent="0.4">
      <c r="A19" t="s">
        <v>43</v>
      </c>
      <c r="B19" t="s">
        <v>285</v>
      </c>
      <c r="C19" t="s">
        <v>286</v>
      </c>
      <c r="D19" t="s">
        <v>287</v>
      </c>
      <c r="E19" t="s">
        <v>288</v>
      </c>
      <c r="F19" t="s">
        <v>289</v>
      </c>
      <c r="G19" t="s">
        <v>290</v>
      </c>
      <c r="J19" s="128" t="s">
        <v>846</v>
      </c>
      <c r="K19" s="136"/>
      <c r="L19" s="136"/>
      <c r="M19" s="136"/>
      <c r="N19" s="138"/>
    </row>
    <row r="20" spans="1:14" x14ac:dyDescent="0.35">
      <c r="B20" s="118" t="s">
        <v>265</v>
      </c>
      <c r="C20" s="118" t="s">
        <v>265</v>
      </c>
      <c r="D20" s="118" t="s">
        <v>265</v>
      </c>
      <c r="E20" s="118" t="s">
        <v>265</v>
      </c>
      <c r="F20" s="118" t="s">
        <v>257</v>
      </c>
      <c r="G20" s="118" t="s">
        <v>265</v>
      </c>
      <c r="J20" s="155" t="s">
        <v>48</v>
      </c>
      <c r="K20" s="130" t="s">
        <v>847</v>
      </c>
      <c r="L20" s="164"/>
      <c r="M20" s="130" t="s">
        <v>848</v>
      </c>
      <c r="N20" s="132" t="s">
        <v>847</v>
      </c>
    </row>
    <row r="21" spans="1:14" x14ac:dyDescent="0.35">
      <c r="A21" t="s">
        <v>44</v>
      </c>
      <c r="B21" t="s">
        <v>291</v>
      </c>
      <c r="C21" t="s">
        <v>292</v>
      </c>
      <c r="D21" t="s">
        <v>293</v>
      </c>
      <c r="E21" t="s">
        <v>294</v>
      </c>
      <c r="F21" t="s">
        <v>295</v>
      </c>
      <c r="G21" t="s">
        <v>296</v>
      </c>
      <c r="J21" s="154"/>
      <c r="K21" s="130" t="s">
        <v>838</v>
      </c>
      <c r="L21" s="161"/>
      <c r="M21" s="130" t="s">
        <v>838</v>
      </c>
      <c r="N21" s="132" t="s">
        <v>838</v>
      </c>
    </row>
    <row r="22" spans="1:14" x14ac:dyDescent="0.35">
      <c r="B22" s="118" t="s">
        <v>265</v>
      </c>
      <c r="C22" s="118" t="s">
        <v>265</v>
      </c>
      <c r="D22" s="118" t="s">
        <v>265</v>
      </c>
      <c r="E22" s="118" t="s">
        <v>265</v>
      </c>
      <c r="F22" s="118" t="s">
        <v>265</v>
      </c>
      <c r="G22" s="118" t="s">
        <v>265</v>
      </c>
      <c r="J22" s="154" t="s">
        <v>49</v>
      </c>
      <c r="K22" s="130" t="s">
        <v>849</v>
      </c>
      <c r="L22" s="161"/>
      <c r="M22" s="130" t="s">
        <v>849</v>
      </c>
      <c r="N22" s="132" t="s">
        <v>850</v>
      </c>
    </row>
    <row r="23" spans="1:14" x14ac:dyDescent="0.35">
      <c r="A23" t="s">
        <v>45</v>
      </c>
      <c r="B23" t="s">
        <v>297</v>
      </c>
      <c r="C23" t="s">
        <v>298</v>
      </c>
      <c r="D23" t="s">
        <v>299</v>
      </c>
      <c r="E23" t="s">
        <v>300</v>
      </c>
      <c r="F23" t="s">
        <v>301</v>
      </c>
      <c r="G23" t="s">
        <v>302</v>
      </c>
      <c r="J23" s="154"/>
      <c r="K23" s="130" t="s">
        <v>838</v>
      </c>
      <c r="L23" s="161"/>
      <c r="M23" s="130" t="s">
        <v>838</v>
      </c>
      <c r="N23" s="132" t="s">
        <v>838</v>
      </c>
    </row>
    <row r="24" spans="1:14" x14ac:dyDescent="0.35">
      <c r="B24" s="118" t="s">
        <v>303</v>
      </c>
      <c r="C24" s="118" t="s">
        <v>303</v>
      </c>
      <c r="D24" s="118" t="s">
        <v>304</v>
      </c>
      <c r="E24" s="118" t="s">
        <v>303</v>
      </c>
      <c r="F24" s="118" t="s">
        <v>305</v>
      </c>
      <c r="G24" s="118" t="s">
        <v>303</v>
      </c>
      <c r="J24" s="154" t="s">
        <v>50</v>
      </c>
      <c r="K24" s="130" t="s">
        <v>851</v>
      </c>
      <c r="L24" s="161"/>
      <c r="M24" s="130" t="s">
        <v>852</v>
      </c>
      <c r="N24" s="132" t="s">
        <v>852</v>
      </c>
    </row>
    <row r="25" spans="1:14" ht="15" thickBot="1" x14ac:dyDescent="0.4">
      <c r="A25" t="s">
        <v>34</v>
      </c>
      <c r="B25">
        <v>0</v>
      </c>
      <c r="C25">
        <v>0</v>
      </c>
      <c r="D25">
        <v>0</v>
      </c>
      <c r="E25">
        <v>0</v>
      </c>
      <c r="F25">
        <v>0</v>
      </c>
      <c r="G25">
        <v>0</v>
      </c>
      <c r="H25">
        <v>0</v>
      </c>
      <c r="J25" s="156"/>
      <c r="K25" s="131" t="s">
        <v>838</v>
      </c>
      <c r="L25" s="162"/>
      <c r="M25" s="131" t="s">
        <v>838</v>
      </c>
      <c r="N25" s="135" t="s">
        <v>838</v>
      </c>
    </row>
    <row r="26" spans="1:14" ht="42.5" thickBot="1" x14ac:dyDescent="0.4">
      <c r="B26" t="s">
        <v>250</v>
      </c>
      <c r="C26" t="s">
        <v>250</v>
      </c>
      <c r="D26" t="s">
        <v>250</v>
      </c>
      <c r="E26" t="s">
        <v>250</v>
      </c>
      <c r="F26" t="s">
        <v>250</v>
      </c>
      <c r="G26" t="s">
        <v>250</v>
      </c>
      <c r="H26" t="s">
        <v>250</v>
      </c>
      <c r="J26" s="128" t="s">
        <v>853</v>
      </c>
      <c r="K26" s="136"/>
      <c r="L26" s="136"/>
      <c r="M26" s="136"/>
      <c r="N26" s="138"/>
    </row>
    <row r="27" spans="1:14" x14ac:dyDescent="0.35">
      <c r="A27" t="s">
        <v>35</v>
      </c>
      <c r="B27" t="s">
        <v>306</v>
      </c>
      <c r="C27" t="s">
        <v>307</v>
      </c>
      <c r="D27" t="s">
        <v>307</v>
      </c>
      <c r="E27" t="s">
        <v>306</v>
      </c>
      <c r="F27" t="s">
        <v>308</v>
      </c>
      <c r="G27" t="s">
        <v>309</v>
      </c>
      <c r="H27" t="s">
        <v>310</v>
      </c>
      <c r="J27" s="155" t="s">
        <v>55</v>
      </c>
      <c r="K27" s="130" t="s">
        <v>854</v>
      </c>
      <c r="L27" s="133" t="s">
        <v>856</v>
      </c>
      <c r="M27" s="159"/>
      <c r="N27" s="165"/>
    </row>
    <row r="28" spans="1:14" x14ac:dyDescent="0.35">
      <c r="B28" s="118" t="s">
        <v>257</v>
      </c>
      <c r="C28" s="118" t="s">
        <v>257</v>
      </c>
      <c r="D28" s="118" t="s">
        <v>257</v>
      </c>
      <c r="E28" s="118" t="s">
        <v>257</v>
      </c>
      <c r="F28" s="118" t="s">
        <v>257</v>
      </c>
      <c r="G28" s="118" t="s">
        <v>257</v>
      </c>
      <c r="H28" s="118" t="s">
        <v>257</v>
      </c>
      <c r="J28" s="154"/>
      <c r="K28" s="130" t="s">
        <v>855</v>
      </c>
      <c r="L28" s="133" t="s">
        <v>855</v>
      </c>
      <c r="M28" s="160"/>
      <c r="N28" s="166"/>
    </row>
    <row r="29" spans="1:14" x14ac:dyDescent="0.35">
      <c r="A29" t="s">
        <v>311</v>
      </c>
      <c r="B29">
        <v>0</v>
      </c>
      <c r="C29">
        <v>0</v>
      </c>
      <c r="D29">
        <v>0</v>
      </c>
      <c r="E29">
        <v>0</v>
      </c>
      <c r="F29">
        <v>0</v>
      </c>
      <c r="G29">
        <v>0</v>
      </c>
      <c r="H29">
        <v>0</v>
      </c>
      <c r="J29" s="154" t="s">
        <v>56</v>
      </c>
      <c r="K29" s="130" t="s">
        <v>857</v>
      </c>
      <c r="L29" s="133" t="s">
        <v>857</v>
      </c>
      <c r="M29" s="160"/>
      <c r="N29" s="166"/>
    </row>
    <row r="30" spans="1:14" x14ac:dyDescent="0.35">
      <c r="B30" t="s">
        <v>250</v>
      </c>
      <c r="C30" t="s">
        <v>250</v>
      </c>
      <c r="D30" t="s">
        <v>250</v>
      </c>
      <c r="E30" t="s">
        <v>250</v>
      </c>
      <c r="F30" t="s">
        <v>250</v>
      </c>
      <c r="G30" t="s">
        <v>250</v>
      </c>
      <c r="H30" t="s">
        <v>250</v>
      </c>
      <c r="J30" s="154"/>
      <c r="K30" s="130" t="s">
        <v>855</v>
      </c>
      <c r="L30" s="133" t="s">
        <v>855</v>
      </c>
      <c r="M30" s="160"/>
      <c r="N30" s="166"/>
    </row>
    <row r="31" spans="1:14" x14ac:dyDescent="0.35">
      <c r="A31" t="s">
        <v>312</v>
      </c>
      <c r="B31" t="s">
        <v>313</v>
      </c>
      <c r="C31" t="s">
        <v>313</v>
      </c>
      <c r="D31" t="s">
        <v>314</v>
      </c>
      <c r="E31" t="s">
        <v>313</v>
      </c>
      <c r="F31">
        <v>-1E-4</v>
      </c>
      <c r="G31" t="s">
        <v>315</v>
      </c>
      <c r="H31" t="s">
        <v>307</v>
      </c>
      <c r="J31" s="154" t="s">
        <v>57</v>
      </c>
      <c r="K31" s="130" t="s">
        <v>858</v>
      </c>
      <c r="L31" s="133" t="s">
        <v>858</v>
      </c>
      <c r="M31" s="160"/>
      <c r="N31" s="166"/>
    </row>
    <row r="32" spans="1:14" ht="15" thickBot="1" x14ac:dyDescent="0.4">
      <c r="B32" s="118" t="s">
        <v>265</v>
      </c>
      <c r="C32" s="118" t="s">
        <v>265</v>
      </c>
      <c r="D32" s="118" t="s">
        <v>265</v>
      </c>
      <c r="E32" s="118" t="s">
        <v>265</v>
      </c>
      <c r="F32" s="118" t="s">
        <v>257</v>
      </c>
      <c r="G32" s="118" t="s">
        <v>265</v>
      </c>
      <c r="H32" s="118" t="s">
        <v>265</v>
      </c>
      <c r="J32" s="156"/>
      <c r="K32" s="131" t="s">
        <v>855</v>
      </c>
      <c r="L32" s="134" t="s">
        <v>855</v>
      </c>
      <c r="M32" s="163"/>
      <c r="N32" s="167"/>
    </row>
    <row r="33" spans="1:14" ht="42.5" thickBot="1" x14ac:dyDescent="0.4">
      <c r="A33" t="s">
        <v>316</v>
      </c>
      <c r="B33" t="s">
        <v>317</v>
      </c>
      <c r="C33" t="s">
        <v>318</v>
      </c>
      <c r="D33" t="s">
        <v>319</v>
      </c>
      <c r="E33" t="s">
        <v>320</v>
      </c>
      <c r="F33" t="s">
        <v>321</v>
      </c>
      <c r="G33" t="s">
        <v>322</v>
      </c>
      <c r="H33" t="s">
        <v>323</v>
      </c>
      <c r="J33" s="128" t="s">
        <v>859</v>
      </c>
      <c r="K33" s="136"/>
      <c r="L33" s="136"/>
      <c r="M33" s="136"/>
      <c r="N33" s="138"/>
    </row>
    <row r="34" spans="1:14" x14ac:dyDescent="0.35">
      <c r="B34" s="118" t="s">
        <v>257</v>
      </c>
      <c r="C34" s="118" t="s">
        <v>257</v>
      </c>
      <c r="D34" s="118" t="s">
        <v>257</v>
      </c>
      <c r="E34" s="118" t="s">
        <v>257</v>
      </c>
      <c r="F34" s="118" t="s">
        <v>257</v>
      </c>
      <c r="G34" s="118" t="s">
        <v>257</v>
      </c>
      <c r="H34" s="118" t="s">
        <v>257</v>
      </c>
      <c r="J34" s="155" t="s">
        <v>79</v>
      </c>
      <c r="K34" s="130" t="s">
        <v>860</v>
      </c>
      <c r="L34" s="133" t="s">
        <v>860</v>
      </c>
      <c r="M34" s="130" t="s">
        <v>860</v>
      </c>
      <c r="N34" s="165"/>
    </row>
    <row r="35" spans="1:14" x14ac:dyDescent="0.35">
      <c r="A35" t="s">
        <v>47</v>
      </c>
      <c r="B35">
        <v>0</v>
      </c>
      <c r="C35">
        <v>0</v>
      </c>
      <c r="D35">
        <v>0</v>
      </c>
      <c r="E35">
        <v>0</v>
      </c>
      <c r="F35">
        <v>0</v>
      </c>
      <c r="G35">
        <v>0</v>
      </c>
      <c r="H35">
        <v>0</v>
      </c>
      <c r="J35" s="154"/>
      <c r="K35" s="130" t="s">
        <v>838</v>
      </c>
      <c r="L35" s="133" t="s">
        <v>838</v>
      </c>
      <c r="M35" s="130" t="s">
        <v>838</v>
      </c>
      <c r="N35" s="166"/>
    </row>
    <row r="36" spans="1:14" ht="17" customHeight="1" x14ac:dyDescent="0.35">
      <c r="B36" t="s">
        <v>250</v>
      </c>
      <c r="C36" t="s">
        <v>250</v>
      </c>
      <c r="D36" t="s">
        <v>250</v>
      </c>
      <c r="E36" t="s">
        <v>250</v>
      </c>
      <c r="F36" t="s">
        <v>250</v>
      </c>
      <c r="G36" t="s">
        <v>250</v>
      </c>
      <c r="H36" t="s">
        <v>250</v>
      </c>
      <c r="J36" s="154" t="s">
        <v>80</v>
      </c>
      <c r="K36" s="130" t="s">
        <v>861</v>
      </c>
      <c r="L36" s="133" t="s">
        <v>861</v>
      </c>
      <c r="M36" s="130" t="s">
        <v>862</v>
      </c>
      <c r="N36" s="166"/>
    </row>
    <row r="37" spans="1:14" x14ac:dyDescent="0.35">
      <c r="A37" t="s">
        <v>48</v>
      </c>
      <c r="B37" t="s">
        <v>324</v>
      </c>
      <c r="C37" t="s">
        <v>325</v>
      </c>
      <c r="D37" t="s">
        <v>326</v>
      </c>
      <c r="E37" t="s">
        <v>324</v>
      </c>
      <c r="F37" t="s">
        <v>327</v>
      </c>
      <c r="G37" t="s">
        <v>328</v>
      </c>
      <c r="H37" t="s">
        <v>320</v>
      </c>
      <c r="J37" s="154"/>
      <c r="K37" s="130" t="s">
        <v>838</v>
      </c>
      <c r="L37" s="133" t="s">
        <v>838</v>
      </c>
      <c r="M37" s="130" t="s">
        <v>838</v>
      </c>
      <c r="N37" s="166"/>
    </row>
    <row r="38" spans="1:14" x14ac:dyDescent="0.35">
      <c r="B38" s="118" t="s">
        <v>257</v>
      </c>
      <c r="C38" s="118" t="s">
        <v>257</v>
      </c>
      <c r="D38" s="118" t="s">
        <v>257</v>
      </c>
      <c r="E38" s="118" t="s">
        <v>257</v>
      </c>
      <c r="F38" s="118" t="s">
        <v>257</v>
      </c>
      <c r="G38" s="118" t="s">
        <v>257</v>
      </c>
      <c r="H38" s="118" t="s">
        <v>257</v>
      </c>
      <c r="J38" s="154" t="s">
        <v>81</v>
      </c>
      <c r="K38" s="130" t="s">
        <v>863</v>
      </c>
      <c r="L38" s="133" t="s">
        <v>863</v>
      </c>
      <c r="M38" s="130" t="s">
        <v>864</v>
      </c>
      <c r="N38" s="166"/>
    </row>
    <row r="39" spans="1:14" ht="15" thickBot="1" x14ac:dyDescent="0.4">
      <c r="A39" t="s">
        <v>49</v>
      </c>
      <c r="B39" t="s">
        <v>329</v>
      </c>
      <c r="C39" t="s">
        <v>330</v>
      </c>
      <c r="D39" t="s">
        <v>331</v>
      </c>
      <c r="E39" t="s">
        <v>332</v>
      </c>
      <c r="F39" t="s">
        <v>333</v>
      </c>
      <c r="G39" t="s">
        <v>334</v>
      </c>
      <c r="H39" t="s">
        <v>335</v>
      </c>
      <c r="J39" s="156"/>
      <c r="K39" s="131" t="s">
        <v>838</v>
      </c>
      <c r="L39" s="134" t="s">
        <v>838</v>
      </c>
      <c r="M39" s="131" t="s">
        <v>838</v>
      </c>
      <c r="N39" s="167"/>
    </row>
    <row r="40" spans="1:14" ht="32" thickBot="1" x14ac:dyDescent="0.4">
      <c r="B40" s="118" t="s">
        <v>265</v>
      </c>
      <c r="C40" s="118" t="s">
        <v>265</v>
      </c>
      <c r="D40" s="118" t="s">
        <v>265</v>
      </c>
      <c r="E40" s="118" t="s">
        <v>265</v>
      </c>
      <c r="F40" s="118" t="s">
        <v>257</v>
      </c>
      <c r="G40" s="118" t="s">
        <v>265</v>
      </c>
      <c r="H40" s="118" t="s">
        <v>265</v>
      </c>
      <c r="J40" s="128" t="s">
        <v>865</v>
      </c>
      <c r="K40" s="136"/>
      <c r="L40" s="136"/>
      <c r="M40" s="136"/>
      <c r="N40" s="138"/>
    </row>
    <row r="41" spans="1:14" x14ac:dyDescent="0.35">
      <c r="A41" t="s">
        <v>50</v>
      </c>
      <c r="B41" t="s">
        <v>336</v>
      </c>
      <c r="C41" t="s">
        <v>337</v>
      </c>
      <c r="D41" t="s">
        <v>338</v>
      </c>
      <c r="E41" t="s">
        <v>339</v>
      </c>
      <c r="F41" t="s">
        <v>340</v>
      </c>
      <c r="G41" t="s">
        <v>341</v>
      </c>
      <c r="H41" t="s">
        <v>330</v>
      </c>
      <c r="J41" s="155" t="s">
        <v>251</v>
      </c>
      <c r="K41" s="130" t="s">
        <v>866</v>
      </c>
      <c r="L41" s="133" t="s">
        <v>866</v>
      </c>
      <c r="M41" s="130" t="s">
        <v>866</v>
      </c>
      <c r="N41" s="132" t="s">
        <v>866</v>
      </c>
    </row>
    <row r="42" spans="1:14" x14ac:dyDescent="0.35">
      <c r="B42" s="118" t="s">
        <v>265</v>
      </c>
      <c r="C42" s="118" t="s">
        <v>305</v>
      </c>
      <c r="D42" s="118" t="s">
        <v>265</v>
      </c>
      <c r="E42" s="118" t="s">
        <v>265</v>
      </c>
      <c r="F42" s="118" t="s">
        <v>265</v>
      </c>
      <c r="G42" s="118" t="s">
        <v>265</v>
      </c>
      <c r="H42" s="118" t="s">
        <v>265</v>
      </c>
      <c r="J42" s="154"/>
      <c r="K42" s="130" t="s">
        <v>838</v>
      </c>
      <c r="L42" s="133" t="s">
        <v>838</v>
      </c>
      <c r="M42" s="130" t="s">
        <v>838</v>
      </c>
      <c r="N42" s="132" t="s">
        <v>838</v>
      </c>
    </row>
    <row r="43" spans="1:14" x14ac:dyDescent="0.35">
      <c r="A43" t="s">
        <v>109</v>
      </c>
      <c r="B43">
        <v>0</v>
      </c>
      <c r="C43">
        <v>0</v>
      </c>
      <c r="D43">
        <v>0</v>
      </c>
      <c r="E43">
        <v>0</v>
      </c>
      <c r="F43">
        <v>0</v>
      </c>
      <c r="G43">
        <v>0</v>
      </c>
      <c r="H43">
        <v>0</v>
      </c>
      <c r="J43" s="154" t="s">
        <v>258</v>
      </c>
      <c r="K43" s="130" t="s">
        <v>867</v>
      </c>
      <c r="L43" s="133" t="s">
        <v>868</v>
      </c>
      <c r="M43" s="130" t="s">
        <v>869</v>
      </c>
      <c r="N43" s="132" t="s">
        <v>868</v>
      </c>
    </row>
    <row r="44" spans="1:14" x14ac:dyDescent="0.35">
      <c r="B44" t="s">
        <v>250</v>
      </c>
      <c r="C44" t="s">
        <v>250</v>
      </c>
      <c r="D44" t="s">
        <v>250</v>
      </c>
      <c r="E44" t="s">
        <v>250</v>
      </c>
      <c r="F44" t="s">
        <v>250</v>
      </c>
      <c r="G44" t="s">
        <v>250</v>
      </c>
      <c r="H44" t="s">
        <v>250</v>
      </c>
      <c r="J44" s="154"/>
      <c r="K44" s="130" t="s">
        <v>838</v>
      </c>
      <c r="L44" s="133" t="s">
        <v>838</v>
      </c>
      <c r="M44" s="130" t="s">
        <v>838</v>
      </c>
      <c r="N44" s="132" t="s">
        <v>838</v>
      </c>
    </row>
    <row r="45" spans="1:14" x14ac:dyDescent="0.35">
      <c r="A45" t="s">
        <v>108</v>
      </c>
      <c r="B45" t="s">
        <v>342</v>
      </c>
      <c r="C45" t="s">
        <v>343</v>
      </c>
      <c r="D45" t="s">
        <v>344</v>
      </c>
      <c r="E45" t="s">
        <v>345</v>
      </c>
      <c r="F45" t="s">
        <v>346</v>
      </c>
      <c r="G45" t="s">
        <v>275</v>
      </c>
      <c r="H45" t="s">
        <v>347</v>
      </c>
      <c r="J45" s="154" t="s">
        <v>266</v>
      </c>
      <c r="K45" s="130" t="s">
        <v>870</v>
      </c>
      <c r="L45" s="133" t="s">
        <v>870</v>
      </c>
      <c r="M45" s="130" t="s">
        <v>871</v>
      </c>
      <c r="N45" s="132" t="s">
        <v>872</v>
      </c>
    </row>
    <row r="46" spans="1:14" ht="15" thickBot="1" x14ac:dyDescent="0.4">
      <c r="B46" s="118" t="s">
        <v>348</v>
      </c>
      <c r="C46" s="118" t="s">
        <v>348</v>
      </c>
      <c r="D46" s="118" t="s">
        <v>349</v>
      </c>
      <c r="E46" s="118" t="s">
        <v>349</v>
      </c>
      <c r="F46" s="118" t="s">
        <v>349</v>
      </c>
      <c r="G46" s="118" t="s">
        <v>349</v>
      </c>
      <c r="H46" s="118" t="s">
        <v>349</v>
      </c>
      <c r="J46" s="156"/>
      <c r="K46" s="131" t="s">
        <v>838</v>
      </c>
      <c r="L46" s="134" t="s">
        <v>838</v>
      </c>
      <c r="M46" s="131" t="s">
        <v>838</v>
      </c>
      <c r="N46" s="135" t="s">
        <v>838</v>
      </c>
    </row>
    <row r="47" spans="1:14" x14ac:dyDescent="0.35">
      <c r="A47" t="s">
        <v>107</v>
      </c>
      <c r="B47" t="s">
        <v>350</v>
      </c>
      <c r="C47" t="s">
        <v>351</v>
      </c>
      <c r="D47" t="s">
        <v>352</v>
      </c>
      <c r="E47" t="s">
        <v>353</v>
      </c>
      <c r="F47" t="s">
        <v>354</v>
      </c>
      <c r="G47" t="s">
        <v>355</v>
      </c>
      <c r="H47" t="s">
        <v>356</v>
      </c>
      <c r="J47" s="139"/>
      <c r="K47" s="168"/>
      <c r="L47" s="170"/>
      <c r="M47" s="168"/>
      <c r="N47" s="172"/>
    </row>
    <row r="48" spans="1:14" ht="21.5" thickBot="1" x14ac:dyDescent="0.4">
      <c r="B48" s="118" t="s">
        <v>304</v>
      </c>
      <c r="C48" s="118" t="s">
        <v>304</v>
      </c>
      <c r="D48" s="118" t="s">
        <v>304</v>
      </c>
      <c r="E48" s="118" t="s">
        <v>304</v>
      </c>
      <c r="F48" s="118" t="s">
        <v>304</v>
      </c>
      <c r="G48" s="118" t="s">
        <v>304</v>
      </c>
      <c r="H48" s="118" t="s">
        <v>304</v>
      </c>
      <c r="J48" s="140" t="s">
        <v>873</v>
      </c>
      <c r="K48" s="169"/>
      <c r="L48" s="171"/>
      <c r="M48" s="169"/>
      <c r="N48" s="173"/>
    </row>
    <row r="49" spans="1:14" ht="21.5" thickTop="1" x14ac:dyDescent="0.35">
      <c r="A49" t="s">
        <v>106</v>
      </c>
      <c r="B49" t="s">
        <v>357</v>
      </c>
      <c r="C49" t="s">
        <v>357</v>
      </c>
      <c r="D49" t="s">
        <v>358</v>
      </c>
      <c r="E49" t="s">
        <v>359</v>
      </c>
      <c r="F49" t="s">
        <v>322</v>
      </c>
      <c r="G49" t="s">
        <v>360</v>
      </c>
      <c r="H49" t="s">
        <v>361</v>
      </c>
      <c r="J49" s="141" t="s">
        <v>874</v>
      </c>
      <c r="K49" s="174"/>
      <c r="L49" s="174"/>
      <c r="M49" s="174"/>
      <c r="N49" s="176"/>
    </row>
    <row r="50" spans="1:14" ht="21.5" thickBot="1" x14ac:dyDescent="0.4">
      <c r="B50" s="118" t="s">
        <v>362</v>
      </c>
      <c r="C50" s="118" t="s">
        <v>362</v>
      </c>
      <c r="D50" s="118" t="s">
        <v>362</v>
      </c>
      <c r="E50" s="118" t="s">
        <v>362</v>
      </c>
      <c r="F50" s="118" t="s">
        <v>363</v>
      </c>
      <c r="G50" s="118" t="s">
        <v>362</v>
      </c>
      <c r="H50" s="118" t="s">
        <v>362</v>
      </c>
      <c r="J50" s="128" t="s">
        <v>875</v>
      </c>
      <c r="K50" s="175"/>
      <c r="L50" s="175"/>
      <c r="M50" s="175"/>
      <c r="N50" s="177"/>
    </row>
    <row r="51" spans="1:14" x14ac:dyDescent="0.35">
      <c r="A51" t="s">
        <v>105</v>
      </c>
      <c r="B51" t="s">
        <v>364</v>
      </c>
      <c r="C51" t="s">
        <v>364</v>
      </c>
      <c r="D51" t="s">
        <v>365</v>
      </c>
      <c r="E51" t="s">
        <v>366</v>
      </c>
      <c r="F51" t="s">
        <v>367</v>
      </c>
      <c r="G51" t="s">
        <v>368</v>
      </c>
      <c r="H51" t="s">
        <v>369</v>
      </c>
      <c r="J51" s="155" t="s">
        <v>876</v>
      </c>
      <c r="K51" s="159"/>
      <c r="L51" s="133" t="s">
        <v>877</v>
      </c>
      <c r="M51" s="159"/>
      <c r="N51" s="165"/>
    </row>
    <row r="52" spans="1:14" x14ac:dyDescent="0.35">
      <c r="B52" s="118" t="s">
        <v>363</v>
      </c>
      <c r="C52" s="118" t="s">
        <v>363</v>
      </c>
      <c r="D52" s="118" t="s">
        <v>363</v>
      </c>
      <c r="E52" s="118" t="s">
        <v>363</v>
      </c>
      <c r="F52" s="118" t="s">
        <v>363</v>
      </c>
      <c r="G52" s="118" t="s">
        <v>363</v>
      </c>
      <c r="H52" s="118" t="s">
        <v>363</v>
      </c>
      <c r="J52" s="154"/>
      <c r="K52" s="160"/>
      <c r="L52" s="133" t="s">
        <v>838</v>
      </c>
      <c r="M52" s="160"/>
      <c r="N52" s="166"/>
    </row>
    <row r="53" spans="1:14" x14ac:dyDescent="0.35">
      <c r="A53" t="s">
        <v>104</v>
      </c>
      <c r="B53">
        <v>-8.9999999999999998E-4</v>
      </c>
      <c r="C53">
        <v>-8.9999999999999998E-4</v>
      </c>
      <c r="D53">
        <v>8.0000000000000004E-4</v>
      </c>
      <c r="E53" t="s">
        <v>370</v>
      </c>
      <c r="F53" t="s">
        <v>371</v>
      </c>
      <c r="G53" t="s">
        <v>372</v>
      </c>
      <c r="H53">
        <v>-6.9999999999999999E-4</v>
      </c>
      <c r="J53" s="154" t="s">
        <v>878</v>
      </c>
      <c r="K53" s="160"/>
      <c r="L53" s="133" t="s">
        <v>879</v>
      </c>
      <c r="M53" s="160"/>
      <c r="N53" s="166"/>
    </row>
    <row r="54" spans="1:14" x14ac:dyDescent="0.35">
      <c r="B54" s="118" t="s">
        <v>304</v>
      </c>
      <c r="C54" s="118" t="s">
        <v>304</v>
      </c>
      <c r="D54" s="118" t="s">
        <v>304</v>
      </c>
      <c r="E54" s="118" t="s">
        <v>304</v>
      </c>
      <c r="F54" s="118" t="s">
        <v>304</v>
      </c>
      <c r="G54" s="118" t="s">
        <v>304</v>
      </c>
      <c r="H54" s="118" t="s">
        <v>304</v>
      </c>
      <c r="J54" s="154"/>
      <c r="K54" s="160"/>
      <c r="L54" s="133" t="s">
        <v>838</v>
      </c>
      <c r="M54" s="160"/>
      <c r="N54" s="166"/>
    </row>
    <row r="55" spans="1:14" x14ac:dyDescent="0.35">
      <c r="A55" t="s">
        <v>103</v>
      </c>
      <c r="B55" t="s">
        <v>373</v>
      </c>
      <c r="C55" t="s">
        <v>374</v>
      </c>
      <c r="D55" t="s">
        <v>375</v>
      </c>
      <c r="E55" t="s">
        <v>376</v>
      </c>
      <c r="F55" t="s">
        <v>377</v>
      </c>
      <c r="G55" t="s">
        <v>378</v>
      </c>
      <c r="H55" t="s">
        <v>379</v>
      </c>
      <c r="J55" s="154" t="s">
        <v>880</v>
      </c>
      <c r="K55" s="160"/>
      <c r="L55" s="133" t="s">
        <v>881</v>
      </c>
      <c r="M55" s="160"/>
      <c r="N55" s="166"/>
    </row>
    <row r="56" spans="1:14" x14ac:dyDescent="0.35">
      <c r="B56" s="118" t="s">
        <v>304</v>
      </c>
      <c r="C56" s="118" t="s">
        <v>304</v>
      </c>
      <c r="D56" s="118" t="s">
        <v>304</v>
      </c>
      <c r="E56" s="118" t="s">
        <v>304</v>
      </c>
      <c r="F56" s="118" t="s">
        <v>303</v>
      </c>
      <c r="G56" s="118" t="s">
        <v>304</v>
      </c>
      <c r="H56" s="118" t="s">
        <v>304</v>
      </c>
      <c r="J56" s="154"/>
      <c r="K56" s="160"/>
      <c r="L56" s="133" t="s">
        <v>838</v>
      </c>
      <c r="M56" s="160"/>
      <c r="N56" s="166"/>
    </row>
    <row r="57" spans="1:14" x14ac:dyDescent="0.35">
      <c r="A57" t="s">
        <v>102</v>
      </c>
      <c r="B57" t="s">
        <v>380</v>
      </c>
      <c r="C57" t="s">
        <v>381</v>
      </c>
      <c r="D57" t="s">
        <v>382</v>
      </c>
      <c r="E57" t="s">
        <v>383</v>
      </c>
      <c r="F57" t="s">
        <v>384</v>
      </c>
      <c r="G57" t="s">
        <v>385</v>
      </c>
      <c r="H57" t="s">
        <v>386</v>
      </c>
      <c r="J57" s="154" t="s">
        <v>882</v>
      </c>
      <c r="K57" s="160"/>
      <c r="L57" s="133" t="s">
        <v>866</v>
      </c>
      <c r="M57" s="160"/>
      <c r="N57" s="166"/>
    </row>
    <row r="58" spans="1:14" ht="15" thickBot="1" x14ac:dyDescent="0.4">
      <c r="B58" s="118" t="s">
        <v>304</v>
      </c>
      <c r="C58" s="118" t="s">
        <v>304</v>
      </c>
      <c r="D58" s="118" t="s">
        <v>304</v>
      </c>
      <c r="E58" s="118" t="s">
        <v>304</v>
      </c>
      <c r="F58" s="118" t="s">
        <v>304</v>
      </c>
      <c r="G58" s="118" t="s">
        <v>304</v>
      </c>
      <c r="H58" s="118" t="s">
        <v>304</v>
      </c>
      <c r="J58" s="156"/>
      <c r="K58" s="163"/>
      <c r="L58" s="134" t="s">
        <v>883</v>
      </c>
      <c r="M58" s="163"/>
      <c r="N58" s="167"/>
    </row>
    <row r="59" spans="1:14" x14ac:dyDescent="0.35">
      <c r="A59" t="s">
        <v>101</v>
      </c>
      <c r="B59" t="s">
        <v>387</v>
      </c>
      <c r="C59" t="s">
        <v>387</v>
      </c>
      <c r="D59" t="s">
        <v>387</v>
      </c>
      <c r="E59" t="s">
        <v>388</v>
      </c>
      <c r="F59" t="s">
        <v>389</v>
      </c>
      <c r="G59" t="s">
        <v>390</v>
      </c>
      <c r="H59" t="s">
        <v>391</v>
      </c>
      <c r="J59" s="155" t="s">
        <v>884</v>
      </c>
      <c r="K59" s="159"/>
      <c r="L59" s="133" t="s">
        <v>885</v>
      </c>
      <c r="M59" s="159"/>
      <c r="N59" s="165"/>
    </row>
    <row r="60" spans="1:14" x14ac:dyDescent="0.35">
      <c r="B60" s="118" t="s">
        <v>304</v>
      </c>
      <c r="C60" s="118" t="s">
        <v>304</v>
      </c>
      <c r="D60" s="118" t="s">
        <v>304</v>
      </c>
      <c r="E60" s="118" t="s">
        <v>304</v>
      </c>
      <c r="F60" s="118" t="s">
        <v>303</v>
      </c>
      <c r="G60" s="118" t="s">
        <v>304</v>
      </c>
      <c r="H60" s="118" t="s">
        <v>304</v>
      </c>
      <c r="J60" s="154"/>
      <c r="K60" s="160"/>
      <c r="L60" s="133" t="s">
        <v>838</v>
      </c>
      <c r="M60" s="160"/>
      <c r="N60" s="166"/>
    </row>
    <row r="61" spans="1:14" x14ac:dyDescent="0.35">
      <c r="A61" t="s">
        <v>100</v>
      </c>
      <c r="B61" t="s">
        <v>392</v>
      </c>
      <c r="C61" t="s">
        <v>333</v>
      </c>
      <c r="D61" t="s">
        <v>393</v>
      </c>
      <c r="E61" t="s">
        <v>394</v>
      </c>
      <c r="F61" t="s">
        <v>395</v>
      </c>
      <c r="G61" t="s">
        <v>396</v>
      </c>
      <c r="H61" t="s">
        <v>394</v>
      </c>
      <c r="J61" s="154" t="s">
        <v>886</v>
      </c>
      <c r="K61" s="160"/>
      <c r="L61" s="133" t="s">
        <v>887</v>
      </c>
      <c r="M61" s="160"/>
      <c r="N61" s="166"/>
    </row>
    <row r="62" spans="1:14" x14ac:dyDescent="0.35">
      <c r="B62" s="118" t="s">
        <v>304</v>
      </c>
      <c r="C62" s="118" t="s">
        <v>304</v>
      </c>
      <c r="D62" s="118" t="s">
        <v>304</v>
      </c>
      <c r="E62" s="118" t="s">
        <v>304</v>
      </c>
      <c r="F62" s="118" t="s">
        <v>304</v>
      </c>
      <c r="G62" s="118" t="s">
        <v>304</v>
      </c>
      <c r="H62" s="118" t="s">
        <v>304</v>
      </c>
      <c r="J62" s="154"/>
      <c r="K62" s="160"/>
      <c r="L62" s="133" t="s">
        <v>838</v>
      </c>
      <c r="M62" s="160"/>
      <c r="N62" s="166"/>
    </row>
    <row r="63" spans="1:14" x14ac:dyDescent="0.35">
      <c r="A63" t="s">
        <v>397</v>
      </c>
      <c r="B63" t="s">
        <v>398</v>
      </c>
      <c r="C63" t="s">
        <v>399</v>
      </c>
      <c r="D63" t="s">
        <v>400</v>
      </c>
      <c r="E63" t="s">
        <v>401</v>
      </c>
      <c r="F63" t="s">
        <v>402</v>
      </c>
      <c r="G63" t="s">
        <v>403</v>
      </c>
      <c r="H63" t="s">
        <v>404</v>
      </c>
      <c r="J63" s="154" t="s">
        <v>888</v>
      </c>
      <c r="K63" s="160"/>
      <c r="L63" s="133" t="s">
        <v>889</v>
      </c>
      <c r="M63" s="160"/>
      <c r="N63" s="166"/>
    </row>
    <row r="64" spans="1:14" x14ac:dyDescent="0.35">
      <c r="B64" s="118" t="s">
        <v>405</v>
      </c>
      <c r="C64" s="118" t="s">
        <v>405</v>
      </c>
      <c r="D64" s="118" t="s">
        <v>405</v>
      </c>
      <c r="E64" s="118" t="s">
        <v>405</v>
      </c>
      <c r="F64" s="118" t="s">
        <v>304</v>
      </c>
      <c r="G64" s="118" t="s">
        <v>405</v>
      </c>
      <c r="H64" s="118" t="s">
        <v>405</v>
      </c>
      <c r="J64" s="154"/>
      <c r="K64" s="160"/>
      <c r="L64" s="133" t="s">
        <v>838</v>
      </c>
      <c r="M64" s="160"/>
      <c r="N64" s="166"/>
    </row>
    <row r="65" spans="1:14" x14ac:dyDescent="0.35">
      <c r="A65" t="s">
        <v>98</v>
      </c>
      <c r="B65" t="s">
        <v>406</v>
      </c>
      <c r="C65" t="s">
        <v>407</v>
      </c>
      <c r="D65" t="s">
        <v>408</v>
      </c>
      <c r="E65" t="s">
        <v>409</v>
      </c>
      <c r="F65">
        <v>8.0000000000000004E-4</v>
      </c>
      <c r="G65" t="s">
        <v>410</v>
      </c>
      <c r="H65" t="s">
        <v>406</v>
      </c>
      <c r="J65" s="154" t="s">
        <v>890</v>
      </c>
      <c r="K65" s="160"/>
      <c r="L65" s="133" t="s">
        <v>891</v>
      </c>
      <c r="M65" s="160"/>
      <c r="N65" s="166"/>
    </row>
    <row r="66" spans="1:14" ht="15" thickBot="1" x14ac:dyDescent="0.4">
      <c r="B66" s="118" t="s">
        <v>411</v>
      </c>
      <c r="C66" s="118" t="s">
        <v>411</v>
      </c>
      <c r="D66" s="118" t="s">
        <v>411</v>
      </c>
      <c r="E66" s="118" t="s">
        <v>411</v>
      </c>
      <c r="F66" s="118" t="s">
        <v>411</v>
      </c>
      <c r="G66" s="118" t="s">
        <v>411</v>
      </c>
      <c r="H66" s="118" t="s">
        <v>411</v>
      </c>
      <c r="J66" s="156"/>
      <c r="K66" s="163"/>
      <c r="L66" s="134" t="s">
        <v>883</v>
      </c>
      <c r="M66" s="163"/>
      <c r="N66" s="167"/>
    </row>
    <row r="67" spans="1:14" x14ac:dyDescent="0.35">
      <c r="A67" t="s">
        <v>97</v>
      </c>
      <c r="B67" t="s">
        <v>412</v>
      </c>
      <c r="C67" t="s">
        <v>339</v>
      </c>
      <c r="D67" t="s">
        <v>413</v>
      </c>
      <c r="E67" t="s">
        <v>396</v>
      </c>
      <c r="F67" t="s">
        <v>414</v>
      </c>
      <c r="G67" t="s">
        <v>392</v>
      </c>
      <c r="H67" t="s">
        <v>412</v>
      </c>
      <c r="J67" s="155" t="s">
        <v>892</v>
      </c>
      <c r="K67" s="159"/>
      <c r="L67" s="133" t="s">
        <v>893</v>
      </c>
      <c r="M67" s="159"/>
      <c r="N67" s="165"/>
    </row>
    <row r="68" spans="1:14" x14ac:dyDescent="0.35">
      <c r="B68" s="118" t="s">
        <v>304</v>
      </c>
      <c r="C68" s="118" t="s">
        <v>304</v>
      </c>
      <c r="D68" s="118" t="s">
        <v>304</v>
      </c>
      <c r="E68" s="118" t="s">
        <v>304</v>
      </c>
      <c r="F68" s="118" t="s">
        <v>304</v>
      </c>
      <c r="G68" s="118" t="s">
        <v>304</v>
      </c>
      <c r="H68" s="118" t="s">
        <v>304</v>
      </c>
      <c r="J68" s="154"/>
      <c r="K68" s="160"/>
      <c r="L68" s="133" t="s">
        <v>838</v>
      </c>
      <c r="M68" s="160"/>
      <c r="N68" s="166"/>
    </row>
    <row r="69" spans="1:14" x14ac:dyDescent="0.35">
      <c r="A69" t="s">
        <v>96</v>
      </c>
      <c r="B69" t="s">
        <v>415</v>
      </c>
      <c r="C69" t="s">
        <v>416</v>
      </c>
      <c r="D69" t="s">
        <v>417</v>
      </c>
      <c r="E69" t="s">
        <v>418</v>
      </c>
      <c r="F69" t="s">
        <v>419</v>
      </c>
      <c r="G69" t="s">
        <v>420</v>
      </c>
      <c r="H69" t="s">
        <v>421</v>
      </c>
      <c r="J69" s="154" t="s">
        <v>894</v>
      </c>
      <c r="K69" s="160"/>
      <c r="L69" s="133" t="s">
        <v>869</v>
      </c>
      <c r="M69" s="160"/>
      <c r="N69" s="166"/>
    </row>
    <row r="70" spans="1:14" x14ac:dyDescent="0.35">
      <c r="B70" s="118" t="s">
        <v>405</v>
      </c>
      <c r="C70" s="118" t="s">
        <v>405</v>
      </c>
      <c r="D70" s="118" t="s">
        <v>405</v>
      </c>
      <c r="E70" s="118" t="s">
        <v>405</v>
      </c>
      <c r="F70" s="118" t="s">
        <v>304</v>
      </c>
      <c r="G70" s="118" t="s">
        <v>405</v>
      </c>
      <c r="H70" s="118" t="s">
        <v>405</v>
      </c>
      <c r="J70" s="154"/>
      <c r="K70" s="160"/>
      <c r="L70" s="133" t="s">
        <v>838</v>
      </c>
      <c r="M70" s="160"/>
      <c r="N70" s="166"/>
    </row>
    <row r="71" spans="1:14" x14ac:dyDescent="0.35">
      <c r="A71" t="s">
        <v>95</v>
      </c>
      <c r="B71" t="s">
        <v>287</v>
      </c>
      <c r="C71" t="s">
        <v>422</v>
      </c>
      <c r="D71" t="s">
        <v>423</v>
      </c>
      <c r="E71" t="s">
        <v>424</v>
      </c>
      <c r="F71" t="s">
        <v>425</v>
      </c>
      <c r="G71" t="s">
        <v>287</v>
      </c>
      <c r="H71" t="s">
        <v>426</v>
      </c>
      <c r="J71" s="154" t="s">
        <v>895</v>
      </c>
      <c r="K71" s="160"/>
      <c r="L71" s="133" t="s">
        <v>893</v>
      </c>
      <c r="M71" s="160"/>
      <c r="N71" s="166"/>
    </row>
    <row r="72" spans="1:14" x14ac:dyDescent="0.35">
      <c r="B72" s="118" t="s">
        <v>304</v>
      </c>
      <c r="C72" s="118" t="s">
        <v>304</v>
      </c>
      <c r="D72" s="118" t="s">
        <v>304</v>
      </c>
      <c r="E72" s="118" t="s">
        <v>304</v>
      </c>
      <c r="F72" s="118" t="s">
        <v>304</v>
      </c>
      <c r="G72" s="118" t="s">
        <v>304</v>
      </c>
      <c r="H72" s="118" t="s">
        <v>304</v>
      </c>
      <c r="J72" s="154"/>
      <c r="K72" s="160"/>
      <c r="L72" s="133" t="s">
        <v>838</v>
      </c>
      <c r="M72" s="160"/>
      <c r="N72" s="166"/>
    </row>
    <row r="73" spans="1:14" x14ac:dyDescent="0.35">
      <c r="A73" t="s">
        <v>94</v>
      </c>
      <c r="B73" t="s">
        <v>427</v>
      </c>
      <c r="C73" t="s">
        <v>428</v>
      </c>
      <c r="D73" t="s">
        <v>429</v>
      </c>
      <c r="E73" t="s">
        <v>430</v>
      </c>
      <c r="F73" t="s">
        <v>431</v>
      </c>
      <c r="G73" t="s">
        <v>432</v>
      </c>
      <c r="H73" t="s">
        <v>433</v>
      </c>
      <c r="J73" s="154" t="s">
        <v>896</v>
      </c>
      <c r="K73" s="160"/>
      <c r="L73" s="133" t="s">
        <v>897</v>
      </c>
      <c r="M73" s="160"/>
      <c r="N73" s="166"/>
    </row>
    <row r="74" spans="1:14" ht="15" thickBot="1" x14ac:dyDescent="0.4">
      <c r="B74" s="118" t="s">
        <v>304</v>
      </c>
      <c r="C74" s="118" t="s">
        <v>304</v>
      </c>
      <c r="D74" s="118" t="s">
        <v>304</v>
      </c>
      <c r="E74" s="118" t="s">
        <v>304</v>
      </c>
      <c r="F74" s="118" t="s">
        <v>303</v>
      </c>
      <c r="G74" s="118" t="s">
        <v>304</v>
      </c>
      <c r="H74" s="118" t="s">
        <v>304</v>
      </c>
      <c r="J74" s="156"/>
      <c r="K74" s="163"/>
      <c r="L74" s="134" t="s">
        <v>883</v>
      </c>
      <c r="M74" s="163"/>
      <c r="N74" s="167"/>
    </row>
    <row r="75" spans="1:14" x14ac:dyDescent="0.35">
      <c r="A75" t="s">
        <v>93</v>
      </c>
      <c r="B75" t="s">
        <v>434</v>
      </c>
      <c r="C75" t="s">
        <v>434</v>
      </c>
      <c r="D75" t="s">
        <v>435</v>
      </c>
      <c r="E75" t="s">
        <v>436</v>
      </c>
      <c r="F75" t="s">
        <v>437</v>
      </c>
      <c r="G75" t="s">
        <v>438</v>
      </c>
      <c r="H75" t="s">
        <v>439</v>
      </c>
      <c r="J75" s="155" t="s">
        <v>898</v>
      </c>
      <c r="K75" s="159"/>
      <c r="L75" s="133" t="s">
        <v>899</v>
      </c>
      <c r="M75" s="159"/>
      <c r="N75" s="165"/>
    </row>
    <row r="76" spans="1:14" x14ac:dyDescent="0.35">
      <c r="B76" s="118" t="s">
        <v>304</v>
      </c>
      <c r="C76" s="118" t="s">
        <v>304</v>
      </c>
      <c r="D76" s="118" t="s">
        <v>304</v>
      </c>
      <c r="E76" s="118" t="s">
        <v>304</v>
      </c>
      <c r="F76" s="118" t="s">
        <v>303</v>
      </c>
      <c r="G76" s="118" t="s">
        <v>304</v>
      </c>
      <c r="H76" s="118" t="s">
        <v>304</v>
      </c>
      <c r="J76" s="154"/>
      <c r="K76" s="160"/>
      <c r="L76" s="133" t="s">
        <v>838</v>
      </c>
      <c r="M76" s="160"/>
      <c r="N76" s="166"/>
    </row>
    <row r="77" spans="1:14" x14ac:dyDescent="0.35">
      <c r="A77" t="s">
        <v>92</v>
      </c>
      <c r="B77" t="s">
        <v>440</v>
      </c>
      <c r="C77" t="s">
        <v>385</v>
      </c>
      <c r="D77" t="s">
        <v>380</v>
      </c>
      <c r="E77" t="s">
        <v>441</v>
      </c>
      <c r="F77" t="s">
        <v>442</v>
      </c>
      <c r="G77" t="s">
        <v>440</v>
      </c>
      <c r="H77" t="s">
        <v>383</v>
      </c>
      <c r="J77" s="154" t="s">
        <v>900</v>
      </c>
      <c r="K77" s="160"/>
      <c r="L77" s="133" t="s">
        <v>897</v>
      </c>
      <c r="M77" s="160"/>
      <c r="N77" s="166"/>
    </row>
    <row r="78" spans="1:14" x14ac:dyDescent="0.35">
      <c r="B78" s="118" t="s">
        <v>405</v>
      </c>
      <c r="C78" s="118" t="s">
        <v>405</v>
      </c>
      <c r="D78" s="118" t="s">
        <v>405</v>
      </c>
      <c r="E78" s="118" t="s">
        <v>405</v>
      </c>
      <c r="F78" s="118" t="s">
        <v>304</v>
      </c>
      <c r="G78" s="118" t="s">
        <v>405</v>
      </c>
      <c r="H78" s="118" t="s">
        <v>405</v>
      </c>
      <c r="J78" s="154"/>
      <c r="K78" s="160"/>
      <c r="L78" s="133" t="s">
        <v>838</v>
      </c>
      <c r="M78" s="160"/>
      <c r="N78" s="166"/>
    </row>
    <row r="79" spans="1:14" x14ac:dyDescent="0.35">
      <c r="A79" t="s">
        <v>91</v>
      </c>
      <c r="B79" t="s">
        <v>443</v>
      </c>
      <c r="C79" t="s">
        <v>444</v>
      </c>
      <c r="D79" t="s">
        <v>445</v>
      </c>
      <c r="E79" t="s">
        <v>446</v>
      </c>
      <c r="F79" t="s">
        <v>447</v>
      </c>
      <c r="G79" t="s">
        <v>448</v>
      </c>
      <c r="H79" t="s">
        <v>449</v>
      </c>
      <c r="J79" s="154" t="s">
        <v>901</v>
      </c>
      <c r="K79" s="160"/>
      <c r="L79" s="133" t="s">
        <v>902</v>
      </c>
      <c r="M79" s="160"/>
      <c r="N79" s="166"/>
    </row>
    <row r="80" spans="1:14" x14ac:dyDescent="0.35">
      <c r="B80" s="118" t="s">
        <v>405</v>
      </c>
      <c r="C80" s="118" t="s">
        <v>405</v>
      </c>
      <c r="D80" s="118" t="s">
        <v>405</v>
      </c>
      <c r="E80" s="118" t="s">
        <v>405</v>
      </c>
      <c r="F80" s="118" t="s">
        <v>304</v>
      </c>
      <c r="G80" s="118" t="s">
        <v>405</v>
      </c>
      <c r="H80" s="118" t="s">
        <v>405</v>
      </c>
      <c r="J80" s="154"/>
      <c r="K80" s="160"/>
      <c r="L80" s="133" t="s">
        <v>883</v>
      </c>
      <c r="M80" s="160"/>
      <c r="N80" s="166"/>
    </row>
    <row r="81" spans="1:14" x14ac:dyDescent="0.35">
      <c r="A81" t="s">
        <v>90</v>
      </c>
      <c r="B81" t="s">
        <v>450</v>
      </c>
      <c r="C81" t="s">
        <v>451</v>
      </c>
      <c r="D81" t="s">
        <v>450</v>
      </c>
      <c r="E81" t="s">
        <v>452</v>
      </c>
      <c r="F81" t="s">
        <v>453</v>
      </c>
      <c r="G81" t="s">
        <v>454</v>
      </c>
      <c r="H81" t="s">
        <v>455</v>
      </c>
      <c r="J81" s="154" t="s">
        <v>903</v>
      </c>
      <c r="K81" s="160"/>
      <c r="L81" s="133" t="s">
        <v>904</v>
      </c>
      <c r="M81" s="160"/>
      <c r="N81" s="166"/>
    </row>
    <row r="82" spans="1:14" x14ac:dyDescent="0.35">
      <c r="B82" s="118" t="s">
        <v>405</v>
      </c>
      <c r="C82" s="118" t="s">
        <v>405</v>
      </c>
      <c r="D82" s="118" t="s">
        <v>405</v>
      </c>
      <c r="E82" s="118" t="s">
        <v>405</v>
      </c>
      <c r="F82" s="118" t="s">
        <v>304</v>
      </c>
      <c r="G82" s="118" t="s">
        <v>405</v>
      </c>
      <c r="H82" s="118" t="s">
        <v>405</v>
      </c>
      <c r="J82" s="154"/>
      <c r="K82" s="160"/>
      <c r="L82" s="133" t="s">
        <v>883</v>
      </c>
      <c r="M82" s="160"/>
      <c r="N82" s="166"/>
    </row>
    <row r="83" spans="1:14" x14ac:dyDescent="0.35">
      <c r="A83" t="s">
        <v>78</v>
      </c>
      <c r="B83">
        <v>0</v>
      </c>
      <c r="C83">
        <v>0</v>
      </c>
      <c r="D83">
        <v>0</v>
      </c>
      <c r="E83">
        <v>0</v>
      </c>
      <c r="F83">
        <v>0</v>
      </c>
      <c r="G83">
        <v>0</v>
      </c>
      <c r="H83">
        <v>0</v>
      </c>
      <c r="J83" s="154"/>
      <c r="K83" s="160"/>
      <c r="L83" s="133"/>
      <c r="M83" s="160"/>
      <c r="N83" s="166"/>
    </row>
    <row r="84" spans="1:14" ht="15" thickBot="1" x14ac:dyDescent="0.4">
      <c r="B84" t="s">
        <v>250</v>
      </c>
      <c r="C84" t="s">
        <v>250</v>
      </c>
      <c r="D84" t="s">
        <v>250</v>
      </c>
      <c r="E84" t="s">
        <v>250</v>
      </c>
      <c r="F84" t="s">
        <v>250</v>
      </c>
      <c r="G84" t="s">
        <v>250</v>
      </c>
      <c r="H84" t="s">
        <v>250</v>
      </c>
      <c r="J84" s="156"/>
      <c r="K84" s="163"/>
      <c r="L84" s="134"/>
      <c r="M84" s="163"/>
      <c r="N84" s="167"/>
    </row>
    <row r="85" spans="1:14" x14ac:dyDescent="0.35">
      <c r="A85" t="s">
        <v>79</v>
      </c>
      <c r="B85" t="s">
        <v>456</v>
      </c>
      <c r="C85" t="s">
        <v>456</v>
      </c>
      <c r="D85" t="s">
        <v>457</v>
      </c>
      <c r="E85" t="s">
        <v>458</v>
      </c>
      <c r="F85" t="s">
        <v>459</v>
      </c>
      <c r="G85" t="s">
        <v>459</v>
      </c>
      <c r="H85" t="s">
        <v>460</v>
      </c>
      <c r="J85" s="155" t="s">
        <v>905</v>
      </c>
      <c r="K85" s="159"/>
      <c r="L85" s="133" t="s">
        <v>906</v>
      </c>
      <c r="M85" s="159"/>
      <c r="N85" s="165"/>
    </row>
    <row r="86" spans="1:14" x14ac:dyDescent="0.35">
      <c r="B86" s="118" t="s">
        <v>265</v>
      </c>
      <c r="C86" s="118" t="s">
        <v>265</v>
      </c>
      <c r="D86" s="118" t="s">
        <v>265</v>
      </c>
      <c r="E86" s="118" t="s">
        <v>265</v>
      </c>
      <c r="F86" s="118" t="s">
        <v>257</v>
      </c>
      <c r="G86" s="118" t="s">
        <v>265</v>
      </c>
      <c r="H86" s="118" t="s">
        <v>265</v>
      </c>
      <c r="J86" s="154"/>
      <c r="K86" s="160"/>
      <c r="L86" s="133" t="s">
        <v>883</v>
      </c>
      <c r="M86" s="160"/>
      <c r="N86" s="166"/>
    </row>
    <row r="87" spans="1:14" x14ac:dyDescent="0.35">
      <c r="A87" t="s">
        <v>80</v>
      </c>
      <c r="B87" t="s">
        <v>461</v>
      </c>
      <c r="C87" t="s">
        <v>461</v>
      </c>
      <c r="D87" t="s">
        <v>462</v>
      </c>
      <c r="E87" t="s">
        <v>463</v>
      </c>
      <c r="F87" t="s">
        <v>435</v>
      </c>
      <c r="G87" t="s">
        <v>464</v>
      </c>
      <c r="H87" t="s">
        <v>465</v>
      </c>
      <c r="J87" s="154" t="s">
        <v>907</v>
      </c>
      <c r="K87" s="160"/>
      <c r="L87" s="133" t="s">
        <v>908</v>
      </c>
      <c r="M87" s="160"/>
      <c r="N87" s="166"/>
    </row>
    <row r="88" spans="1:14" x14ac:dyDescent="0.35">
      <c r="B88" s="118" t="s">
        <v>265</v>
      </c>
      <c r="C88" s="118" t="s">
        <v>265</v>
      </c>
      <c r="D88" s="118" t="s">
        <v>265</v>
      </c>
      <c r="E88" s="118" t="s">
        <v>265</v>
      </c>
      <c r="F88" s="118" t="s">
        <v>257</v>
      </c>
      <c r="G88" s="118" t="s">
        <v>265</v>
      </c>
      <c r="H88" s="118" t="s">
        <v>265</v>
      </c>
      <c r="J88" s="154"/>
      <c r="K88" s="160"/>
      <c r="L88" s="133" t="s">
        <v>883</v>
      </c>
      <c r="M88" s="160"/>
      <c r="N88" s="166"/>
    </row>
    <row r="89" spans="1:14" x14ac:dyDescent="0.35">
      <c r="A89" t="s">
        <v>81</v>
      </c>
      <c r="B89" t="s">
        <v>466</v>
      </c>
      <c r="C89" t="s">
        <v>467</v>
      </c>
      <c r="D89" t="s">
        <v>468</v>
      </c>
      <c r="E89" t="s">
        <v>469</v>
      </c>
      <c r="F89" t="s">
        <v>470</v>
      </c>
      <c r="G89" t="s">
        <v>471</v>
      </c>
      <c r="H89" t="s">
        <v>468</v>
      </c>
      <c r="J89" s="154" t="s">
        <v>909</v>
      </c>
      <c r="K89" s="160"/>
      <c r="L89" s="133" t="s">
        <v>910</v>
      </c>
      <c r="M89" s="160"/>
      <c r="N89" s="166"/>
    </row>
    <row r="90" spans="1:14" x14ac:dyDescent="0.35">
      <c r="B90" s="118" t="s">
        <v>265</v>
      </c>
      <c r="C90" s="118" t="s">
        <v>265</v>
      </c>
      <c r="D90" s="118" t="s">
        <v>265</v>
      </c>
      <c r="E90" s="118" t="s">
        <v>265</v>
      </c>
      <c r="F90" s="118" t="s">
        <v>257</v>
      </c>
      <c r="G90" s="118" t="s">
        <v>265</v>
      </c>
      <c r="H90" s="118" t="s">
        <v>265</v>
      </c>
      <c r="J90" s="154"/>
      <c r="K90" s="160"/>
      <c r="L90" s="133" t="s">
        <v>883</v>
      </c>
      <c r="M90" s="160"/>
      <c r="N90" s="166"/>
    </row>
    <row r="91" spans="1:14" x14ac:dyDescent="0.35">
      <c r="A91" t="s">
        <v>54</v>
      </c>
      <c r="B91">
        <v>0</v>
      </c>
      <c r="C91">
        <v>0</v>
      </c>
      <c r="D91">
        <v>0</v>
      </c>
      <c r="E91">
        <v>0</v>
      </c>
      <c r="F91">
        <v>0</v>
      </c>
      <c r="G91">
        <v>0</v>
      </c>
      <c r="H91">
        <v>0</v>
      </c>
      <c r="J91" s="154" t="s">
        <v>911</v>
      </c>
      <c r="K91" s="160"/>
      <c r="L91" s="133" t="s">
        <v>912</v>
      </c>
      <c r="M91" s="160"/>
      <c r="N91" s="166"/>
    </row>
    <row r="92" spans="1:14" ht="15" thickBot="1" x14ac:dyDescent="0.4">
      <c r="B92" t="s">
        <v>250</v>
      </c>
      <c r="C92" t="s">
        <v>250</v>
      </c>
      <c r="D92" t="s">
        <v>250</v>
      </c>
      <c r="E92" t="s">
        <v>250</v>
      </c>
      <c r="F92" t="s">
        <v>250</v>
      </c>
      <c r="G92" t="s">
        <v>250</v>
      </c>
      <c r="H92" t="s">
        <v>250</v>
      </c>
      <c r="J92" s="156"/>
      <c r="K92" s="163"/>
      <c r="L92" s="134" t="s">
        <v>913</v>
      </c>
      <c r="M92" s="163"/>
      <c r="N92" s="167"/>
    </row>
    <row r="93" spans="1:14" ht="21" x14ac:dyDescent="0.35">
      <c r="A93" t="s">
        <v>55</v>
      </c>
      <c r="B93" t="s">
        <v>472</v>
      </c>
      <c r="C93" t="s">
        <v>473</v>
      </c>
      <c r="D93" t="s">
        <v>474</v>
      </c>
      <c r="E93" t="s">
        <v>475</v>
      </c>
      <c r="F93" t="s">
        <v>476</v>
      </c>
      <c r="G93" t="s">
        <v>477</v>
      </c>
      <c r="H93" t="s">
        <v>478</v>
      </c>
      <c r="J93" s="141" t="s">
        <v>874</v>
      </c>
      <c r="K93" s="178"/>
      <c r="L93" s="178"/>
      <c r="M93" s="178"/>
      <c r="N93" s="179"/>
    </row>
    <row r="94" spans="1:14" ht="32" thickBot="1" x14ac:dyDescent="0.4">
      <c r="B94" s="118" t="s">
        <v>257</v>
      </c>
      <c r="C94" s="118" t="s">
        <v>257</v>
      </c>
      <c r="D94" s="118" t="s">
        <v>257</v>
      </c>
      <c r="E94" s="118" t="s">
        <v>257</v>
      </c>
      <c r="F94" s="118" t="s">
        <v>257</v>
      </c>
      <c r="G94" s="118" t="s">
        <v>257</v>
      </c>
      <c r="H94" s="118" t="s">
        <v>257</v>
      </c>
      <c r="J94" s="128" t="s">
        <v>914</v>
      </c>
      <c r="K94" s="175"/>
      <c r="L94" s="175"/>
      <c r="M94" s="175"/>
      <c r="N94" s="177"/>
    </row>
    <row r="95" spans="1:14" x14ac:dyDescent="0.35">
      <c r="A95" t="s">
        <v>56</v>
      </c>
      <c r="B95" t="s">
        <v>479</v>
      </c>
      <c r="C95" t="s">
        <v>479</v>
      </c>
      <c r="D95" t="s">
        <v>480</v>
      </c>
      <c r="E95" t="s">
        <v>481</v>
      </c>
      <c r="F95" t="s">
        <v>482</v>
      </c>
      <c r="G95" t="s">
        <v>483</v>
      </c>
      <c r="H95" t="s">
        <v>484</v>
      </c>
      <c r="J95" s="155" t="s">
        <v>915</v>
      </c>
      <c r="K95" s="159"/>
      <c r="L95" s="133" t="s">
        <v>837</v>
      </c>
      <c r="M95" s="159"/>
      <c r="N95" s="165"/>
    </row>
    <row r="96" spans="1:14" x14ac:dyDescent="0.35">
      <c r="B96" s="118" t="s">
        <v>303</v>
      </c>
      <c r="C96" s="118" t="s">
        <v>303</v>
      </c>
      <c r="D96" s="118" t="s">
        <v>303</v>
      </c>
      <c r="E96" s="118" t="s">
        <v>304</v>
      </c>
      <c r="F96" s="118" t="s">
        <v>305</v>
      </c>
      <c r="G96" s="118" t="s">
        <v>303</v>
      </c>
      <c r="H96" s="118" t="s">
        <v>303</v>
      </c>
      <c r="J96" s="154"/>
      <c r="K96" s="160"/>
      <c r="L96" s="133" t="s">
        <v>838</v>
      </c>
      <c r="M96" s="160"/>
      <c r="N96" s="166"/>
    </row>
    <row r="97" spans="1:14" x14ac:dyDescent="0.35">
      <c r="A97" t="s">
        <v>57</v>
      </c>
      <c r="B97" t="s">
        <v>485</v>
      </c>
      <c r="C97" t="s">
        <v>486</v>
      </c>
      <c r="D97" t="s">
        <v>487</v>
      </c>
      <c r="E97" t="s">
        <v>488</v>
      </c>
      <c r="F97" t="s">
        <v>489</v>
      </c>
      <c r="G97" t="s">
        <v>490</v>
      </c>
      <c r="H97" t="s">
        <v>491</v>
      </c>
      <c r="J97" s="154" t="s">
        <v>916</v>
      </c>
      <c r="K97" s="160"/>
      <c r="L97" s="133" t="s">
        <v>848</v>
      </c>
      <c r="M97" s="160"/>
      <c r="N97" s="166"/>
    </row>
    <row r="98" spans="1:14" x14ac:dyDescent="0.35">
      <c r="B98" s="118" t="s">
        <v>265</v>
      </c>
      <c r="C98" s="118" t="s">
        <v>265</v>
      </c>
      <c r="D98" s="118" t="s">
        <v>305</v>
      </c>
      <c r="E98" s="118" t="s">
        <v>265</v>
      </c>
      <c r="F98" s="118" t="s">
        <v>265</v>
      </c>
      <c r="G98" s="118" t="s">
        <v>265</v>
      </c>
      <c r="H98" s="118" t="s">
        <v>265</v>
      </c>
      <c r="J98" s="154"/>
      <c r="K98" s="160"/>
      <c r="L98" s="133" t="s">
        <v>838</v>
      </c>
      <c r="M98" s="160"/>
      <c r="N98" s="166"/>
    </row>
    <row r="99" spans="1:14" x14ac:dyDescent="0.35">
      <c r="A99" t="s">
        <v>63</v>
      </c>
      <c r="B99">
        <v>0</v>
      </c>
      <c r="C99">
        <v>0</v>
      </c>
      <c r="D99">
        <v>0</v>
      </c>
      <c r="E99">
        <v>0</v>
      </c>
      <c r="F99">
        <v>0</v>
      </c>
      <c r="G99">
        <v>0</v>
      </c>
      <c r="H99">
        <v>0</v>
      </c>
      <c r="J99" s="154" t="s">
        <v>917</v>
      </c>
      <c r="K99" s="160"/>
      <c r="L99" s="133" t="s">
        <v>918</v>
      </c>
      <c r="M99" s="160"/>
      <c r="N99" s="166"/>
    </row>
    <row r="100" spans="1:14" x14ac:dyDescent="0.35">
      <c r="B100" t="s">
        <v>250</v>
      </c>
      <c r="C100" t="s">
        <v>250</v>
      </c>
      <c r="D100" t="s">
        <v>250</v>
      </c>
      <c r="E100" t="s">
        <v>250</v>
      </c>
      <c r="F100" t="s">
        <v>250</v>
      </c>
      <c r="G100" t="s">
        <v>250</v>
      </c>
      <c r="H100" t="s">
        <v>250</v>
      </c>
      <c r="J100" s="154"/>
      <c r="K100" s="160"/>
      <c r="L100" s="133" t="s">
        <v>838</v>
      </c>
      <c r="M100" s="160"/>
      <c r="N100" s="166"/>
    </row>
    <row r="101" spans="1:14" x14ac:dyDescent="0.35">
      <c r="A101" t="s">
        <v>64</v>
      </c>
      <c r="B101" t="s">
        <v>273</v>
      </c>
      <c r="C101" t="s">
        <v>492</v>
      </c>
      <c r="D101" t="s">
        <v>493</v>
      </c>
      <c r="E101" t="s">
        <v>494</v>
      </c>
      <c r="F101" t="s">
        <v>495</v>
      </c>
      <c r="G101" t="s">
        <v>496</v>
      </c>
      <c r="H101" t="s">
        <v>497</v>
      </c>
      <c r="J101" s="154" t="s">
        <v>919</v>
      </c>
      <c r="K101" s="160"/>
      <c r="L101" s="133" t="s">
        <v>850</v>
      </c>
      <c r="M101" s="160"/>
      <c r="N101" s="166"/>
    </row>
    <row r="102" spans="1:14" x14ac:dyDescent="0.35">
      <c r="B102" s="118" t="s">
        <v>265</v>
      </c>
      <c r="C102" s="118" t="s">
        <v>265</v>
      </c>
      <c r="D102" s="118" t="s">
        <v>265</v>
      </c>
      <c r="E102" s="118" t="s">
        <v>265</v>
      </c>
      <c r="F102" s="118" t="s">
        <v>265</v>
      </c>
      <c r="G102" s="118" t="s">
        <v>265</v>
      </c>
      <c r="H102" s="118" t="s">
        <v>265</v>
      </c>
      <c r="J102" s="154"/>
      <c r="K102" s="160"/>
      <c r="L102" s="133" t="s">
        <v>838</v>
      </c>
      <c r="M102" s="160"/>
      <c r="N102" s="166"/>
    </row>
    <row r="103" spans="1:14" x14ac:dyDescent="0.35">
      <c r="A103" t="s">
        <v>65</v>
      </c>
      <c r="B103" t="s">
        <v>498</v>
      </c>
      <c r="C103" t="s">
        <v>433</v>
      </c>
      <c r="D103" t="s">
        <v>432</v>
      </c>
      <c r="E103" t="s">
        <v>499</v>
      </c>
      <c r="F103" t="s">
        <v>500</v>
      </c>
      <c r="G103" t="s">
        <v>289</v>
      </c>
      <c r="H103" t="s">
        <v>501</v>
      </c>
      <c r="J103" s="154" t="s">
        <v>920</v>
      </c>
      <c r="K103" s="160"/>
      <c r="L103" s="133" t="s">
        <v>918</v>
      </c>
      <c r="M103" s="160"/>
      <c r="N103" s="166"/>
    </row>
    <row r="104" spans="1:14" x14ac:dyDescent="0.35">
      <c r="B104" s="118" t="s">
        <v>265</v>
      </c>
      <c r="C104" s="118" t="s">
        <v>265</v>
      </c>
      <c r="D104" s="118" t="s">
        <v>265</v>
      </c>
      <c r="E104" s="118" t="s">
        <v>265</v>
      </c>
      <c r="F104" s="118" t="s">
        <v>265</v>
      </c>
      <c r="G104" s="118" t="s">
        <v>265</v>
      </c>
      <c r="H104" s="118" t="s">
        <v>265</v>
      </c>
      <c r="J104" s="154"/>
      <c r="K104" s="160"/>
      <c r="L104" s="133" t="s">
        <v>838</v>
      </c>
      <c r="M104" s="160"/>
      <c r="N104" s="166"/>
    </row>
    <row r="105" spans="1:14" x14ac:dyDescent="0.35">
      <c r="A105" t="s">
        <v>66</v>
      </c>
      <c r="B105" t="s">
        <v>502</v>
      </c>
      <c r="C105" t="s">
        <v>503</v>
      </c>
      <c r="D105" t="s">
        <v>504</v>
      </c>
      <c r="E105" t="s">
        <v>503</v>
      </c>
      <c r="F105" t="s">
        <v>505</v>
      </c>
      <c r="G105" t="s">
        <v>506</v>
      </c>
      <c r="H105" t="s">
        <v>507</v>
      </c>
      <c r="J105" s="154" t="s">
        <v>921</v>
      </c>
      <c r="K105" s="160"/>
      <c r="L105" s="133" t="s">
        <v>922</v>
      </c>
      <c r="M105" s="160"/>
      <c r="N105" s="166"/>
    </row>
    <row r="106" spans="1:14" ht="15" thickBot="1" x14ac:dyDescent="0.4">
      <c r="B106" s="118" t="s">
        <v>265</v>
      </c>
      <c r="C106" s="118" t="s">
        <v>265</v>
      </c>
      <c r="D106" s="118" t="s">
        <v>265</v>
      </c>
      <c r="E106" s="118" t="s">
        <v>265</v>
      </c>
      <c r="F106" s="118" t="s">
        <v>265</v>
      </c>
      <c r="G106" s="118" t="s">
        <v>265</v>
      </c>
      <c r="H106" s="118" t="s">
        <v>265</v>
      </c>
      <c r="J106" s="156"/>
      <c r="K106" s="163"/>
      <c r="L106" s="134" t="s">
        <v>883</v>
      </c>
      <c r="M106" s="163"/>
      <c r="N106" s="167"/>
    </row>
    <row r="107" spans="1:14" x14ac:dyDescent="0.35">
      <c r="A107" t="s">
        <v>67</v>
      </c>
      <c r="B107" t="s">
        <v>508</v>
      </c>
      <c r="C107" t="s">
        <v>509</v>
      </c>
      <c r="D107" t="s">
        <v>510</v>
      </c>
      <c r="E107" t="s">
        <v>511</v>
      </c>
      <c r="F107" t="s">
        <v>512</v>
      </c>
      <c r="G107" t="s">
        <v>513</v>
      </c>
      <c r="H107" t="s">
        <v>514</v>
      </c>
      <c r="J107" s="155" t="s">
        <v>923</v>
      </c>
      <c r="K107" s="168"/>
      <c r="L107" s="133" t="s">
        <v>852</v>
      </c>
      <c r="M107" s="168"/>
      <c r="N107" s="172"/>
    </row>
    <row r="108" spans="1:14" x14ac:dyDescent="0.35">
      <c r="B108" s="118" t="s">
        <v>265</v>
      </c>
      <c r="C108" s="118" t="s">
        <v>265</v>
      </c>
      <c r="D108" s="118" t="s">
        <v>265</v>
      </c>
      <c r="E108" s="118" t="s">
        <v>265</v>
      </c>
      <c r="F108" s="118" t="s">
        <v>265</v>
      </c>
      <c r="G108" s="118" t="s">
        <v>265</v>
      </c>
      <c r="H108" s="118" t="s">
        <v>265</v>
      </c>
      <c r="J108" s="154"/>
      <c r="K108" s="180"/>
      <c r="L108" s="133" t="s">
        <v>838</v>
      </c>
      <c r="M108" s="180"/>
      <c r="N108" s="181"/>
    </row>
    <row r="109" spans="1:14" x14ac:dyDescent="0.35">
      <c r="A109" t="s">
        <v>68</v>
      </c>
      <c r="B109" t="s">
        <v>515</v>
      </c>
      <c r="C109" t="s">
        <v>516</v>
      </c>
      <c r="D109" t="s">
        <v>517</v>
      </c>
      <c r="E109" t="s">
        <v>516</v>
      </c>
      <c r="F109" t="s">
        <v>432</v>
      </c>
      <c r="G109" t="s">
        <v>518</v>
      </c>
      <c r="H109" t="s">
        <v>519</v>
      </c>
      <c r="J109" s="154" t="s">
        <v>924</v>
      </c>
      <c r="K109" s="180"/>
      <c r="L109" s="133" t="s">
        <v>918</v>
      </c>
      <c r="M109" s="180"/>
      <c r="N109" s="181"/>
    </row>
    <row r="110" spans="1:14" x14ac:dyDescent="0.35">
      <c r="B110" s="118" t="s">
        <v>265</v>
      </c>
      <c r="C110" s="118" t="s">
        <v>265</v>
      </c>
      <c r="D110" s="118" t="s">
        <v>265</v>
      </c>
      <c r="E110" s="118" t="s">
        <v>265</v>
      </c>
      <c r="F110" s="118" t="s">
        <v>265</v>
      </c>
      <c r="G110" s="118" t="s">
        <v>265</v>
      </c>
      <c r="H110" s="118" t="s">
        <v>265</v>
      </c>
      <c r="J110" s="154"/>
      <c r="K110" s="180"/>
      <c r="L110" s="133" t="s">
        <v>838</v>
      </c>
      <c r="M110" s="180"/>
      <c r="N110" s="181"/>
    </row>
    <row r="111" spans="1:14" x14ac:dyDescent="0.35">
      <c r="A111" t="s">
        <v>520</v>
      </c>
      <c r="B111">
        <v>0</v>
      </c>
      <c r="C111">
        <v>0</v>
      </c>
      <c r="D111">
        <v>0</v>
      </c>
      <c r="E111">
        <v>0</v>
      </c>
      <c r="F111">
        <v>0</v>
      </c>
      <c r="G111">
        <v>0</v>
      </c>
      <c r="H111">
        <v>0</v>
      </c>
      <c r="J111" s="154" t="s">
        <v>925</v>
      </c>
      <c r="K111" s="180"/>
      <c r="L111" s="133" t="s">
        <v>918</v>
      </c>
      <c r="M111" s="180"/>
      <c r="N111" s="181"/>
    </row>
    <row r="112" spans="1:14" x14ac:dyDescent="0.35">
      <c r="B112" t="s">
        <v>250</v>
      </c>
      <c r="C112" t="s">
        <v>250</v>
      </c>
      <c r="D112" t="s">
        <v>250</v>
      </c>
      <c r="E112" t="s">
        <v>250</v>
      </c>
      <c r="F112" t="s">
        <v>250</v>
      </c>
      <c r="G112" t="s">
        <v>250</v>
      </c>
      <c r="H112" t="s">
        <v>250</v>
      </c>
      <c r="J112" s="154"/>
      <c r="K112" s="180"/>
      <c r="L112" s="133" t="s">
        <v>838</v>
      </c>
      <c r="M112" s="180"/>
      <c r="N112" s="181"/>
    </row>
    <row r="113" spans="1:14" x14ac:dyDescent="0.35">
      <c r="A113" t="s">
        <v>521</v>
      </c>
      <c r="B113" t="s">
        <v>522</v>
      </c>
      <c r="C113" t="s">
        <v>523</v>
      </c>
      <c r="D113" t="s">
        <v>524</v>
      </c>
      <c r="E113" t="s">
        <v>523</v>
      </c>
      <c r="F113" t="s">
        <v>525</v>
      </c>
      <c r="G113">
        <v>-2E-3</v>
      </c>
      <c r="H113">
        <v>-2.0999999999999999E-3</v>
      </c>
      <c r="J113" s="154" t="s">
        <v>926</v>
      </c>
      <c r="K113" s="180"/>
      <c r="L113" s="133" t="s">
        <v>852</v>
      </c>
      <c r="M113" s="180"/>
      <c r="N113" s="181"/>
    </row>
    <row r="114" spans="1:14" x14ac:dyDescent="0.35">
      <c r="B114" s="118" t="s">
        <v>526</v>
      </c>
      <c r="C114" s="118" t="s">
        <v>526</v>
      </c>
      <c r="D114" s="118" t="s">
        <v>526</v>
      </c>
      <c r="E114" s="118" t="s">
        <v>526</v>
      </c>
      <c r="F114" s="118" t="s">
        <v>527</v>
      </c>
      <c r="G114" s="118" t="s">
        <v>528</v>
      </c>
      <c r="H114" s="118" t="s">
        <v>528</v>
      </c>
      <c r="J114" s="154"/>
      <c r="K114" s="180"/>
      <c r="L114" s="133" t="s">
        <v>838</v>
      </c>
      <c r="M114" s="180"/>
      <c r="N114" s="181"/>
    </row>
    <row r="115" spans="1:14" x14ac:dyDescent="0.35">
      <c r="A115" t="s">
        <v>529</v>
      </c>
      <c r="B115" t="s">
        <v>530</v>
      </c>
      <c r="C115" t="s">
        <v>531</v>
      </c>
      <c r="D115" t="s">
        <v>463</v>
      </c>
      <c r="E115" t="s">
        <v>531</v>
      </c>
      <c r="F115" t="s">
        <v>532</v>
      </c>
      <c r="G115" t="s">
        <v>435</v>
      </c>
      <c r="H115" t="s">
        <v>533</v>
      </c>
      <c r="J115" s="154" t="s">
        <v>927</v>
      </c>
      <c r="K115" s="180"/>
      <c r="L115" s="133" t="s">
        <v>928</v>
      </c>
      <c r="M115" s="180"/>
      <c r="N115" s="181"/>
    </row>
    <row r="116" spans="1:14" x14ac:dyDescent="0.35">
      <c r="B116" s="118" t="s">
        <v>534</v>
      </c>
      <c r="C116" s="118" t="s">
        <v>534</v>
      </c>
      <c r="D116" s="118" t="s">
        <v>534</v>
      </c>
      <c r="E116" s="118" t="s">
        <v>534</v>
      </c>
      <c r="F116" s="118" t="s">
        <v>411</v>
      </c>
      <c r="G116" s="118" t="s">
        <v>534</v>
      </c>
      <c r="H116" s="118" t="s">
        <v>534</v>
      </c>
      <c r="J116" s="154"/>
      <c r="K116" s="180"/>
      <c r="L116" s="133" t="s">
        <v>838</v>
      </c>
      <c r="M116" s="180"/>
      <c r="N116" s="181"/>
    </row>
    <row r="117" spans="1:14" x14ac:dyDescent="0.35">
      <c r="A117" t="s">
        <v>535</v>
      </c>
      <c r="B117" t="s">
        <v>536</v>
      </c>
      <c r="C117" t="s">
        <v>537</v>
      </c>
      <c r="D117" t="s">
        <v>536</v>
      </c>
      <c r="E117" t="s">
        <v>538</v>
      </c>
      <c r="F117" t="s">
        <v>449</v>
      </c>
      <c r="G117" t="s">
        <v>536</v>
      </c>
      <c r="H117" t="s">
        <v>539</v>
      </c>
      <c r="J117" s="154" t="s">
        <v>929</v>
      </c>
      <c r="K117" s="180"/>
      <c r="L117" s="133" t="s">
        <v>930</v>
      </c>
      <c r="M117" s="180"/>
      <c r="N117" s="181"/>
    </row>
    <row r="118" spans="1:14" ht="15" thickBot="1" x14ac:dyDescent="0.4">
      <c r="B118" s="118" t="s">
        <v>363</v>
      </c>
      <c r="C118" s="118" t="s">
        <v>363</v>
      </c>
      <c r="D118" s="118" t="s">
        <v>363</v>
      </c>
      <c r="E118" s="118" t="s">
        <v>363</v>
      </c>
      <c r="F118" s="118" t="s">
        <v>411</v>
      </c>
      <c r="G118" s="118" t="s">
        <v>363</v>
      </c>
      <c r="H118" s="118" t="s">
        <v>363</v>
      </c>
      <c r="J118" s="156"/>
      <c r="K118" s="182"/>
      <c r="L118" s="134" t="s">
        <v>883</v>
      </c>
      <c r="M118" s="182"/>
      <c r="N118" s="183"/>
    </row>
    <row r="119" spans="1:14" x14ac:dyDescent="0.35">
      <c r="A119" t="s">
        <v>540</v>
      </c>
      <c r="B119" t="s">
        <v>541</v>
      </c>
      <c r="C119" t="s">
        <v>541</v>
      </c>
      <c r="D119" t="s">
        <v>541</v>
      </c>
      <c r="E119" t="s">
        <v>542</v>
      </c>
      <c r="F119" t="s">
        <v>543</v>
      </c>
      <c r="G119" t="s">
        <v>353</v>
      </c>
      <c r="H119" t="s">
        <v>544</v>
      </c>
      <c r="J119" s="155" t="s">
        <v>931</v>
      </c>
      <c r="K119" s="168"/>
      <c r="L119" s="133" t="s">
        <v>932</v>
      </c>
      <c r="M119" s="168"/>
      <c r="N119" s="172"/>
    </row>
    <row r="120" spans="1:14" x14ac:dyDescent="0.35">
      <c r="B120" s="118" t="s">
        <v>363</v>
      </c>
      <c r="C120" s="118" t="s">
        <v>363</v>
      </c>
      <c r="D120" s="118" t="s">
        <v>363</v>
      </c>
      <c r="E120" s="118" t="s">
        <v>363</v>
      </c>
      <c r="F120" s="118" t="s">
        <v>411</v>
      </c>
      <c r="G120" s="118" t="s">
        <v>363</v>
      </c>
      <c r="H120" s="118" t="s">
        <v>363</v>
      </c>
      <c r="J120" s="154"/>
      <c r="K120" s="180"/>
      <c r="L120" s="133" t="s">
        <v>883</v>
      </c>
      <c r="M120" s="180"/>
      <c r="N120" s="181"/>
    </row>
    <row r="121" spans="1:14" x14ac:dyDescent="0.35">
      <c r="A121" t="s">
        <v>545</v>
      </c>
      <c r="B121" t="s">
        <v>379</v>
      </c>
      <c r="C121" t="s">
        <v>546</v>
      </c>
      <c r="D121" t="s">
        <v>379</v>
      </c>
      <c r="E121" t="s">
        <v>546</v>
      </c>
      <c r="F121" t="s">
        <v>547</v>
      </c>
      <c r="G121" t="s">
        <v>379</v>
      </c>
      <c r="H121" t="s">
        <v>374</v>
      </c>
      <c r="J121" s="154" t="s">
        <v>933</v>
      </c>
      <c r="K121" s="180"/>
      <c r="L121" s="133" t="s">
        <v>934</v>
      </c>
      <c r="M121" s="180"/>
      <c r="N121" s="181"/>
    </row>
    <row r="122" spans="1:14" x14ac:dyDescent="0.35">
      <c r="B122" s="118" t="s">
        <v>363</v>
      </c>
      <c r="C122" s="118" t="s">
        <v>363</v>
      </c>
      <c r="D122" s="118" t="s">
        <v>363</v>
      </c>
      <c r="E122" s="118" t="s">
        <v>363</v>
      </c>
      <c r="F122" s="118" t="s">
        <v>411</v>
      </c>
      <c r="G122" s="118" t="s">
        <v>363</v>
      </c>
      <c r="H122" s="118" t="s">
        <v>363</v>
      </c>
      <c r="J122" s="154"/>
      <c r="K122" s="180"/>
      <c r="L122" s="133" t="s">
        <v>838</v>
      </c>
      <c r="M122" s="180"/>
      <c r="N122" s="181"/>
    </row>
    <row r="123" spans="1:14" x14ac:dyDescent="0.35">
      <c r="A123" t="s">
        <v>548</v>
      </c>
      <c r="B123" t="s">
        <v>317</v>
      </c>
      <c r="C123" t="s">
        <v>318</v>
      </c>
      <c r="D123" t="s">
        <v>317</v>
      </c>
      <c r="E123" t="s">
        <v>324</v>
      </c>
      <c r="F123" t="s">
        <v>549</v>
      </c>
      <c r="G123" t="s">
        <v>550</v>
      </c>
      <c r="H123" t="s">
        <v>551</v>
      </c>
      <c r="J123" s="154" t="s">
        <v>935</v>
      </c>
      <c r="K123" s="180"/>
      <c r="L123" s="133" t="s">
        <v>936</v>
      </c>
      <c r="M123" s="180"/>
      <c r="N123" s="181"/>
    </row>
    <row r="124" spans="1:14" x14ac:dyDescent="0.35">
      <c r="B124" s="118" t="s">
        <v>363</v>
      </c>
      <c r="C124" s="118" t="s">
        <v>363</v>
      </c>
      <c r="D124" s="118" t="s">
        <v>363</v>
      </c>
      <c r="E124" s="118" t="s">
        <v>363</v>
      </c>
      <c r="F124" s="118" t="s">
        <v>411</v>
      </c>
      <c r="G124" s="118" t="s">
        <v>363</v>
      </c>
      <c r="H124" s="118" t="s">
        <v>363</v>
      </c>
      <c r="J124" s="154"/>
      <c r="K124" s="180"/>
      <c r="L124" s="133" t="s">
        <v>838</v>
      </c>
      <c r="M124" s="180"/>
      <c r="N124" s="181"/>
    </row>
    <row r="125" spans="1:14" x14ac:dyDescent="0.35">
      <c r="A125" t="s">
        <v>552</v>
      </c>
      <c r="B125">
        <v>-1E-3</v>
      </c>
      <c r="C125">
        <v>-8.9999999999999998E-4</v>
      </c>
      <c r="D125">
        <v>-1.1000000000000001E-3</v>
      </c>
      <c r="E125">
        <v>-8.0000000000000004E-4</v>
      </c>
      <c r="F125">
        <v>1.5E-3</v>
      </c>
      <c r="G125">
        <v>-1E-4</v>
      </c>
      <c r="H125">
        <v>-2.0000000000000001E-4</v>
      </c>
      <c r="J125" s="154" t="s">
        <v>937</v>
      </c>
      <c r="K125" s="180"/>
      <c r="L125" s="133" t="s">
        <v>930</v>
      </c>
      <c r="M125" s="180"/>
      <c r="N125" s="181"/>
    </row>
    <row r="126" spans="1:14" x14ac:dyDescent="0.35">
      <c r="B126" s="118" t="s">
        <v>362</v>
      </c>
      <c r="C126" s="118" t="s">
        <v>362</v>
      </c>
      <c r="D126" s="118" t="s">
        <v>362</v>
      </c>
      <c r="E126" s="118" t="s">
        <v>362</v>
      </c>
      <c r="F126" s="118" t="s">
        <v>534</v>
      </c>
      <c r="G126" s="118" t="s">
        <v>362</v>
      </c>
      <c r="H126" s="118" t="s">
        <v>362</v>
      </c>
      <c r="J126" s="154"/>
      <c r="K126" s="180"/>
      <c r="L126" s="133" t="s">
        <v>838</v>
      </c>
      <c r="M126" s="180"/>
      <c r="N126" s="181"/>
    </row>
    <row r="127" spans="1:14" x14ac:dyDescent="0.35">
      <c r="A127" t="s">
        <v>553</v>
      </c>
      <c r="B127" t="s">
        <v>554</v>
      </c>
      <c r="C127" t="s">
        <v>555</v>
      </c>
      <c r="D127" t="s">
        <v>556</v>
      </c>
      <c r="E127" t="s">
        <v>557</v>
      </c>
      <c r="F127" t="s">
        <v>543</v>
      </c>
      <c r="G127" t="s">
        <v>558</v>
      </c>
      <c r="H127" t="s">
        <v>551</v>
      </c>
      <c r="J127" s="154" t="s">
        <v>938</v>
      </c>
      <c r="K127" s="180"/>
      <c r="L127" s="133" t="s">
        <v>939</v>
      </c>
      <c r="M127" s="180"/>
      <c r="N127" s="181"/>
    </row>
    <row r="128" spans="1:14" x14ac:dyDescent="0.35">
      <c r="B128" s="118" t="s">
        <v>363</v>
      </c>
      <c r="C128" s="118" t="s">
        <v>363</v>
      </c>
      <c r="D128" s="118" t="s">
        <v>363</v>
      </c>
      <c r="E128" s="118" t="s">
        <v>363</v>
      </c>
      <c r="F128" s="118" t="s">
        <v>534</v>
      </c>
      <c r="G128" s="118" t="s">
        <v>363</v>
      </c>
      <c r="H128" s="118" t="s">
        <v>363</v>
      </c>
      <c r="J128" s="154"/>
      <c r="K128" s="180"/>
      <c r="L128" s="133" t="s">
        <v>883</v>
      </c>
      <c r="M128" s="180"/>
      <c r="N128" s="181"/>
    </row>
    <row r="129" spans="1:14" x14ac:dyDescent="0.35">
      <c r="A129" t="s">
        <v>559</v>
      </c>
      <c r="B129" t="s">
        <v>560</v>
      </c>
      <c r="C129" t="s">
        <v>561</v>
      </c>
      <c r="D129" t="s">
        <v>562</v>
      </c>
      <c r="E129" t="s">
        <v>561</v>
      </c>
      <c r="F129" t="s">
        <v>325</v>
      </c>
      <c r="G129" t="s">
        <v>314</v>
      </c>
      <c r="H129" t="s">
        <v>561</v>
      </c>
      <c r="J129" s="154" t="s">
        <v>940</v>
      </c>
      <c r="K129" s="180"/>
      <c r="L129" s="133" t="s">
        <v>941</v>
      </c>
      <c r="M129" s="180"/>
      <c r="N129" s="181"/>
    </row>
    <row r="130" spans="1:14" ht="15" thickBot="1" x14ac:dyDescent="0.4">
      <c r="B130" s="118" t="s">
        <v>534</v>
      </c>
      <c r="C130" s="118" t="s">
        <v>534</v>
      </c>
      <c r="D130" s="118" t="s">
        <v>534</v>
      </c>
      <c r="E130" s="118" t="s">
        <v>534</v>
      </c>
      <c r="F130" s="118" t="s">
        <v>411</v>
      </c>
      <c r="G130" s="118" t="s">
        <v>534</v>
      </c>
      <c r="H130" s="118" t="s">
        <v>534</v>
      </c>
      <c r="J130" s="156"/>
      <c r="K130" s="182"/>
      <c r="L130" s="134" t="s">
        <v>913</v>
      </c>
      <c r="M130" s="182"/>
      <c r="N130" s="183"/>
    </row>
    <row r="131" spans="1:14" ht="21" x14ac:dyDescent="0.35">
      <c r="A131" t="s">
        <v>563</v>
      </c>
      <c r="B131" t="s">
        <v>564</v>
      </c>
      <c r="C131" t="s">
        <v>565</v>
      </c>
      <c r="D131" t="s">
        <v>385</v>
      </c>
      <c r="E131" t="s">
        <v>566</v>
      </c>
      <c r="F131" t="s">
        <v>567</v>
      </c>
      <c r="G131" t="s">
        <v>565</v>
      </c>
      <c r="H131" t="s">
        <v>380</v>
      </c>
      <c r="J131" s="142" t="s">
        <v>942</v>
      </c>
      <c r="K131" s="184"/>
      <c r="L131" s="186"/>
      <c r="M131" s="184"/>
      <c r="N131" s="188"/>
    </row>
    <row r="132" spans="1:14" ht="32" thickBot="1" x14ac:dyDescent="0.4">
      <c r="B132" s="118" t="s">
        <v>363</v>
      </c>
      <c r="C132" s="118" t="s">
        <v>363</v>
      </c>
      <c r="D132" s="118" t="s">
        <v>363</v>
      </c>
      <c r="E132" s="118" t="s">
        <v>363</v>
      </c>
      <c r="F132" s="118" t="s">
        <v>411</v>
      </c>
      <c r="G132" s="118" t="s">
        <v>363</v>
      </c>
      <c r="H132" s="118" t="s">
        <v>363</v>
      </c>
      <c r="J132" s="143" t="s">
        <v>943</v>
      </c>
      <c r="K132" s="185"/>
      <c r="L132" s="187"/>
      <c r="M132" s="185"/>
      <c r="N132" s="189"/>
    </row>
    <row r="133" spans="1:14" ht="17" customHeight="1" x14ac:dyDescent="0.35">
      <c r="A133" t="s">
        <v>568</v>
      </c>
      <c r="B133" t="s">
        <v>532</v>
      </c>
      <c r="C133" t="s">
        <v>569</v>
      </c>
      <c r="D133" t="s">
        <v>570</v>
      </c>
      <c r="E133" t="s">
        <v>532</v>
      </c>
      <c r="F133" t="s">
        <v>571</v>
      </c>
      <c r="G133" t="s">
        <v>443</v>
      </c>
      <c r="H133" t="s">
        <v>443</v>
      </c>
      <c r="J133" s="155" t="s">
        <v>944</v>
      </c>
      <c r="K133" s="168"/>
      <c r="L133" s="164"/>
      <c r="M133" s="130" t="s">
        <v>945</v>
      </c>
      <c r="N133" s="172"/>
    </row>
    <row r="134" spans="1:14" x14ac:dyDescent="0.35">
      <c r="B134" s="118" t="s">
        <v>534</v>
      </c>
      <c r="C134" s="118" t="s">
        <v>534</v>
      </c>
      <c r="D134" s="118" t="s">
        <v>534</v>
      </c>
      <c r="E134" s="118" t="s">
        <v>534</v>
      </c>
      <c r="F134" s="118" t="s">
        <v>405</v>
      </c>
      <c r="G134" s="118" t="s">
        <v>534</v>
      </c>
      <c r="H134" s="118" t="s">
        <v>534</v>
      </c>
      <c r="J134" s="154"/>
      <c r="K134" s="180"/>
      <c r="L134" s="161"/>
      <c r="M134" s="130" t="s">
        <v>838</v>
      </c>
      <c r="N134" s="181"/>
    </row>
    <row r="135" spans="1:14" ht="17" customHeight="1" x14ac:dyDescent="0.35">
      <c r="A135" t="s">
        <v>572</v>
      </c>
      <c r="B135" t="s">
        <v>573</v>
      </c>
      <c r="C135" t="s">
        <v>574</v>
      </c>
      <c r="D135" t="s">
        <v>575</v>
      </c>
      <c r="E135" t="s">
        <v>442</v>
      </c>
      <c r="F135" t="s">
        <v>576</v>
      </c>
      <c r="G135" t="s">
        <v>574</v>
      </c>
      <c r="H135" t="s">
        <v>574</v>
      </c>
      <c r="J135" s="154" t="s">
        <v>946</v>
      </c>
      <c r="K135" s="180"/>
      <c r="L135" s="161"/>
      <c r="M135" s="130" t="s">
        <v>947</v>
      </c>
      <c r="N135" s="181"/>
    </row>
    <row r="136" spans="1:14" x14ac:dyDescent="0.35">
      <c r="B136" s="118" t="s">
        <v>534</v>
      </c>
      <c r="C136" s="118" t="s">
        <v>534</v>
      </c>
      <c r="D136" s="118" t="s">
        <v>534</v>
      </c>
      <c r="E136" s="118" t="s">
        <v>534</v>
      </c>
      <c r="F136" s="118" t="s">
        <v>405</v>
      </c>
      <c r="G136" s="118" t="s">
        <v>534</v>
      </c>
      <c r="H136" s="118" t="s">
        <v>534</v>
      </c>
      <c r="J136" s="154"/>
      <c r="K136" s="180"/>
      <c r="L136" s="161"/>
      <c r="M136" s="130" t="s">
        <v>838</v>
      </c>
      <c r="N136" s="181"/>
    </row>
    <row r="137" spans="1:14" ht="17" customHeight="1" x14ac:dyDescent="0.35">
      <c r="A137" t="s">
        <v>577</v>
      </c>
      <c r="B137" t="s">
        <v>406</v>
      </c>
      <c r="C137" t="s">
        <v>578</v>
      </c>
      <c r="D137" t="s">
        <v>406</v>
      </c>
      <c r="E137" t="s">
        <v>406</v>
      </c>
      <c r="F137" t="s">
        <v>579</v>
      </c>
      <c r="G137" t="s">
        <v>580</v>
      </c>
      <c r="H137" t="s">
        <v>581</v>
      </c>
      <c r="J137" s="154" t="s">
        <v>948</v>
      </c>
      <c r="K137" s="180"/>
      <c r="L137" s="161"/>
      <c r="M137" s="130" t="s">
        <v>949</v>
      </c>
      <c r="N137" s="181"/>
    </row>
    <row r="138" spans="1:14" x14ac:dyDescent="0.35">
      <c r="B138" s="118" t="s">
        <v>534</v>
      </c>
      <c r="C138" s="118" t="s">
        <v>534</v>
      </c>
      <c r="D138" s="118" t="s">
        <v>534</v>
      </c>
      <c r="E138" s="118" t="s">
        <v>534</v>
      </c>
      <c r="F138" s="118" t="s">
        <v>411</v>
      </c>
      <c r="G138" s="118" t="s">
        <v>534</v>
      </c>
      <c r="H138" s="118" t="s">
        <v>534</v>
      </c>
      <c r="J138" s="154"/>
      <c r="K138" s="180"/>
      <c r="L138" s="161"/>
      <c r="M138" s="130" t="s">
        <v>838</v>
      </c>
      <c r="N138" s="181"/>
    </row>
    <row r="139" spans="1:14" ht="17" customHeight="1" x14ac:dyDescent="0.35">
      <c r="A139" t="s">
        <v>582</v>
      </c>
      <c r="B139" t="s">
        <v>583</v>
      </c>
      <c r="C139" t="s">
        <v>378</v>
      </c>
      <c r="D139" t="s">
        <v>583</v>
      </c>
      <c r="E139" t="s">
        <v>584</v>
      </c>
      <c r="F139" t="s">
        <v>565</v>
      </c>
      <c r="G139" t="s">
        <v>546</v>
      </c>
      <c r="H139" t="s">
        <v>546</v>
      </c>
      <c r="J139" s="154" t="s">
        <v>950</v>
      </c>
      <c r="K139" s="180"/>
      <c r="L139" s="161"/>
      <c r="M139" s="130" t="s">
        <v>951</v>
      </c>
      <c r="N139" s="181"/>
    </row>
    <row r="140" spans="1:14" x14ac:dyDescent="0.35">
      <c r="B140" s="118" t="s">
        <v>534</v>
      </c>
      <c r="C140" s="118" t="s">
        <v>534</v>
      </c>
      <c r="D140" s="118" t="s">
        <v>534</v>
      </c>
      <c r="E140" s="118" t="s">
        <v>534</v>
      </c>
      <c r="F140" s="118" t="s">
        <v>405</v>
      </c>
      <c r="G140" s="118" t="s">
        <v>534</v>
      </c>
      <c r="H140" s="118" t="s">
        <v>534</v>
      </c>
      <c r="J140" s="154"/>
      <c r="K140" s="180"/>
      <c r="L140" s="161"/>
      <c r="M140" s="130" t="s">
        <v>838</v>
      </c>
      <c r="N140" s="181"/>
    </row>
    <row r="141" spans="1:14" ht="17" customHeight="1" x14ac:dyDescent="0.35">
      <c r="A141" t="s">
        <v>585</v>
      </c>
      <c r="B141" t="s">
        <v>570</v>
      </c>
      <c r="C141" t="s">
        <v>586</v>
      </c>
      <c r="D141" t="s">
        <v>549</v>
      </c>
      <c r="E141" t="s">
        <v>587</v>
      </c>
      <c r="F141" t="s">
        <v>588</v>
      </c>
      <c r="G141" t="s">
        <v>589</v>
      </c>
      <c r="H141" t="s">
        <v>590</v>
      </c>
      <c r="J141" s="154" t="s">
        <v>952</v>
      </c>
      <c r="K141" s="180"/>
      <c r="L141" s="161"/>
      <c r="M141" s="130" t="s">
        <v>953</v>
      </c>
      <c r="N141" s="181"/>
    </row>
    <row r="142" spans="1:14" x14ac:dyDescent="0.35">
      <c r="B142" s="118" t="s">
        <v>363</v>
      </c>
      <c r="C142" s="118" t="s">
        <v>363</v>
      </c>
      <c r="D142" s="118" t="s">
        <v>363</v>
      </c>
      <c r="E142" s="118" t="s">
        <v>363</v>
      </c>
      <c r="F142" s="118" t="s">
        <v>411</v>
      </c>
      <c r="G142" s="118" t="s">
        <v>363</v>
      </c>
      <c r="H142" s="118" t="s">
        <v>363</v>
      </c>
      <c r="J142" s="154"/>
      <c r="K142" s="180"/>
      <c r="L142" s="161"/>
      <c r="M142" s="130" t="s">
        <v>838</v>
      </c>
      <c r="N142" s="181"/>
    </row>
    <row r="143" spans="1:14" ht="16.5" customHeight="1" x14ac:dyDescent="0.35">
      <c r="A143" t="s">
        <v>591</v>
      </c>
      <c r="B143" t="s">
        <v>592</v>
      </c>
      <c r="C143" t="s">
        <v>593</v>
      </c>
      <c r="D143" t="s">
        <v>576</v>
      </c>
      <c r="E143" t="s">
        <v>576</v>
      </c>
      <c r="F143" t="s">
        <v>594</v>
      </c>
      <c r="G143" t="s">
        <v>595</v>
      </c>
      <c r="H143" t="s">
        <v>596</v>
      </c>
      <c r="J143" s="154" t="s">
        <v>954</v>
      </c>
      <c r="K143" s="180"/>
      <c r="L143" s="161"/>
      <c r="M143" s="130" t="s">
        <v>955</v>
      </c>
      <c r="N143" s="181"/>
    </row>
    <row r="144" spans="1:14" ht="15" thickBot="1" x14ac:dyDescent="0.4">
      <c r="B144" s="118" t="s">
        <v>534</v>
      </c>
      <c r="C144" s="118" t="s">
        <v>534</v>
      </c>
      <c r="D144" s="118" t="s">
        <v>534</v>
      </c>
      <c r="E144" s="118" t="s">
        <v>534</v>
      </c>
      <c r="F144" s="118" t="s">
        <v>405</v>
      </c>
      <c r="G144" s="118" t="s">
        <v>534</v>
      </c>
      <c r="H144" s="118" t="s">
        <v>534</v>
      </c>
      <c r="J144" s="156"/>
      <c r="K144" s="182"/>
      <c r="L144" s="162"/>
      <c r="M144" s="131" t="s">
        <v>883</v>
      </c>
      <c r="N144" s="183"/>
    </row>
    <row r="145" spans="1:14" x14ac:dyDescent="0.35">
      <c r="A145" t="s">
        <v>597</v>
      </c>
      <c r="B145" t="s">
        <v>598</v>
      </c>
      <c r="C145" t="s">
        <v>598</v>
      </c>
      <c r="D145" t="s">
        <v>323</v>
      </c>
      <c r="E145" t="s">
        <v>449</v>
      </c>
      <c r="F145" t="s">
        <v>599</v>
      </c>
      <c r="G145" t="s">
        <v>575</v>
      </c>
      <c r="H145" t="s">
        <v>323</v>
      </c>
      <c r="J145" s="155" t="s">
        <v>956</v>
      </c>
      <c r="K145" s="168"/>
      <c r="L145" s="164"/>
      <c r="M145" s="130" t="s">
        <v>957</v>
      </c>
      <c r="N145" s="172"/>
    </row>
    <row r="146" spans="1:14" x14ac:dyDescent="0.35">
      <c r="B146" s="118" t="s">
        <v>534</v>
      </c>
      <c r="C146" s="118" t="s">
        <v>534</v>
      </c>
      <c r="D146" s="118" t="s">
        <v>534</v>
      </c>
      <c r="E146" s="118" t="s">
        <v>534</v>
      </c>
      <c r="F146" s="118" t="s">
        <v>411</v>
      </c>
      <c r="G146" s="118" t="s">
        <v>534</v>
      </c>
      <c r="H146" s="118" t="s">
        <v>534</v>
      </c>
      <c r="J146" s="154"/>
      <c r="K146" s="180"/>
      <c r="L146" s="161"/>
      <c r="M146" s="130" t="s">
        <v>883</v>
      </c>
      <c r="N146" s="181"/>
    </row>
    <row r="147" spans="1:14" x14ac:dyDescent="0.35">
      <c r="A147" t="s">
        <v>600</v>
      </c>
      <c r="B147" t="s">
        <v>555</v>
      </c>
      <c r="C147" t="s">
        <v>554</v>
      </c>
      <c r="D147" t="s">
        <v>601</v>
      </c>
      <c r="E147" t="s">
        <v>602</v>
      </c>
      <c r="F147" t="s">
        <v>566</v>
      </c>
      <c r="G147" t="s">
        <v>556</v>
      </c>
      <c r="H147" t="s">
        <v>551</v>
      </c>
      <c r="J147" s="154" t="s">
        <v>958</v>
      </c>
      <c r="K147" s="180"/>
      <c r="L147" s="161"/>
      <c r="M147" s="130" t="s">
        <v>959</v>
      </c>
      <c r="N147" s="181"/>
    </row>
    <row r="148" spans="1:14" x14ac:dyDescent="0.35">
      <c r="B148" s="118" t="s">
        <v>363</v>
      </c>
      <c r="C148" s="118" t="s">
        <v>363</v>
      </c>
      <c r="D148" s="118" t="s">
        <v>363</v>
      </c>
      <c r="E148" s="118" t="s">
        <v>363</v>
      </c>
      <c r="F148" s="118" t="s">
        <v>411</v>
      </c>
      <c r="G148" s="118" t="s">
        <v>363</v>
      </c>
      <c r="H148" s="118" t="s">
        <v>363</v>
      </c>
      <c r="J148" s="154"/>
      <c r="K148" s="180"/>
      <c r="L148" s="161"/>
      <c r="M148" s="130" t="s">
        <v>883</v>
      </c>
      <c r="N148" s="181"/>
    </row>
    <row r="149" spans="1:14" x14ac:dyDescent="0.35">
      <c r="A149" t="s">
        <v>603</v>
      </c>
      <c r="B149" t="s">
        <v>604</v>
      </c>
      <c r="C149" t="s">
        <v>605</v>
      </c>
      <c r="D149" t="s">
        <v>375</v>
      </c>
      <c r="E149" t="s">
        <v>606</v>
      </c>
      <c r="F149" t="s">
        <v>607</v>
      </c>
      <c r="G149" t="s">
        <v>608</v>
      </c>
      <c r="H149" t="s">
        <v>609</v>
      </c>
      <c r="J149" s="154" t="s">
        <v>960</v>
      </c>
      <c r="K149" s="180"/>
      <c r="L149" s="161"/>
      <c r="M149" s="130" t="s">
        <v>961</v>
      </c>
      <c r="N149" s="181"/>
    </row>
    <row r="150" spans="1:14" x14ac:dyDescent="0.35">
      <c r="B150" s="118" t="s">
        <v>363</v>
      </c>
      <c r="C150" s="118" t="s">
        <v>363</v>
      </c>
      <c r="D150" s="118" t="s">
        <v>363</v>
      </c>
      <c r="E150" s="118" t="s">
        <v>363</v>
      </c>
      <c r="F150" s="118" t="s">
        <v>411</v>
      </c>
      <c r="G150" s="118" t="s">
        <v>363</v>
      </c>
      <c r="H150" s="118" t="s">
        <v>363</v>
      </c>
      <c r="J150" s="154"/>
      <c r="K150" s="180"/>
      <c r="L150" s="161"/>
      <c r="M150" s="130" t="s">
        <v>883</v>
      </c>
      <c r="N150" s="181"/>
    </row>
    <row r="151" spans="1:14" x14ac:dyDescent="0.35">
      <c r="A151" t="s">
        <v>610</v>
      </c>
      <c r="B151" t="s">
        <v>611</v>
      </c>
      <c r="C151" t="s">
        <v>612</v>
      </c>
      <c r="D151" t="s">
        <v>613</v>
      </c>
      <c r="E151" t="s">
        <v>614</v>
      </c>
      <c r="F151" t="s">
        <v>615</v>
      </c>
      <c r="G151" t="s">
        <v>334</v>
      </c>
      <c r="H151" t="s">
        <v>616</v>
      </c>
      <c r="J151" s="154" t="s">
        <v>962</v>
      </c>
      <c r="K151" s="180"/>
      <c r="L151" s="161"/>
      <c r="M151" s="130" t="s">
        <v>963</v>
      </c>
      <c r="N151" s="181"/>
    </row>
    <row r="152" spans="1:14" x14ac:dyDescent="0.35">
      <c r="B152" s="118" t="s">
        <v>363</v>
      </c>
      <c r="C152" s="118" t="s">
        <v>363</v>
      </c>
      <c r="D152" s="118" t="s">
        <v>363</v>
      </c>
      <c r="E152" s="118" t="s">
        <v>363</v>
      </c>
      <c r="F152" s="118" t="s">
        <v>411</v>
      </c>
      <c r="G152" s="118" t="s">
        <v>363</v>
      </c>
      <c r="H152" s="118" t="s">
        <v>363</v>
      </c>
      <c r="J152" s="154"/>
      <c r="K152" s="180"/>
      <c r="L152" s="161"/>
      <c r="M152" s="130" t="s">
        <v>883</v>
      </c>
      <c r="N152" s="181"/>
    </row>
    <row r="153" spans="1:14" x14ac:dyDescent="0.35">
      <c r="A153" t="s">
        <v>617</v>
      </c>
      <c r="B153" t="s">
        <v>618</v>
      </c>
      <c r="C153" t="s">
        <v>619</v>
      </c>
      <c r="D153" t="s">
        <v>620</v>
      </c>
      <c r="E153" t="s">
        <v>278</v>
      </c>
      <c r="F153">
        <v>-8.9999999999999998E-4</v>
      </c>
      <c r="G153" t="s">
        <v>621</v>
      </c>
      <c r="H153" t="s">
        <v>622</v>
      </c>
      <c r="J153" s="154" t="s">
        <v>964</v>
      </c>
      <c r="K153" s="180"/>
      <c r="L153" s="161"/>
      <c r="M153" s="130" t="s">
        <v>965</v>
      </c>
      <c r="N153" s="181"/>
    </row>
    <row r="154" spans="1:14" x14ac:dyDescent="0.35">
      <c r="B154" s="118" t="s">
        <v>534</v>
      </c>
      <c r="C154" s="118" t="s">
        <v>534</v>
      </c>
      <c r="D154" s="118" t="s">
        <v>534</v>
      </c>
      <c r="E154" s="118" t="s">
        <v>534</v>
      </c>
      <c r="F154" s="118" t="s">
        <v>405</v>
      </c>
      <c r="G154" s="118" t="s">
        <v>534</v>
      </c>
      <c r="H154" s="118" t="s">
        <v>534</v>
      </c>
      <c r="J154" s="154"/>
      <c r="K154" s="180"/>
      <c r="L154" s="161"/>
      <c r="M154" s="130" t="s">
        <v>883</v>
      </c>
      <c r="N154" s="181"/>
    </row>
    <row r="155" spans="1:14" x14ac:dyDescent="0.35">
      <c r="A155" t="s">
        <v>623</v>
      </c>
      <c r="B155" t="s">
        <v>332</v>
      </c>
      <c r="C155" t="s">
        <v>624</v>
      </c>
      <c r="D155" t="s">
        <v>625</v>
      </c>
      <c r="E155" t="s">
        <v>625</v>
      </c>
      <c r="F155" t="s">
        <v>624</v>
      </c>
      <c r="G155" t="s">
        <v>376</v>
      </c>
      <c r="H155" t="s">
        <v>626</v>
      </c>
      <c r="J155" s="154" t="s">
        <v>966</v>
      </c>
      <c r="K155" s="180"/>
      <c r="L155" s="161"/>
      <c r="M155" s="130" t="s">
        <v>967</v>
      </c>
      <c r="N155" s="181"/>
    </row>
    <row r="156" spans="1:14" ht="15" thickBot="1" x14ac:dyDescent="0.4">
      <c r="B156" s="118" t="s">
        <v>534</v>
      </c>
      <c r="C156" s="118" t="s">
        <v>534</v>
      </c>
      <c r="D156" s="118" t="s">
        <v>534</v>
      </c>
      <c r="E156" s="118" t="s">
        <v>534</v>
      </c>
      <c r="F156" s="118" t="s">
        <v>405</v>
      </c>
      <c r="G156" s="118" t="s">
        <v>534</v>
      </c>
      <c r="H156" s="118" t="s">
        <v>534</v>
      </c>
      <c r="J156" s="156"/>
      <c r="K156" s="182"/>
      <c r="L156" s="162"/>
      <c r="M156" s="131" t="s">
        <v>883</v>
      </c>
      <c r="N156" s="183"/>
    </row>
    <row r="157" spans="1:14" x14ac:dyDescent="0.35">
      <c r="A157" t="s">
        <v>627</v>
      </c>
      <c r="B157" t="s">
        <v>307</v>
      </c>
      <c r="C157" t="s">
        <v>561</v>
      </c>
      <c r="D157" t="s">
        <v>560</v>
      </c>
      <c r="E157" t="s">
        <v>628</v>
      </c>
      <c r="F157" t="s">
        <v>629</v>
      </c>
      <c r="G157" t="s">
        <v>560</v>
      </c>
      <c r="H157" t="s">
        <v>630</v>
      </c>
      <c r="J157" s="155" t="s">
        <v>968</v>
      </c>
      <c r="K157" s="168"/>
      <c r="L157" s="164"/>
      <c r="M157" s="130" t="s">
        <v>969</v>
      </c>
      <c r="N157" s="172"/>
    </row>
    <row r="158" spans="1:14" x14ac:dyDescent="0.35">
      <c r="B158" s="118" t="s">
        <v>534</v>
      </c>
      <c r="C158" s="118" t="s">
        <v>534</v>
      </c>
      <c r="D158" s="118" t="s">
        <v>534</v>
      </c>
      <c r="E158" s="118" t="s">
        <v>534</v>
      </c>
      <c r="F158" s="118" t="s">
        <v>411</v>
      </c>
      <c r="G158" s="118" t="s">
        <v>534</v>
      </c>
      <c r="H158" s="118" t="s">
        <v>534</v>
      </c>
      <c r="J158" s="154"/>
      <c r="K158" s="180"/>
      <c r="L158" s="161"/>
      <c r="M158" s="130" t="s">
        <v>838</v>
      </c>
      <c r="N158" s="181"/>
    </row>
    <row r="159" spans="1:14" x14ac:dyDescent="0.35">
      <c r="A159" t="s">
        <v>631</v>
      </c>
      <c r="B159" t="s">
        <v>560</v>
      </c>
      <c r="C159" t="s">
        <v>314</v>
      </c>
      <c r="D159" t="s">
        <v>306</v>
      </c>
      <c r="E159" t="s">
        <v>307</v>
      </c>
      <c r="F159" t="s">
        <v>566</v>
      </c>
      <c r="G159" t="s">
        <v>549</v>
      </c>
      <c r="H159" t="s">
        <v>632</v>
      </c>
      <c r="J159" s="154" t="s">
        <v>970</v>
      </c>
      <c r="K159" s="180"/>
      <c r="L159" s="161"/>
      <c r="M159" s="130" t="s">
        <v>971</v>
      </c>
      <c r="N159" s="181"/>
    </row>
    <row r="160" spans="1:14" x14ac:dyDescent="0.35">
      <c r="B160" s="118" t="s">
        <v>534</v>
      </c>
      <c r="C160" s="118" t="s">
        <v>534</v>
      </c>
      <c r="D160" s="118" t="s">
        <v>534</v>
      </c>
      <c r="E160" s="118" t="s">
        <v>534</v>
      </c>
      <c r="F160" s="118" t="s">
        <v>411</v>
      </c>
      <c r="G160" s="118" t="s">
        <v>534</v>
      </c>
      <c r="H160" s="118" t="s">
        <v>534</v>
      </c>
      <c r="J160" s="154"/>
      <c r="K160" s="180"/>
      <c r="L160" s="161"/>
      <c r="M160" s="130" t="s">
        <v>883</v>
      </c>
      <c r="N160" s="181"/>
    </row>
    <row r="161" spans="1:14" x14ac:dyDescent="0.35">
      <c r="A161" t="s">
        <v>633</v>
      </c>
      <c r="B161" t="s">
        <v>634</v>
      </c>
      <c r="C161" t="s">
        <v>306</v>
      </c>
      <c r="D161" t="s">
        <v>635</v>
      </c>
      <c r="E161" t="s">
        <v>636</v>
      </c>
      <c r="F161" t="s">
        <v>637</v>
      </c>
      <c r="G161" t="s">
        <v>561</v>
      </c>
      <c r="H161" t="s">
        <v>315</v>
      </c>
      <c r="J161" s="154" t="s">
        <v>972</v>
      </c>
      <c r="K161" s="180"/>
      <c r="L161" s="161"/>
      <c r="M161" s="130" t="s">
        <v>973</v>
      </c>
      <c r="N161" s="181"/>
    </row>
    <row r="162" spans="1:14" x14ac:dyDescent="0.35">
      <c r="B162" s="118" t="s">
        <v>534</v>
      </c>
      <c r="C162" s="118" t="s">
        <v>534</v>
      </c>
      <c r="D162" s="118" t="s">
        <v>534</v>
      </c>
      <c r="E162" s="118" t="s">
        <v>534</v>
      </c>
      <c r="F162" s="118" t="s">
        <v>405</v>
      </c>
      <c r="G162" s="118" t="s">
        <v>534</v>
      </c>
      <c r="H162" s="118" t="s">
        <v>534</v>
      </c>
      <c r="J162" s="154"/>
      <c r="K162" s="180"/>
      <c r="L162" s="161"/>
      <c r="M162" s="130" t="s">
        <v>883</v>
      </c>
      <c r="N162" s="181"/>
    </row>
    <row r="163" spans="1:14" x14ac:dyDescent="0.35">
      <c r="A163" t="s">
        <v>638</v>
      </c>
      <c r="B163" t="s">
        <v>409</v>
      </c>
      <c r="C163" t="s">
        <v>639</v>
      </c>
      <c r="D163" t="s">
        <v>640</v>
      </c>
      <c r="E163" t="s">
        <v>641</v>
      </c>
      <c r="F163" t="s">
        <v>445</v>
      </c>
      <c r="G163" t="s">
        <v>642</v>
      </c>
      <c r="H163" t="s">
        <v>639</v>
      </c>
      <c r="J163" s="154" t="s">
        <v>974</v>
      </c>
      <c r="K163" s="180"/>
      <c r="L163" s="161"/>
      <c r="M163" s="130" t="s">
        <v>947</v>
      </c>
      <c r="N163" s="181"/>
    </row>
    <row r="164" spans="1:14" x14ac:dyDescent="0.35">
      <c r="B164" s="118" t="s">
        <v>363</v>
      </c>
      <c r="C164" s="118" t="s">
        <v>363</v>
      </c>
      <c r="D164" s="118" t="s">
        <v>363</v>
      </c>
      <c r="E164" s="118" t="s">
        <v>363</v>
      </c>
      <c r="F164" s="118" t="s">
        <v>411</v>
      </c>
      <c r="G164" s="118" t="s">
        <v>363</v>
      </c>
      <c r="H164" s="118" t="s">
        <v>363</v>
      </c>
      <c r="J164" s="154"/>
      <c r="K164" s="180"/>
      <c r="L164" s="161"/>
      <c r="M164" s="130" t="s">
        <v>883</v>
      </c>
      <c r="N164" s="181"/>
    </row>
    <row r="165" spans="1:14" x14ac:dyDescent="0.35">
      <c r="A165" t="s">
        <v>643</v>
      </c>
      <c r="B165">
        <v>5.9999999999999995E-4</v>
      </c>
      <c r="C165">
        <v>8.0000000000000004E-4</v>
      </c>
      <c r="D165">
        <v>2.9999999999999997E-4</v>
      </c>
      <c r="E165">
        <v>2.9999999999999997E-4</v>
      </c>
      <c r="F165" t="s">
        <v>567</v>
      </c>
      <c r="G165">
        <v>1.1000000000000001E-3</v>
      </c>
      <c r="H165">
        <v>1.2999999999999999E-3</v>
      </c>
      <c r="J165" s="154" t="s">
        <v>975</v>
      </c>
      <c r="K165" s="180"/>
      <c r="L165" s="161"/>
      <c r="M165" s="130" t="s">
        <v>976</v>
      </c>
      <c r="N165" s="181"/>
    </row>
    <row r="166" spans="1:14" x14ac:dyDescent="0.35">
      <c r="B166" s="118" t="s">
        <v>534</v>
      </c>
      <c r="C166" s="118" t="s">
        <v>534</v>
      </c>
      <c r="D166" s="118" t="s">
        <v>534</v>
      </c>
      <c r="E166" s="118" t="s">
        <v>534</v>
      </c>
      <c r="F166" s="118" t="s">
        <v>411</v>
      </c>
      <c r="G166" s="118" t="s">
        <v>534</v>
      </c>
      <c r="H166" s="118" t="s">
        <v>534</v>
      </c>
      <c r="J166" s="154"/>
      <c r="K166" s="180"/>
      <c r="L166" s="161"/>
      <c r="M166" s="130" t="s">
        <v>883</v>
      </c>
      <c r="N166" s="181"/>
    </row>
    <row r="167" spans="1:14" x14ac:dyDescent="0.35">
      <c r="A167" t="s">
        <v>644</v>
      </c>
      <c r="B167" t="s">
        <v>645</v>
      </c>
      <c r="C167" t="s">
        <v>646</v>
      </c>
      <c r="D167" t="s">
        <v>647</v>
      </c>
      <c r="E167" t="s">
        <v>645</v>
      </c>
      <c r="F167" t="s">
        <v>648</v>
      </c>
      <c r="G167" t="s">
        <v>646</v>
      </c>
      <c r="H167" t="s">
        <v>325</v>
      </c>
      <c r="J167" s="154" t="s">
        <v>977</v>
      </c>
      <c r="K167" s="180"/>
      <c r="L167" s="161"/>
      <c r="M167" s="130" t="s">
        <v>978</v>
      </c>
      <c r="N167" s="181"/>
    </row>
    <row r="168" spans="1:14" ht="15" thickBot="1" x14ac:dyDescent="0.4">
      <c r="B168" s="118" t="s">
        <v>534</v>
      </c>
      <c r="C168" s="118" t="s">
        <v>534</v>
      </c>
      <c r="D168" s="118" t="s">
        <v>534</v>
      </c>
      <c r="E168" s="118" t="s">
        <v>534</v>
      </c>
      <c r="F168" s="118" t="s">
        <v>405</v>
      </c>
      <c r="G168" s="118" t="s">
        <v>534</v>
      </c>
      <c r="H168" s="118" t="s">
        <v>534</v>
      </c>
      <c r="J168" s="156"/>
      <c r="K168" s="182"/>
      <c r="L168" s="162"/>
      <c r="M168" s="130" t="s">
        <v>883</v>
      </c>
      <c r="N168" s="183"/>
    </row>
    <row r="169" spans="1:14" ht="21" x14ac:dyDescent="0.35">
      <c r="A169" t="s">
        <v>649</v>
      </c>
      <c r="B169" t="s">
        <v>650</v>
      </c>
      <c r="C169" t="s">
        <v>443</v>
      </c>
      <c r="D169" t="s">
        <v>651</v>
      </c>
      <c r="E169" t="s">
        <v>569</v>
      </c>
      <c r="F169" t="s">
        <v>440</v>
      </c>
      <c r="G169" t="s">
        <v>589</v>
      </c>
      <c r="H169" t="s">
        <v>590</v>
      </c>
      <c r="J169" s="144" t="s">
        <v>942</v>
      </c>
      <c r="K169" s="190"/>
      <c r="L169" s="190"/>
      <c r="M169" s="190"/>
      <c r="N169" s="192"/>
    </row>
    <row r="170" spans="1:14" ht="21.5" thickBot="1" x14ac:dyDescent="0.4">
      <c r="B170" s="118" t="s">
        <v>534</v>
      </c>
      <c r="C170" s="118" t="s">
        <v>534</v>
      </c>
      <c r="D170" s="118" t="s">
        <v>534</v>
      </c>
      <c r="E170" s="118" t="s">
        <v>534</v>
      </c>
      <c r="F170" s="118" t="s">
        <v>411</v>
      </c>
      <c r="G170" s="118" t="s">
        <v>534</v>
      </c>
      <c r="H170" s="118" t="s">
        <v>534</v>
      </c>
      <c r="J170" s="128" t="s">
        <v>979</v>
      </c>
      <c r="K170" s="191"/>
      <c r="L170" s="191"/>
      <c r="M170" s="191"/>
      <c r="N170" s="193"/>
    </row>
    <row r="171" spans="1:14" ht="17" customHeight="1" x14ac:dyDescent="0.35">
      <c r="A171" t="s">
        <v>652</v>
      </c>
      <c r="B171" t="s">
        <v>468</v>
      </c>
      <c r="C171" t="s">
        <v>653</v>
      </c>
      <c r="D171" t="s">
        <v>654</v>
      </c>
      <c r="E171" t="s">
        <v>655</v>
      </c>
      <c r="F171" t="s">
        <v>656</v>
      </c>
      <c r="G171" t="s">
        <v>657</v>
      </c>
      <c r="H171" t="s">
        <v>658</v>
      </c>
      <c r="J171" s="155" t="s">
        <v>980</v>
      </c>
      <c r="K171" s="159"/>
      <c r="L171" s="164"/>
      <c r="M171" s="130" t="s">
        <v>887</v>
      </c>
      <c r="N171" s="165"/>
    </row>
    <row r="172" spans="1:14" x14ac:dyDescent="0.35">
      <c r="B172" s="118" t="s">
        <v>659</v>
      </c>
      <c r="C172" s="118" t="s">
        <v>659</v>
      </c>
      <c r="D172" s="118" t="s">
        <v>659</v>
      </c>
      <c r="E172" s="118" t="s">
        <v>659</v>
      </c>
      <c r="F172" s="118" t="s">
        <v>363</v>
      </c>
      <c r="G172" s="118" t="s">
        <v>659</v>
      </c>
      <c r="H172" s="118" t="s">
        <v>659</v>
      </c>
      <c r="J172" s="154"/>
      <c r="K172" s="160"/>
      <c r="L172" s="161"/>
      <c r="M172" s="130" t="s">
        <v>838</v>
      </c>
      <c r="N172" s="166"/>
    </row>
    <row r="173" spans="1:14" ht="17" customHeight="1" x14ac:dyDescent="0.35">
      <c r="A173" t="s">
        <v>660</v>
      </c>
      <c r="B173">
        <v>-1.1999999999999999E-3</v>
      </c>
      <c r="C173">
        <v>-1.1000000000000001E-3</v>
      </c>
      <c r="D173" t="s">
        <v>661</v>
      </c>
      <c r="E173">
        <v>-1.2999999999999999E-3</v>
      </c>
      <c r="F173" t="s">
        <v>662</v>
      </c>
      <c r="G173">
        <v>-4.0000000000000002E-4</v>
      </c>
      <c r="H173">
        <v>-4.0000000000000002E-4</v>
      </c>
      <c r="J173" s="154" t="s">
        <v>981</v>
      </c>
      <c r="K173" s="160"/>
      <c r="L173" s="161"/>
      <c r="M173" s="130" t="s">
        <v>866</v>
      </c>
      <c r="N173" s="166"/>
    </row>
    <row r="174" spans="1:14" x14ac:dyDescent="0.35">
      <c r="B174" s="118" t="s">
        <v>363</v>
      </c>
      <c r="C174" s="118" t="s">
        <v>363</v>
      </c>
      <c r="D174" s="118" t="s">
        <v>363</v>
      </c>
      <c r="E174" s="118" t="s">
        <v>363</v>
      </c>
      <c r="F174" s="118" t="s">
        <v>411</v>
      </c>
      <c r="G174" s="118" t="s">
        <v>363</v>
      </c>
      <c r="H174" s="118" t="s">
        <v>363</v>
      </c>
      <c r="J174" s="154"/>
      <c r="K174" s="160"/>
      <c r="L174" s="161"/>
      <c r="M174" s="130" t="s">
        <v>838</v>
      </c>
      <c r="N174" s="166"/>
    </row>
    <row r="175" spans="1:14" x14ac:dyDescent="0.35">
      <c r="A175" t="s">
        <v>663</v>
      </c>
      <c r="B175" t="s">
        <v>558</v>
      </c>
      <c r="C175" t="s">
        <v>555</v>
      </c>
      <c r="D175" t="s">
        <v>558</v>
      </c>
      <c r="E175" t="s">
        <v>601</v>
      </c>
      <c r="F175" t="s">
        <v>565</v>
      </c>
      <c r="G175" t="s">
        <v>664</v>
      </c>
      <c r="H175" t="s">
        <v>576</v>
      </c>
      <c r="J175" s="154" t="s">
        <v>982</v>
      </c>
      <c r="K175" s="160"/>
      <c r="L175" s="161"/>
      <c r="M175" s="130" t="s">
        <v>983</v>
      </c>
      <c r="N175" s="166"/>
    </row>
    <row r="176" spans="1:14" x14ac:dyDescent="0.35">
      <c r="B176" s="118" t="s">
        <v>534</v>
      </c>
      <c r="C176" s="118" t="s">
        <v>534</v>
      </c>
      <c r="D176" s="118" t="s">
        <v>534</v>
      </c>
      <c r="E176" s="118" t="s">
        <v>534</v>
      </c>
      <c r="F176" s="118" t="s">
        <v>405</v>
      </c>
      <c r="G176" s="118" t="s">
        <v>534</v>
      </c>
      <c r="H176" s="118" t="s">
        <v>534</v>
      </c>
      <c r="J176" s="154"/>
      <c r="K176" s="160"/>
      <c r="L176" s="161"/>
      <c r="M176" s="130" t="s">
        <v>883</v>
      </c>
      <c r="N176" s="166"/>
    </row>
    <row r="177" spans="1:14" x14ac:dyDescent="0.35">
      <c r="A177" t="s">
        <v>665</v>
      </c>
      <c r="B177" t="s">
        <v>326</v>
      </c>
      <c r="C177" t="s">
        <v>666</v>
      </c>
      <c r="D177" t="s">
        <v>667</v>
      </c>
      <c r="E177" t="s">
        <v>668</v>
      </c>
      <c r="F177" t="s">
        <v>550</v>
      </c>
      <c r="G177" t="s">
        <v>669</v>
      </c>
      <c r="H177" t="s">
        <v>319</v>
      </c>
      <c r="J177" s="154" t="s">
        <v>984</v>
      </c>
      <c r="K177" s="160"/>
      <c r="L177" s="161"/>
      <c r="M177" s="130" t="s">
        <v>847</v>
      </c>
      <c r="N177" s="166"/>
    </row>
    <row r="178" spans="1:14" ht="15" thickBot="1" x14ac:dyDescent="0.4">
      <c r="B178" s="118" t="s">
        <v>534</v>
      </c>
      <c r="C178" s="118" t="s">
        <v>534</v>
      </c>
      <c r="D178" s="118" t="s">
        <v>534</v>
      </c>
      <c r="E178" s="118" t="s">
        <v>534</v>
      </c>
      <c r="F178" s="118" t="s">
        <v>405</v>
      </c>
      <c r="G178" s="118" t="s">
        <v>534</v>
      </c>
      <c r="H178" s="118" t="s">
        <v>534</v>
      </c>
      <c r="J178" s="156"/>
      <c r="K178" s="163"/>
      <c r="L178" s="162"/>
      <c r="M178" s="131" t="s">
        <v>883</v>
      </c>
      <c r="N178" s="167"/>
    </row>
    <row r="179" spans="1:14" ht="17" customHeight="1" x14ac:dyDescent="0.35">
      <c r="A179" t="s">
        <v>670</v>
      </c>
      <c r="B179" t="s">
        <v>367</v>
      </c>
      <c r="C179" t="s">
        <v>594</v>
      </c>
      <c r="D179" t="s">
        <v>525</v>
      </c>
      <c r="E179" t="s">
        <v>327</v>
      </c>
      <c r="F179" t="s">
        <v>671</v>
      </c>
      <c r="G179" t="s">
        <v>648</v>
      </c>
      <c r="H179" t="s">
        <v>672</v>
      </c>
      <c r="J179" s="155" t="s">
        <v>985</v>
      </c>
      <c r="K179" s="159"/>
      <c r="L179" s="164"/>
      <c r="M179" s="130" t="s">
        <v>986</v>
      </c>
      <c r="N179" s="165"/>
    </row>
    <row r="180" spans="1:14" x14ac:dyDescent="0.35">
      <c r="B180" s="118" t="s">
        <v>534</v>
      </c>
      <c r="C180" s="118" t="s">
        <v>534</v>
      </c>
      <c r="D180" s="118" t="s">
        <v>534</v>
      </c>
      <c r="E180" s="118" t="s">
        <v>534</v>
      </c>
      <c r="F180" s="118" t="s">
        <v>405</v>
      </c>
      <c r="G180" s="118" t="s">
        <v>534</v>
      </c>
      <c r="H180" s="118" t="s">
        <v>534</v>
      </c>
      <c r="J180" s="154"/>
      <c r="K180" s="160"/>
      <c r="L180" s="161"/>
      <c r="M180" s="130" t="s">
        <v>838</v>
      </c>
      <c r="N180" s="166"/>
    </row>
    <row r="181" spans="1:14" ht="17" customHeight="1" x14ac:dyDescent="0.35">
      <c r="A181" t="s">
        <v>673</v>
      </c>
      <c r="B181">
        <v>-6.9999999999999999E-4</v>
      </c>
      <c r="C181">
        <v>-4.0000000000000002E-4</v>
      </c>
      <c r="D181">
        <v>-5.9999999999999995E-4</v>
      </c>
      <c r="E181">
        <v>-6.9999999999999999E-4</v>
      </c>
      <c r="F181" t="s">
        <v>565</v>
      </c>
      <c r="G181">
        <v>-2.9999999999999997E-4</v>
      </c>
      <c r="H181">
        <v>-2.9999999999999997E-4</v>
      </c>
      <c r="J181" s="154" t="s">
        <v>987</v>
      </c>
      <c r="K181" s="160"/>
      <c r="L181" s="161"/>
      <c r="M181" s="130" t="s">
        <v>988</v>
      </c>
      <c r="N181" s="166"/>
    </row>
    <row r="182" spans="1:14" x14ac:dyDescent="0.35">
      <c r="B182" s="118" t="s">
        <v>534</v>
      </c>
      <c r="C182" s="118" t="s">
        <v>534</v>
      </c>
      <c r="D182" s="118" t="s">
        <v>534</v>
      </c>
      <c r="E182" s="118" t="s">
        <v>534</v>
      </c>
      <c r="F182" s="118" t="s">
        <v>405</v>
      </c>
      <c r="G182" s="118" t="s">
        <v>534</v>
      </c>
      <c r="H182" s="118" t="s">
        <v>534</v>
      </c>
      <c r="J182" s="154"/>
      <c r="K182" s="160"/>
      <c r="L182" s="161"/>
      <c r="M182" s="130" t="s">
        <v>838</v>
      </c>
      <c r="N182" s="166"/>
    </row>
    <row r="183" spans="1:14" x14ac:dyDescent="0.35">
      <c r="A183" t="s">
        <v>674</v>
      </c>
      <c r="B183" t="s">
        <v>675</v>
      </c>
      <c r="C183" t="s">
        <v>676</v>
      </c>
      <c r="D183" t="s">
        <v>677</v>
      </c>
      <c r="E183" t="s">
        <v>677</v>
      </c>
      <c r="F183" t="s">
        <v>445</v>
      </c>
      <c r="G183" t="s">
        <v>678</v>
      </c>
      <c r="H183" t="s">
        <v>679</v>
      </c>
      <c r="J183" s="154" t="s">
        <v>989</v>
      </c>
      <c r="K183" s="160"/>
      <c r="L183" s="161"/>
      <c r="M183" s="130" t="s">
        <v>990</v>
      </c>
      <c r="N183" s="166"/>
    </row>
    <row r="184" spans="1:14" x14ac:dyDescent="0.35">
      <c r="B184" s="118" t="s">
        <v>534</v>
      </c>
      <c r="C184" s="118" t="s">
        <v>534</v>
      </c>
      <c r="D184" s="118" t="s">
        <v>534</v>
      </c>
      <c r="E184" s="118" t="s">
        <v>534</v>
      </c>
      <c r="F184" s="118" t="s">
        <v>411</v>
      </c>
      <c r="G184" s="118" t="s">
        <v>534</v>
      </c>
      <c r="H184" s="118" t="s">
        <v>534</v>
      </c>
      <c r="J184" s="154"/>
      <c r="K184" s="160"/>
      <c r="L184" s="161"/>
      <c r="M184" s="130" t="s">
        <v>883</v>
      </c>
      <c r="N184" s="166"/>
    </row>
    <row r="185" spans="1:14" x14ac:dyDescent="0.35">
      <c r="A185" t="s">
        <v>680</v>
      </c>
      <c r="B185" t="s">
        <v>634</v>
      </c>
      <c r="C185" t="s">
        <v>681</v>
      </c>
      <c r="D185" t="s">
        <v>682</v>
      </c>
      <c r="E185" t="s">
        <v>634</v>
      </c>
      <c r="F185" t="s">
        <v>556</v>
      </c>
      <c r="G185" t="s">
        <v>560</v>
      </c>
      <c r="H185" t="s">
        <v>561</v>
      </c>
      <c r="J185" s="154" t="s">
        <v>991</v>
      </c>
      <c r="K185" s="160"/>
      <c r="L185" s="161"/>
      <c r="M185" s="130" t="s">
        <v>893</v>
      </c>
      <c r="N185" s="166"/>
    </row>
    <row r="186" spans="1:14" ht="15" thickBot="1" x14ac:dyDescent="0.4">
      <c r="B186" s="118" t="s">
        <v>363</v>
      </c>
      <c r="C186" s="118" t="s">
        <v>363</v>
      </c>
      <c r="D186" s="118" t="s">
        <v>363</v>
      </c>
      <c r="E186" s="118" t="s">
        <v>363</v>
      </c>
      <c r="F186" s="118" t="s">
        <v>411</v>
      </c>
      <c r="G186" s="118" t="s">
        <v>363</v>
      </c>
      <c r="H186" s="118" t="s">
        <v>363</v>
      </c>
      <c r="J186" s="156"/>
      <c r="K186" s="163"/>
      <c r="L186" s="162"/>
      <c r="M186" s="131" t="s">
        <v>883</v>
      </c>
      <c r="N186" s="167"/>
    </row>
    <row r="187" spans="1:14" ht="17" customHeight="1" x14ac:dyDescent="0.35">
      <c r="A187" t="s">
        <v>683</v>
      </c>
      <c r="B187" t="s">
        <v>684</v>
      </c>
      <c r="C187" t="s">
        <v>576</v>
      </c>
      <c r="D187" t="s">
        <v>685</v>
      </c>
      <c r="E187" t="s">
        <v>685</v>
      </c>
      <c r="F187" t="s">
        <v>595</v>
      </c>
      <c r="G187" t="s">
        <v>596</v>
      </c>
      <c r="H187" t="s">
        <v>440</v>
      </c>
      <c r="J187" s="155" t="s">
        <v>992</v>
      </c>
      <c r="K187" s="159"/>
      <c r="L187" s="164"/>
      <c r="M187" s="130" t="s">
        <v>993</v>
      </c>
      <c r="N187" s="165"/>
    </row>
    <row r="188" spans="1:14" x14ac:dyDescent="0.35">
      <c r="B188" s="118" t="s">
        <v>534</v>
      </c>
      <c r="C188" s="118" t="s">
        <v>534</v>
      </c>
      <c r="D188" s="118" t="s">
        <v>534</v>
      </c>
      <c r="E188" s="118" t="s">
        <v>534</v>
      </c>
      <c r="F188" s="118" t="s">
        <v>405</v>
      </c>
      <c r="G188" s="118" t="s">
        <v>534</v>
      </c>
      <c r="H188" s="118" t="s">
        <v>534</v>
      </c>
      <c r="J188" s="154"/>
      <c r="K188" s="160"/>
      <c r="L188" s="161"/>
      <c r="M188" s="130" t="s">
        <v>838</v>
      </c>
      <c r="N188" s="166"/>
    </row>
    <row r="189" spans="1:14" ht="17" customHeight="1" x14ac:dyDescent="0.35">
      <c r="A189" t="s">
        <v>686</v>
      </c>
      <c r="B189" t="s">
        <v>537</v>
      </c>
      <c r="C189" t="s">
        <v>538</v>
      </c>
      <c r="D189" t="s">
        <v>367</v>
      </c>
      <c r="E189" t="s">
        <v>687</v>
      </c>
      <c r="F189" t="s">
        <v>688</v>
      </c>
      <c r="G189" t="s">
        <v>689</v>
      </c>
      <c r="H189" t="s">
        <v>689</v>
      </c>
      <c r="J189" s="154" t="s">
        <v>994</v>
      </c>
      <c r="K189" s="160"/>
      <c r="L189" s="161"/>
      <c r="M189" s="130" t="s">
        <v>988</v>
      </c>
      <c r="N189" s="166"/>
    </row>
    <row r="190" spans="1:14" x14ac:dyDescent="0.35">
      <c r="B190" s="118" t="s">
        <v>534</v>
      </c>
      <c r="C190" s="118" t="s">
        <v>534</v>
      </c>
      <c r="D190" s="118" t="s">
        <v>534</v>
      </c>
      <c r="E190" s="118" t="s">
        <v>534</v>
      </c>
      <c r="F190" s="118" t="s">
        <v>405</v>
      </c>
      <c r="G190" s="118" t="s">
        <v>534</v>
      </c>
      <c r="H190" s="118" t="s">
        <v>534</v>
      </c>
      <c r="J190" s="154"/>
      <c r="K190" s="160"/>
      <c r="L190" s="161"/>
      <c r="M190" s="130" t="s">
        <v>838</v>
      </c>
      <c r="N190" s="166"/>
    </row>
    <row r="191" spans="1:14" x14ac:dyDescent="0.35">
      <c r="A191" t="s">
        <v>690</v>
      </c>
      <c r="G191">
        <v>0</v>
      </c>
      <c r="H191">
        <v>0</v>
      </c>
      <c r="J191" s="154" t="s">
        <v>995</v>
      </c>
      <c r="K191" s="180"/>
      <c r="L191" s="194"/>
      <c r="M191" s="130" t="s">
        <v>996</v>
      </c>
      <c r="N191" s="181"/>
    </row>
    <row r="192" spans="1:14" x14ac:dyDescent="0.35">
      <c r="G192" t="s">
        <v>250</v>
      </c>
      <c r="H192" t="s">
        <v>250</v>
      </c>
      <c r="J192" s="154"/>
      <c r="K192" s="180"/>
      <c r="L192" s="194"/>
      <c r="M192" s="130" t="s">
        <v>883</v>
      </c>
      <c r="N192" s="181"/>
    </row>
    <row r="193" spans="1:14" x14ac:dyDescent="0.35">
      <c r="A193" t="s">
        <v>691</v>
      </c>
      <c r="G193" t="s">
        <v>562</v>
      </c>
      <c r="H193" t="s">
        <v>395</v>
      </c>
      <c r="J193" s="154" t="s">
        <v>997</v>
      </c>
      <c r="K193" s="160"/>
      <c r="L193" s="161"/>
      <c r="M193" s="130" t="s">
        <v>998</v>
      </c>
      <c r="N193" s="166"/>
    </row>
    <row r="194" spans="1:14" ht="15" thickBot="1" x14ac:dyDescent="0.4">
      <c r="G194" s="118" t="s">
        <v>305</v>
      </c>
      <c r="H194" s="118" t="s">
        <v>305</v>
      </c>
      <c r="J194" s="156"/>
      <c r="K194" s="163"/>
      <c r="L194" s="162"/>
      <c r="M194" s="131" t="s">
        <v>883</v>
      </c>
      <c r="N194" s="167"/>
    </row>
    <row r="195" spans="1:14" ht="17" customHeight="1" x14ac:dyDescent="0.35">
      <c r="A195" t="s">
        <v>692</v>
      </c>
      <c r="G195" t="s">
        <v>318</v>
      </c>
      <c r="H195" t="s">
        <v>693</v>
      </c>
      <c r="J195" s="155" t="s">
        <v>999</v>
      </c>
      <c r="K195" s="159"/>
      <c r="L195" s="164"/>
      <c r="M195" s="130" t="s">
        <v>1000</v>
      </c>
      <c r="N195" s="165"/>
    </row>
    <row r="196" spans="1:14" x14ac:dyDescent="0.35">
      <c r="G196" s="118" t="s">
        <v>305</v>
      </c>
      <c r="H196" s="118" t="s">
        <v>305</v>
      </c>
      <c r="J196" s="154"/>
      <c r="K196" s="160"/>
      <c r="L196" s="161"/>
      <c r="M196" s="130" t="s">
        <v>838</v>
      </c>
      <c r="N196" s="166"/>
    </row>
    <row r="197" spans="1:14" ht="17" customHeight="1" x14ac:dyDescent="0.35">
      <c r="A197" t="s">
        <v>694</v>
      </c>
      <c r="G197" t="s">
        <v>695</v>
      </c>
      <c r="H197" t="s">
        <v>696</v>
      </c>
      <c r="J197" s="154" t="s">
        <v>1001</v>
      </c>
      <c r="K197" s="160"/>
      <c r="L197" s="161"/>
      <c r="M197" s="130" t="s">
        <v>998</v>
      </c>
      <c r="N197" s="166"/>
    </row>
    <row r="198" spans="1:14" x14ac:dyDescent="0.35">
      <c r="G198" s="118" t="s">
        <v>305</v>
      </c>
      <c r="H198" s="118" t="s">
        <v>305</v>
      </c>
      <c r="J198" s="154"/>
      <c r="K198" s="160"/>
      <c r="L198" s="161"/>
      <c r="M198" s="130" t="s">
        <v>838</v>
      </c>
      <c r="N198" s="166"/>
    </row>
    <row r="199" spans="1:14" x14ac:dyDescent="0.35">
      <c r="A199" t="s">
        <v>697</v>
      </c>
      <c r="G199" t="s">
        <v>698</v>
      </c>
      <c r="H199" t="s">
        <v>699</v>
      </c>
      <c r="J199" s="154" t="s">
        <v>1002</v>
      </c>
      <c r="K199" s="160"/>
      <c r="L199" s="161"/>
      <c r="M199" s="130" t="s">
        <v>1003</v>
      </c>
      <c r="N199" s="166"/>
    </row>
    <row r="200" spans="1:14" x14ac:dyDescent="0.35">
      <c r="G200" s="118" t="s">
        <v>305</v>
      </c>
      <c r="H200" s="118" t="s">
        <v>305</v>
      </c>
      <c r="J200" s="154"/>
      <c r="K200" s="160"/>
      <c r="L200" s="161"/>
      <c r="M200" s="130" t="s">
        <v>883</v>
      </c>
      <c r="N200" s="166"/>
    </row>
    <row r="201" spans="1:14" x14ac:dyDescent="0.35">
      <c r="A201" t="s">
        <v>700</v>
      </c>
      <c r="G201" t="s">
        <v>701</v>
      </c>
      <c r="H201" t="s">
        <v>702</v>
      </c>
      <c r="J201" s="154" t="s">
        <v>1004</v>
      </c>
      <c r="K201" s="160"/>
      <c r="L201" s="161"/>
      <c r="M201" s="130" t="s">
        <v>1005</v>
      </c>
      <c r="N201" s="166"/>
    </row>
    <row r="202" spans="1:14" x14ac:dyDescent="0.35">
      <c r="G202" s="118" t="s">
        <v>305</v>
      </c>
      <c r="H202" s="118" t="s">
        <v>305</v>
      </c>
      <c r="J202" s="154"/>
      <c r="K202" s="160"/>
      <c r="L202" s="161"/>
      <c r="M202" s="130" t="s">
        <v>883</v>
      </c>
      <c r="N202" s="166"/>
    </row>
    <row r="203" spans="1:14" x14ac:dyDescent="0.35">
      <c r="A203" t="s">
        <v>703</v>
      </c>
      <c r="G203" t="s">
        <v>704</v>
      </c>
      <c r="H203" t="s">
        <v>705</v>
      </c>
      <c r="J203" s="154"/>
      <c r="K203" s="160"/>
      <c r="L203" s="161"/>
      <c r="M203" s="145"/>
      <c r="N203" s="166"/>
    </row>
    <row r="204" spans="1:14" ht="15" thickBot="1" x14ac:dyDescent="0.4">
      <c r="G204" s="118" t="s">
        <v>305</v>
      </c>
      <c r="H204" s="118" t="s">
        <v>305</v>
      </c>
      <c r="J204" s="156"/>
      <c r="K204" s="163"/>
      <c r="L204" s="162"/>
      <c r="M204" s="146"/>
      <c r="N204" s="167"/>
    </row>
    <row r="205" spans="1:14" ht="17" customHeight="1" x14ac:dyDescent="0.35">
      <c r="A205" t="s">
        <v>706</v>
      </c>
      <c r="G205" t="s">
        <v>698</v>
      </c>
      <c r="H205" t="s">
        <v>707</v>
      </c>
      <c r="J205" s="155" t="s">
        <v>1006</v>
      </c>
      <c r="K205" s="159"/>
      <c r="L205" s="164"/>
      <c r="M205" s="130" t="s">
        <v>1007</v>
      </c>
      <c r="N205" s="165"/>
    </row>
    <row r="206" spans="1:14" x14ac:dyDescent="0.35">
      <c r="G206" s="118" t="s">
        <v>305</v>
      </c>
      <c r="H206" s="118" t="s">
        <v>305</v>
      </c>
      <c r="J206" s="154"/>
      <c r="K206" s="160"/>
      <c r="L206" s="161"/>
      <c r="M206" s="130" t="s">
        <v>883</v>
      </c>
      <c r="N206" s="166"/>
    </row>
    <row r="207" spans="1:14" ht="17" customHeight="1" x14ac:dyDescent="0.35">
      <c r="A207" t="s">
        <v>708</v>
      </c>
      <c r="G207" t="s">
        <v>709</v>
      </c>
      <c r="H207" t="s">
        <v>588</v>
      </c>
      <c r="J207" s="154" t="s">
        <v>1008</v>
      </c>
      <c r="K207" s="160"/>
      <c r="L207" s="161"/>
      <c r="M207" s="130" t="s">
        <v>1009</v>
      </c>
      <c r="N207" s="166"/>
    </row>
    <row r="208" spans="1:14" x14ac:dyDescent="0.35">
      <c r="G208" s="118" t="s">
        <v>305</v>
      </c>
      <c r="H208" s="118" t="s">
        <v>305</v>
      </c>
      <c r="J208" s="154"/>
      <c r="K208" s="160"/>
      <c r="L208" s="161"/>
      <c r="M208" s="130" t="s">
        <v>883</v>
      </c>
      <c r="N208" s="166"/>
    </row>
    <row r="209" spans="1:14" x14ac:dyDescent="0.35">
      <c r="A209" t="s">
        <v>710</v>
      </c>
      <c r="G209" t="s">
        <v>711</v>
      </c>
      <c r="H209" t="s">
        <v>712</v>
      </c>
      <c r="J209" s="154" t="s">
        <v>1010</v>
      </c>
      <c r="K209" s="160"/>
      <c r="L209" s="161"/>
      <c r="M209" s="130" t="s">
        <v>1011</v>
      </c>
      <c r="N209" s="166"/>
    </row>
    <row r="210" spans="1:14" x14ac:dyDescent="0.35">
      <c r="G210" s="118" t="s">
        <v>305</v>
      </c>
      <c r="H210" s="118" t="s">
        <v>305</v>
      </c>
      <c r="J210" s="154"/>
      <c r="K210" s="160"/>
      <c r="L210" s="161"/>
      <c r="M210" s="130" t="s">
        <v>883</v>
      </c>
      <c r="N210" s="166"/>
    </row>
    <row r="211" spans="1:14" x14ac:dyDescent="0.35">
      <c r="A211" t="s">
        <v>713</v>
      </c>
      <c r="G211" t="s">
        <v>714</v>
      </c>
      <c r="H211" t="s">
        <v>715</v>
      </c>
      <c r="J211" s="154" t="s">
        <v>1012</v>
      </c>
      <c r="K211" s="160"/>
      <c r="L211" s="161"/>
      <c r="M211" s="130" t="s">
        <v>1013</v>
      </c>
      <c r="N211" s="166"/>
    </row>
    <row r="212" spans="1:14" ht="15" thickBot="1" x14ac:dyDescent="0.4">
      <c r="G212" s="118" t="s">
        <v>305</v>
      </c>
      <c r="H212" s="118" t="s">
        <v>305</v>
      </c>
      <c r="J212" s="156"/>
      <c r="K212" s="163"/>
      <c r="L212" s="162"/>
      <c r="M212" s="130" t="s">
        <v>883</v>
      </c>
      <c r="N212" s="167"/>
    </row>
    <row r="213" spans="1:14" ht="31.5" x14ac:dyDescent="0.35">
      <c r="A213" t="s">
        <v>716</v>
      </c>
      <c r="G213" t="s">
        <v>717</v>
      </c>
      <c r="H213" t="s">
        <v>718</v>
      </c>
      <c r="J213" s="144" t="s">
        <v>1014</v>
      </c>
      <c r="K213" s="190"/>
      <c r="L213" s="190"/>
      <c r="M213" s="190"/>
      <c r="N213" s="192"/>
    </row>
    <row r="214" spans="1:14" ht="21.5" thickBot="1" x14ac:dyDescent="0.4">
      <c r="G214" s="118" t="s">
        <v>305</v>
      </c>
      <c r="H214" s="118" t="s">
        <v>305</v>
      </c>
      <c r="J214" s="128" t="s">
        <v>1015</v>
      </c>
      <c r="K214" s="191"/>
      <c r="L214" s="191"/>
      <c r="M214" s="191"/>
      <c r="N214" s="193"/>
    </row>
    <row r="215" spans="1:14" ht="27.5" customHeight="1" x14ac:dyDescent="0.35">
      <c r="A215" t="s">
        <v>719</v>
      </c>
      <c r="G215" t="s">
        <v>720</v>
      </c>
      <c r="H215" t="s">
        <v>721</v>
      </c>
      <c r="J215" s="155" t="s">
        <v>1016</v>
      </c>
      <c r="K215" s="159"/>
      <c r="L215" s="164"/>
      <c r="M215" s="159"/>
      <c r="N215" s="132" t="s">
        <v>1017</v>
      </c>
    </row>
    <row r="216" spans="1:14" x14ac:dyDescent="0.35">
      <c r="G216" s="118" t="s">
        <v>305</v>
      </c>
      <c r="H216" s="118" t="s">
        <v>305</v>
      </c>
      <c r="J216" s="154"/>
      <c r="K216" s="160"/>
      <c r="L216" s="161"/>
      <c r="M216" s="160"/>
      <c r="N216" s="132" t="s">
        <v>838</v>
      </c>
    </row>
    <row r="217" spans="1:14" ht="27.5" customHeight="1" x14ac:dyDescent="0.35">
      <c r="A217" t="s">
        <v>722</v>
      </c>
      <c r="G217" t="s">
        <v>609</v>
      </c>
      <c r="H217" t="s">
        <v>723</v>
      </c>
      <c r="J217" s="154" t="s">
        <v>1018</v>
      </c>
      <c r="K217" s="160"/>
      <c r="L217" s="161"/>
      <c r="M217" s="160"/>
      <c r="N217" s="132" t="s">
        <v>1017</v>
      </c>
    </row>
    <row r="218" spans="1:14" x14ac:dyDescent="0.35">
      <c r="G218" s="118" t="s">
        <v>305</v>
      </c>
      <c r="H218" s="118" t="s">
        <v>305</v>
      </c>
      <c r="J218" s="154"/>
      <c r="K218" s="160"/>
      <c r="L218" s="161"/>
      <c r="M218" s="160"/>
      <c r="N218" s="132" t="s">
        <v>838</v>
      </c>
    </row>
    <row r="219" spans="1:14" ht="17" customHeight="1" x14ac:dyDescent="0.35">
      <c r="A219" t="s">
        <v>724</v>
      </c>
      <c r="H219" t="s">
        <v>725</v>
      </c>
      <c r="J219" s="154" t="s">
        <v>1019</v>
      </c>
      <c r="K219" s="160"/>
      <c r="L219" s="161"/>
      <c r="M219" s="160"/>
      <c r="N219" s="132" t="s">
        <v>1020</v>
      </c>
    </row>
    <row r="220" spans="1:14" x14ac:dyDescent="0.35">
      <c r="H220" s="118" t="s">
        <v>726</v>
      </c>
      <c r="J220" s="154"/>
      <c r="K220" s="160"/>
      <c r="L220" s="161"/>
      <c r="M220" s="160"/>
      <c r="N220" s="132" t="s">
        <v>913</v>
      </c>
    </row>
    <row r="221" spans="1:14" ht="16.5" customHeight="1" x14ac:dyDescent="0.35">
      <c r="A221" t="s">
        <v>727</v>
      </c>
      <c r="H221" t="s">
        <v>728</v>
      </c>
      <c r="J221" s="154" t="s">
        <v>1021</v>
      </c>
      <c r="K221" s="160"/>
      <c r="L221" s="161"/>
      <c r="M221" s="160"/>
      <c r="N221" s="132" t="s">
        <v>1022</v>
      </c>
    </row>
    <row r="222" spans="1:14" ht="15" thickBot="1" x14ac:dyDescent="0.4">
      <c r="H222" s="118" t="s">
        <v>726</v>
      </c>
      <c r="J222" s="156"/>
      <c r="K222" s="163"/>
      <c r="L222" s="162"/>
      <c r="M222" s="163"/>
      <c r="N222" s="135" t="s">
        <v>838</v>
      </c>
    </row>
    <row r="223" spans="1:14" ht="38" customHeight="1" x14ac:dyDescent="0.35">
      <c r="A223" t="s">
        <v>729</v>
      </c>
      <c r="H223" t="s">
        <v>730</v>
      </c>
      <c r="J223" s="155" t="s">
        <v>1023</v>
      </c>
      <c r="K223" s="159"/>
      <c r="L223" s="164"/>
      <c r="M223" s="159"/>
      <c r="N223" s="132" t="s">
        <v>1024</v>
      </c>
    </row>
    <row r="224" spans="1:14" x14ac:dyDescent="0.35">
      <c r="H224" s="118" t="s">
        <v>726</v>
      </c>
      <c r="J224" s="154"/>
      <c r="K224" s="160"/>
      <c r="L224" s="161"/>
      <c r="M224" s="160"/>
      <c r="N224" s="132" t="s">
        <v>838</v>
      </c>
    </row>
    <row r="225" spans="1:14" ht="38" customHeight="1" x14ac:dyDescent="0.35">
      <c r="A225" t="s">
        <v>731</v>
      </c>
      <c r="J225" s="154" t="s">
        <v>1025</v>
      </c>
      <c r="K225" s="160"/>
      <c r="L225" s="161"/>
      <c r="M225" s="160"/>
      <c r="N225" s="132" t="s">
        <v>862</v>
      </c>
    </row>
    <row r="226" spans="1:14" x14ac:dyDescent="0.35">
      <c r="A226" t="s">
        <v>54</v>
      </c>
      <c r="E226" t="s">
        <v>732</v>
      </c>
      <c r="J226" s="154"/>
      <c r="K226" s="160"/>
      <c r="L226" s="161"/>
      <c r="M226" s="160"/>
      <c r="N226" s="132" t="s">
        <v>838</v>
      </c>
    </row>
    <row r="227" spans="1:14" ht="27.5" customHeight="1" x14ac:dyDescent="0.35">
      <c r="E227" s="118" t="s">
        <v>305</v>
      </c>
      <c r="J227" s="154" t="s">
        <v>1026</v>
      </c>
      <c r="K227" s="160"/>
      <c r="L227" s="161"/>
      <c r="M227" s="160"/>
      <c r="N227" s="132" t="s">
        <v>1027</v>
      </c>
    </row>
    <row r="228" spans="1:14" x14ac:dyDescent="0.35">
      <c r="A228" t="s">
        <v>55</v>
      </c>
      <c r="E228" t="s">
        <v>733</v>
      </c>
      <c r="J228" s="154"/>
      <c r="K228" s="160"/>
      <c r="L228" s="161"/>
      <c r="M228" s="160"/>
      <c r="N228" s="132" t="s">
        <v>913</v>
      </c>
    </row>
    <row r="229" spans="1:14" ht="27" customHeight="1" x14ac:dyDescent="0.35">
      <c r="E229" s="118" t="s">
        <v>305</v>
      </c>
      <c r="J229" s="154" t="s">
        <v>1028</v>
      </c>
      <c r="K229" s="160"/>
      <c r="L229" s="161"/>
      <c r="M229" s="160"/>
      <c r="N229" s="132" t="s">
        <v>922</v>
      </c>
    </row>
    <row r="230" spans="1:14" ht="15" thickBot="1" x14ac:dyDescent="0.4">
      <c r="A230" t="s">
        <v>56</v>
      </c>
      <c r="E230" t="s">
        <v>734</v>
      </c>
      <c r="J230" s="156"/>
      <c r="K230" s="163"/>
      <c r="L230" s="162"/>
      <c r="M230" s="163"/>
      <c r="N230" s="135" t="s">
        <v>855</v>
      </c>
    </row>
    <row r="231" spans="1:14" ht="27.5" customHeight="1" x14ac:dyDescent="0.35">
      <c r="E231" s="118" t="s">
        <v>735</v>
      </c>
      <c r="J231" s="155" t="s">
        <v>1029</v>
      </c>
      <c r="K231" s="159"/>
      <c r="L231" s="164"/>
      <c r="M231" s="159"/>
      <c r="N231" s="132" t="s">
        <v>1030</v>
      </c>
    </row>
    <row r="232" spans="1:14" x14ac:dyDescent="0.35">
      <c r="A232" t="s">
        <v>57</v>
      </c>
      <c r="E232" t="s">
        <v>407</v>
      </c>
      <c r="J232" s="154"/>
      <c r="K232" s="160"/>
      <c r="L232" s="161"/>
      <c r="M232" s="160"/>
      <c r="N232" s="132" t="s">
        <v>838</v>
      </c>
    </row>
    <row r="233" spans="1:14" ht="27.5" customHeight="1" x14ac:dyDescent="0.35">
      <c r="E233" s="118" t="s">
        <v>303</v>
      </c>
      <c r="J233" s="154" t="s">
        <v>1031</v>
      </c>
      <c r="K233" s="160"/>
      <c r="L233" s="161"/>
      <c r="M233" s="160"/>
      <c r="N233" s="132" t="s">
        <v>1032</v>
      </c>
    </row>
    <row r="234" spans="1:14" x14ac:dyDescent="0.35">
      <c r="A234" t="s">
        <v>736</v>
      </c>
      <c r="J234" s="154"/>
      <c r="K234" s="160"/>
      <c r="L234" s="161"/>
      <c r="M234" s="160"/>
      <c r="N234" s="132" t="s">
        <v>838</v>
      </c>
    </row>
    <row r="235" spans="1:14" ht="17" customHeight="1" x14ac:dyDescent="0.35">
      <c r="A235" t="s">
        <v>54</v>
      </c>
      <c r="E235" t="s">
        <v>737</v>
      </c>
      <c r="J235" s="154" t="s">
        <v>1033</v>
      </c>
      <c r="K235" s="160"/>
      <c r="L235" s="161"/>
      <c r="M235" s="160"/>
      <c r="N235" s="132" t="s">
        <v>1034</v>
      </c>
    </row>
    <row r="236" spans="1:14" x14ac:dyDescent="0.35">
      <c r="E236" s="118" t="s">
        <v>265</v>
      </c>
      <c r="J236" s="154"/>
      <c r="K236" s="160"/>
      <c r="L236" s="161"/>
      <c r="M236" s="160"/>
      <c r="N236" s="132" t="s">
        <v>913</v>
      </c>
    </row>
    <row r="237" spans="1:14" ht="16.5" customHeight="1" x14ac:dyDescent="0.35">
      <c r="A237" t="s">
        <v>55</v>
      </c>
      <c r="E237" t="s">
        <v>738</v>
      </c>
      <c r="J237" s="154" t="s">
        <v>1035</v>
      </c>
      <c r="K237" s="160"/>
      <c r="L237" s="161"/>
      <c r="M237" s="160"/>
      <c r="N237" s="132" t="s">
        <v>1036</v>
      </c>
    </row>
    <row r="238" spans="1:14" ht="15" thickBot="1" x14ac:dyDescent="0.4">
      <c r="E238" s="118" t="s">
        <v>305</v>
      </c>
      <c r="J238" s="156"/>
      <c r="K238" s="163"/>
      <c r="L238" s="162"/>
      <c r="M238" s="163"/>
      <c r="N238" s="135" t="s">
        <v>838</v>
      </c>
    </row>
    <row r="239" spans="1:14" ht="31.5" x14ac:dyDescent="0.35">
      <c r="A239" t="s">
        <v>56</v>
      </c>
      <c r="E239" t="s">
        <v>739</v>
      </c>
      <c r="J239" s="142" t="s">
        <v>1014</v>
      </c>
      <c r="K239" s="186"/>
      <c r="L239" s="186"/>
      <c r="M239" s="186"/>
      <c r="N239" s="195"/>
    </row>
    <row r="240" spans="1:14" ht="32" thickBot="1" x14ac:dyDescent="0.4">
      <c r="E240" s="118" t="s">
        <v>740</v>
      </c>
      <c r="J240" s="143" t="s">
        <v>943</v>
      </c>
      <c r="K240" s="187"/>
      <c r="L240" s="187"/>
      <c r="M240" s="187"/>
      <c r="N240" s="196"/>
    </row>
    <row r="241" spans="1:14" ht="27.5" customHeight="1" x14ac:dyDescent="0.35">
      <c r="A241" t="s">
        <v>57</v>
      </c>
      <c r="E241" t="s">
        <v>602</v>
      </c>
      <c r="J241" s="155" t="s">
        <v>1037</v>
      </c>
      <c r="K241" s="159"/>
      <c r="L241" s="164"/>
      <c r="M241" s="159"/>
      <c r="N241" s="132" t="s">
        <v>1038</v>
      </c>
    </row>
    <row r="242" spans="1:14" x14ac:dyDescent="0.35">
      <c r="E242" s="118" t="s">
        <v>304</v>
      </c>
      <c r="J242" s="154"/>
      <c r="K242" s="160"/>
      <c r="L242" s="161"/>
      <c r="M242" s="160"/>
      <c r="N242" s="132" t="s">
        <v>838</v>
      </c>
    </row>
    <row r="243" spans="1:14" ht="27.5" customHeight="1" x14ac:dyDescent="0.35">
      <c r="A243" t="s">
        <v>741</v>
      </c>
      <c r="J243" s="154" t="s">
        <v>1039</v>
      </c>
      <c r="K243" s="160"/>
      <c r="L243" s="161"/>
      <c r="M243" s="160"/>
      <c r="N243" s="132" t="s">
        <v>1040</v>
      </c>
    </row>
    <row r="244" spans="1:14" x14ac:dyDescent="0.35">
      <c r="A244" t="s">
        <v>54</v>
      </c>
      <c r="E244" t="s">
        <v>742</v>
      </c>
      <c r="J244" s="154"/>
      <c r="K244" s="160"/>
      <c r="L244" s="161"/>
      <c r="M244" s="160"/>
      <c r="N244" s="132" t="s">
        <v>838</v>
      </c>
    </row>
    <row r="245" spans="1:14" ht="38" customHeight="1" x14ac:dyDescent="0.35">
      <c r="E245" s="118" t="s">
        <v>265</v>
      </c>
      <c r="J245" s="154" t="s">
        <v>1041</v>
      </c>
      <c r="K245" s="160"/>
      <c r="L245" s="161"/>
      <c r="M245" s="160"/>
      <c r="N245" s="132" t="s">
        <v>1042</v>
      </c>
    </row>
    <row r="246" spans="1:14" x14ac:dyDescent="0.35">
      <c r="A246" t="s">
        <v>55</v>
      </c>
      <c r="E246" t="s">
        <v>366</v>
      </c>
      <c r="J246" s="154"/>
      <c r="K246" s="160"/>
      <c r="L246" s="161"/>
      <c r="M246" s="160"/>
      <c r="N246" s="132" t="s">
        <v>838</v>
      </c>
    </row>
    <row r="247" spans="1:14" ht="27" customHeight="1" x14ac:dyDescent="0.35">
      <c r="E247" s="118" t="s">
        <v>305</v>
      </c>
      <c r="J247" s="154" t="s">
        <v>1043</v>
      </c>
      <c r="K247" s="160"/>
      <c r="L247" s="161"/>
      <c r="M247" s="160"/>
      <c r="N247" s="132" t="s">
        <v>1044</v>
      </c>
    </row>
    <row r="248" spans="1:14" ht="15" thickBot="1" x14ac:dyDescent="0.4">
      <c r="A248" t="s">
        <v>56</v>
      </c>
      <c r="E248" t="s">
        <v>743</v>
      </c>
      <c r="J248" s="156"/>
      <c r="K248" s="163"/>
      <c r="L248" s="162"/>
      <c r="M248" s="163"/>
      <c r="N248" s="135" t="s">
        <v>838</v>
      </c>
    </row>
    <row r="249" spans="1:14" ht="17" customHeight="1" x14ac:dyDescent="0.35">
      <c r="E249" s="118" t="s">
        <v>740</v>
      </c>
      <c r="J249" s="155" t="s">
        <v>1045</v>
      </c>
      <c r="K249" s="159"/>
      <c r="L249" s="164"/>
      <c r="M249" s="159"/>
      <c r="N249" s="132" t="s">
        <v>1046</v>
      </c>
    </row>
    <row r="250" spans="1:14" x14ac:dyDescent="0.35">
      <c r="A250" t="s">
        <v>57</v>
      </c>
      <c r="E250" t="s">
        <v>409</v>
      </c>
      <c r="J250" s="154"/>
      <c r="K250" s="160"/>
      <c r="L250" s="161"/>
      <c r="M250" s="160"/>
      <c r="N250" s="132" t="s">
        <v>913</v>
      </c>
    </row>
    <row r="251" spans="1:14" ht="17" customHeight="1" x14ac:dyDescent="0.35">
      <c r="E251" s="118" t="s">
        <v>303</v>
      </c>
      <c r="J251" s="154" t="s">
        <v>1047</v>
      </c>
      <c r="K251" s="160"/>
      <c r="L251" s="161"/>
      <c r="M251" s="160"/>
      <c r="N251" s="132" t="s">
        <v>1048</v>
      </c>
    </row>
    <row r="252" spans="1:14" x14ac:dyDescent="0.35">
      <c r="A252" t="s">
        <v>744</v>
      </c>
      <c r="J252" s="154"/>
      <c r="K252" s="160"/>
      <c r="L252" s="161"/>
      <c r="M252" s="160"/>
      <c r="N252" s="132" t="s">
        <v>883</v>
      </c>
    </row>
    <row r="253" spans="1:14" ht="27.5" customHeight="1" x14ac:dyDescent="0.35">
      <c r="A253" t="s">
        <v>78</v>
      </c>
      <c r="E253" t="s">
        <v>745</v>
      </c>
      <c r="J253" s="154" t="s">
        <v>1049</v>
      </c>
      <c r="K253" s="160"/>
      <c r="L253" s="161"/>
      <c r="M253" s="160"/>
      <c r="N253" s="132" t="s">
        <v>1050</v>
      </c>
    </row>
    <row r="254" spans="1:14" x14ac:dyDescent="0.35">
      <c r="E254" s="118" t="s">
        <v>305</v>
      </c>
      <c r="J254" s="154"/>
      <c r="K254" s="160"/>
      <c r="L254" s="161"/>
      <c r="M254" s="160"/>
      <c r="N254" s="132" t="s">
        <v>883</v>
      </c>
    </row>
    <row r="255" spans="1:14" ht="16.5" customHeight="1" x14ac:dyDescent="0.35">
      <c r="A255" t="s">
        <v>79</v>
      </c>
      <c r="E255" t="s">
        <v>390</v>
      </c>
      <c r="J255" s="154" t="s">
        <v>1051</v>
      </c>
      <c r="K255" s="160"/>
      <c r="L255" s="161"/>
      <c r="M255" s="160"/>
      <c r="N255" s="132" t="s">
        <v>1052</v>
      </c>
    </row>
    <row r="256" spans="1:14" ht="15" thickBot="1" x14ac:dyDescent="0.4">
      <c r="E256" s="118" t="s">
        <v>305</v>
      </c>
      <c r="J256" s="156"/>
      <c r="K256" s="163"/>
      <c r="L256" s="162"/>
      <c r="M256" s="163"/>
      <c r="N256" s="135" t="s">
        <v>838</v>
      </c>
    </row>
    <row r="257" spans="1:14" ht="17" customHeight="1" x14ac:dyDescent="0.35">
      <c r="A257" t="s">
        <v>80</v>
      </c>
      <c r="E257" t="s">
        <v>746</v>
      </c>
      <c r="J257" s="155" t="s">
        <v>1053</v>
      </c>
      <c r="K257" s="159"/>
      <c r="L257" s="164"/>
      <c r="M257" s="159"/>
      <c r="N257" s="132" t="s">
        <v>1054</v>
      </c>
    </row>
    <row r="258" spans="1:14" x14ac:dyDescent="0.35">
      <c r="E258" s="118" t="s">
        <v>305</v>
      </c>
      <c r="J258" s="154"/>
      <c r="K258" s="160"/>
      <c r="L258" s="161"/>
      <c r="M258" s="160"/>
      <c r="N258" s="132" t="s">
        <v>838</v>
      </c>
    </row>
    <row r="259" spans="1:14" ht="17" customHeight="1" x14ac:dyDescent="0.35">
      <c r="A259" t="s">
        <v>81</v>
      </c>
      <c r="E259" t="s">
        <v>747</v>
      </c>
      <c r="J259" s="154" t="s">
        <v>1055</v>
      </c>
      <c r="K259" s="160"/>
      <c r="L259" s="161"/>
      <c r="M259" s="160"/>
      <c r="N259" s="132" t="s">
        <v>1056</v>
      </c>
    </row>
    <row r="260" spans="1:14" x14ac:dyDescent="0.35">
      <c r="E260" s="118" t="s">
        <v>265</v>
      </c>
      <c r="J260" s="154"/>
      <c r="K260" s="160"/>
      <c r="L260" s="161"/>
      <c r="M260" s="160"/>
      <c r="N260" s="132" t="s">
        <v>838</v>
      </c>
    </row>
    <row r="261" spans="1:14" ht="27.5" customHeight="1" x14ac:dyDescent="0.35">
      <c r="A261" t="s">
        <v>40</v>
      </c>
      <c r="D261" t="s">
        <v>748</v>
      </c>
      <c r="J261" s="154" t="s">
        <v>1057</v>
      </c>
      <c r="K261" s="160"/>
      <c r="L261" s="161"/>
      <c r="M261" s="160"/>
      <c r="N261" s="132" t="s">
        <v>1058</v>
      </c>
    </row>
    <row r="262" spans="1:14" x14ac:dyDescent="0.35">
      <c r="D262" s="118" t="s">
        <v>305</v>
      </c>
      <c r="J262" s="154"/>
      <c r="K262" s="160"/>
      <c r="L262" s="161"/>
      <c r="M262" s="160"/>
      <c r="N262" s="132" t="s">
        <v>838</v>
      </c>
    </row>
    <row r="263" spans="1:14" ht="16.5" customHeight="1" x14ac:dyDescent="0.35">
      <c r="A263" t="s">
        <v>41</v>
      </c>
      <c r="D263" t="s">
        <v>749</v>
      </c>
      <c r="J263" s="154" t="s">
        <v>1059</v>
      </c>
      <c r="K263" s="160"/>
      <c r="L263" s="161"/>
      <c r="M263" s="160"/>
      <c r="N263" s="132" t="s">
        <v>1060</v>
      </c>
    </row>
    <row r="264" spans="1:14" ht="15" thickBot="1" x14ac:dyDescent="0.4">
      <c r="D264" s="118" t="s">
        <v>265</v>
      </c>
      <c r="J264" s="197"/>
      <c r="K264" s="198"/>
      <c r="L264" s="199"/>
      <c r="M264" s="198"/>
      <c r="N264" s="147" t="s">
        <v>838</v>
      </c>
    </row>
    <row r="265" spans="1:14" ht="15" thickTop="1" x14ac:dyDescent="0.35">
      <c r="A265" t="s">
        <v>42</v>
      </c>
      <c r="D265" t="s">
        <v>750</v>
      </c>
    </row>
    <row r="266" spans="1:14" x14ac:dyDescent="0.35">
      <c r="D266" s="118" t="s">
        <v>305</v>
      </c>
    </row>
    <row r="267" spans="1:14" x14ac:dyDescent="0.35">
      <c r="A267" t="s">
        <v>43</v>
      </c>
      <c r="D267" t="s">
        <v>751</v>
      </c>
    </row>
    <row r="268" spans="1:14" x14ac:dyDescent="0.35">
      <c r="D268" s="118" t="s">
        <v>305</v>
      </c>
    </row>
    <row r="269" spans="1:14" x14ac:dyDescent="0.35">
      <c r="A269" t="s">
        <v>44</v>
      </c>
      <c r="D269" t="s">
        <v>491</v>
      </c>
    </row>
    <row r="270" spans="1:14" x14ac:dyDescent="0.35">
      <c r="D270" s="118" t="s">
        <v>303</v>
      </c>
    </row>
    <row r="271" spans="1:14" x14ac:dyDescent="0.35">
      <c r="A271" t="s">
        <v>45</v>
      </c>
      <c r="D271" t="s">
        <v>564</v>
      </c>
    </row>
    <row r="272" spans="1:14" x14ac:dyDescent="0.35">
      <c r="D272" s="118" t="s">
        <v>752</v>
      </c>
    </row>
    <row r="273" spans="1:5" x14ac:dyDescent="0.35">
      <c r="A273" t="s">
        <v>753</v>
      </c>
    </row>
    <row r="274" spans="1:5" x14ac:dyDescent="0.35">
      <c r="A274" t="s">
        <v>78</v>
      </c>
      <c r="E274" t="s">
        <v>754</v>
      </c>
    </row>
    <row r="275" spans="1:5" x14ac:dyDescent="0.35">
      <c r="E275" s="118" t="s">
        <v>740</v>
      </c>
    </row>
    <row r="276" spans="1:5" x14ac:dyDescent="0.35">
      <c r="A276" t="s">
        <v>79</v>
      </c>
      <c r="E276" t="s">
        <v>755</v>
      </c>
    </row>
    <row r="277" spans="1:5" x14ac:dyDescent="0.35">
      <c r="E277" s="118" t="s">
        <v>362</v>
      </c>
    </row>
    <row r="278" spans="1:5" x14ac:dyDescent="0.35">
      <c r="A278" t="s">
        <v>80</v>
      </c>
      <c r="E278" t="s">
        <v>756</v>
      </c>
    </row>
    <row r="279" spans="1:5" x14ac:dyDescent="0.35">
      <c r="E279" s="118" t="s">
        <v>411</v>
      </c>
    </row>
    <row r="280" spans="1:5" x14ac:dyDescent="0.35">
      <c r="A280" t="s">
        <v>81</v>
      </c>
      <c r="E280" t="s">
        <v>757</v>
      </c>
    </row>
    <row r="281" spans="1:5" x14ac:dyDescent="0.35">
      <c r="E281" s="118" t="s">
        <v>303</v>
      </c>
    </row>
    <row r="282" spans="1:5" x14ac:dyDescent="0.35">
      <c r="A282" t="s">
        <v>40</v>
      </c>
      <c r="D282" t="s">
        <v>758</v>
      </c>
    </row>
    <row r="283" spans="1:5" x14ac:dyDescent="0.35">
      <c r="D283" s="118" t="s">
        <v>405</v>
      </c>
    </row>
    <row r="284" spans="1:5" x14ac:dyDescent="0.35">
      <c r="A284" t="s">
        <v>41</v>
      </c>
      <c r="D284" t="s">
        <v>759</v>
      </c>
    </row>
    <row r="285" spans="1:5" x14ac:dyDescent="0.35">
      <c r="D285" s="118" t="s">
        <v>405</v>
      </c>
    </row>
    <row r="286" spans="1:5" x14ac:dyDescent="0.35">
      <c r="A286" t="s">
        <v>42</v>
      </c>
      <c r="D286" t="s">
        <v>760</v>
      </c>
    </row>
    <row r="287" spans="1:5" x14ac:dyDescent="0.35">
      <c r="D287" s="118" t="s">
        <v>411</v>
      </c>
    </row>
    <row r="288" spans="1:5" x14ac:dyDescent="0.35">
      <c r="A288" t="s">
        <v>43</v>
      </c>
      <c r="D288" t="s">
        <v>761</v>
      </c>
    </row>
    <row r="289" spans="1:5" x14ac:dyDescent="0.35">
      <c r="D289" s="118" t="s">
        <v>411</v>
      </c>
    </row>
    <row r="290" spans="1:5" x14ac:dyDescent="0.35">
      <c r="A290" t="s">
        <v>44</v>
      </c>
      <c r="D290" t="s">
        <v>762</v>
      </c>
    </row>
    <row r="291" spans="1:5" x14ac:dyDescent="0.35">
      <c r="D291" s="118" t="s">
        <v>411</v>
      </c>
    </row>
    <row r="292" spans="1:5" x14ac:dyDescent="0.35">
      <c r="A292" t="s">
        <v>45</v>
      </c>
      <c r="D292" t="s">
        <v>763</v>
      </c>
    </row>
    <row r="293" spans="1:5" x14ac:dyDescent="0.35">
      <c r="D293" s="118" t="s">
        <v>764</v>
      </c>
    </row>
    <row r="294" spans="1:5" x14ac:dyDescent="0.35">
      <c r="A294" t="s">
        <v>765</v>
      </c>
    </row>
    <row r="295" spans="1:5" x14ac:dyDescent="0.35">
      <c r="A295" t="s">
        <v>78</v>
      </c>
      <c r="E295" t="s">
        <v>766</v>
      </c>
    </row>
    <row r="296" spans="1:5" x14ac:dyDescent="0.35">
      <c r="E296" s="118" t="s">
        <v>303</v>
      </c>
    </row>
    <row r="297" spans="1:5" x14ac:dyDescent="0.35">
      <c r="A297" t="s">
        <v>79</v>
      </c>
      <c r="E297" t="s">
        <v>767</v>
      </c>
    </row>
    <row r="298" spans="1:5" x14ac:dyDescent="0.35">
      <c r="E298" s="118" t="s">
        <v>303</v>
      </c>
    </row>
    <row r="299" spans="1:5" x14ac:dyDescent="0.35">
      <c r="A299" t="s">
        <v>80</v>
      </c>
      <c r="E299" t="s">
        <v>768</v>
      </c>
    </row>
    <row r="300" spans="1:5" x14ac:dyDescent="0.35">
      <c r="E300" s="118" t="s">
        <v>304</v>
      </c>
    </row>
    <row r="301" spans="1:5" x14ac:dyDescent="0.35">
      <c r="A301" t="s">
        <v>81</v>
      </c>
      <c r="E301" t="s">
        <v>769</v>
      </c>
    </row>
    <row r="302" spans="1:5" x14ac:dyDescent="0.35">
      <c r="E302" s="118" t="s">
        <v>305</v>
      </c>
    </row>
    <row r="303" spans="1:5" x14ac:dyDescent="0.35">
      <c r="A303" t="s">
        <v>40</v>
      </c>
      <c r="D303" t="s">
        <v>770</v>
      </c>
    </row>
    <row r="304" spans="1:5" x14ac:dyDescent="0.35">
      <c r="D304" s="118" t="s">
        <v>305</v>
      </c>
    </row>
    <row r="305" spans="1:4" x14ac:dyDescent="0.35">
      <c r="A305" t="s">
        <v>41</v>
      </c>
      <c r="D305" t="s">
        <v>771</v>
      </c>
    </row>
    <row r="306" spans="1:4" x14ac:dyDescent="0.35">
      <c r="D306" s="118" t="s">
        <v>304</v>
      </c>
    </row>
    <row r="307" spans="1:4" x14ac:dyDescent="0.35">
      <c r="A307" t="s">
        <v>42</v>
      </c>
      <c r="D307" t="s">
        <v>772</v>
      </c>
    </row>
    <row r="308" spans="1:4" x14ac:dyDescent="0.35">
      <c r="D308" s="118" t="s">
        <v>534</v>
      </c>
    </row>
    <row r="309" spans="1:4" x14ac:dyDescent="0.35">
      <c r="A309" t="s">
        <v>43</v>
      </c>
      <c r="D309" t="s">
        <v>773</v>
      </c>
    </row>
    <row r="310" spans="1:4" x14ac:dyDescent="0.35">
      <c r="D310" s="118" t="s">
        <v>411</v>
      </c>
    </row>
    <row r="311" spans="1:4" x14ac:dyDescent="0.35">
      <c r="A311" t="s">
        <v>44</v>
      </c>
      <c r="D311" t="s">
        <v>774</v>
      </c>
    </row>
    <row r="312" spans="1:4" x14ac:dyDescent="0.35">
      <c r="D312" s="118" t="s">
        <v>534</v>
      </c>
    </row>
    <row r="313" spans="1:4" x14ac:dyDescent="0.35">
      <c r="A313" t="s">
        <v>45</v>
      </c>
      <c r="D313" t="s">
        <v>775</v>
      </c>
    </row>
    <row r="314" spans="1:4" x14ac:dyDescent="0.35">
      <c r="D314" s="118" t="s">
        <v>659</v>
      </c>
    </row>
    <row r="315" spans="1:4" x14ac:dyDescent="0.35">
      <c r="A315" t="s">
        <v>776</v>
      </c>
    </row>
    <row r="316" spans="1:4" x14ac:dyDescent="0.35">
      <c r="A316" t="s">
        <v>47</v>
      </c>
      <c r="C316" t="s">
        <v>777</v>
      </c>
    </row>
    <row r="317" spans="1:4" x14ac:dyDescent="0.35">
      <c r="C317" s="118" t="s">
        <v>303</v>
      </c>
    </row>
    <row r="318" spans="1:4" x14ac:dyDescent="0.35">
      <c r="A318" t="s">
        <v>48</v>
      </c>
      <c r="C318" t="s">
        <v>778</v>
      </c>
    </row>
    <row r="319" spans="1:4" x14ac:dyDescent="0.35">
      <c r="C319" s="118" t="s">
        <v>265</v>
      </c>
    </row>
    <row r="320" spans="1:4" x14ac:dyDescent="0.35">
      <c r="A320" t="s">
        <v>49</v>
      </c>
      <c r="C320" t="s">
        <v>779</v>
      </c>
    </row>
    <row r="321" spans="1:4" x14ac:dyDescent="0.35">
      <c r="C321" s="118" t="s">
        <v>303</v>
      </c>
    </row>
    <row r="322" spans="1:4" x14ac:dyDescent="0.35">
      <c r="A322" t="s">
        <v>50</v>
      </c>
      <c r="C322" t="s">
        <v>780</v>
      </c>
    </row>
    <row r="323" spans="1:4" x14ac:dyDescent="0.35">
      <c r="C323" s="118" t="s">
        <v>363</v>
      </c>
    </row>
    <row r="324" spans="1:4" x14ac:dyDescent="0.35">
      <c r="A324" t="s">
        <v>54</v>
      </c>
      <c r="D324" t="s">
        <v>781</v>
      </c>
    </row>
    <row r="325" spans="1:4" x14ac:dyDescent="0.35">
      <c r="D325" s="118" t="s">
        <v>305</v>
      </c>
    </row>
    <row r="326" spans="1:4" x14ac:dyDescent="0.35">
      <c r="A326" t="s">
        <v>55</v>
      </c>
      <c r="D326" t="s">
        <v>782</v>
      </c>
    </row>
    <row r="327" spans="1:4" x14ac:dyDescent="0.35">
      <c r="D327" s="118" t="s">
        <v>305</v>
      </c>
    </row>
    <row r="328" spans="1:4" x14ac:dyDescent="0.35">
      <c r="A328" t="s">
        <v>56</v>
      </c>
      <c r="D328" t="s">
        <v>783</v>
      </c>
    </row>
    <row r="329" spans="1:4" x14ac:dyDescent="0.35">
      <c r="D329" s="118" t="s">
        <v>405</v>
      </c>
    </row>
    <row r="330" spans="1:4" x14ac:dyDescent="0.35">
      <c r="A330" t="s">
        <v>57</v>
      </c>
      <c r="D330" t="s">
        <v>319</v>
      </c>
    </row>
    <row r="331" spans="1:4" x14ac:dyDescent="0.35">
      <c r="D331" s="118" t="s">
        <v>405</v>
      </c>
    </row>
    <row r="332" spans="1:4" x14ac:dyDescent="0.35">
      <c r="A332" t="s">
        <v>784</v>
      </c>
    </row>
    <row r="333" spans="1:4" x14ac:dyDescent="0.35">
      <c r="A333" t="s">
        <v>47</v>
      </c>
      <c r="C333" t="s">
        <v>785</v>
      </c>
    </row>
    <row r="334" spans="1:4" x14ac:dyDescent="0.35">
      <c r="C334" s="118" t="s">
        <v>303</v>
      </c>
    </row>
    <row r="335" spans="1:4" x14ac:dyDescent="0.35">
      <c r="A335" t="s">
        <v>48</v>
      </c>
      <c r="C335" t="s">
        <v>786</v>
      </c>
    </row>
    <row r="336" spans="1:4" x14ac:dyDescent="0.35">
      <c r="C336" s="118" t="s">
        <v>265</v>
      </c>
    </row>
    <row r="337" spans="1:4" x14ac:dyDescent="0.35">
      <c r="A337" t="s">
        <v>49</v>
      </c>
      <c r="C337" t="s">
        <v>787</v>
      </c>
    </row>
    <row r="338" spans="1:4" x14ac:dyDescent="0.35">
      <c r="C338" s="118" t="s">
        <v>303</v>
      </c>
    </row>
    <row r="339" spans="1:4" x14ac:dyDescent="0.35">
      <c r="A339" t="s">
        <v>50</v>
      </c>
      <c r="C339" t="s">
        <v>788</v>
      </c>
    </row>
    <row r="340" spans="1:4" x14ac:dyDescent="0.35">
      <c r="C340" s="118" t="s">
        <v>363</v>
      </c>
    </row>
    <row r="341" spans="1:4" x14ac:dyDescent="0.35">
      <c r="A341" t="s">
        <v>54</v>
      </c>
      <c r="D341" t="s">
        <v>789</v>
      </c>
    </row>
    <row r="342" spans="1:4" x14ac:dyDescent="0.35">
      <c r="D342" s="118" t="s">
        <v>305</v>
      </c>
    </row>
    <row r="343" spans="1:4" x14ac:dyDescent="0.35">
      <c r="A343" t="s">
        <v>55</v>
      </c>
      <c r="D343" t="s">
        <v>790</v>
      </c>
    </row>
    <row r="344" spans="1:4" x14ac:dyDescent="0.35">
      <c r="D344" s="118" t="s">
        <v>305</v>
      </c>
    </row>
    <row r="345" spans="1:4" x14ac:dyDescent="0.35">
      <c r="A345" t="s">
        <v>56</v>
      </c>
      <c r="D345" t="s">
        <v>791</v>
      </c>
    </row>
    <row r="346" spans="1:4" x14ac:dyDescent="0.35">
      <c r="D346" s="118" t="s">
        <v>534</v>
      </c>
    </row>
    <row r="347" spans="1:4" x14ac:dyDescent="0.35">
      <c r="A347" t="s">
        <v>57</v>
      </c>
      <c r="D347" t="s">
        <v>792</v>
      </c>
    </row>
    <row r="348" spans="1:4" x14ac:dyDescent="0.35">
      <c r="D348" s="118" t="s">
        <v>534</v>
      </c>
    </row>
    <row r="349" spans="1:4" x14ac:dyDescent="0.35">
      <c r="A349" t="s">
        <v>793</v>
      </c>
    </row>
    <row r="350" spans="1:4" x14ac:dyDescent="0.35">
      <c r="A350" t="s">
        <v>47</v>
      </c>
      <c r="C350" t="s">
        <v>794</v>
      </c>
    </row>
    <row r="351" spans="1:4" x14ac:dyDescent="0.35">
      <c r="C351" s="118" t="s">
        <v>305</v>
      </c>
    </row>
    <row r="352" spans="1:4" x14ac:dyDescent="0.35">
      <c r="A352" t="s">
        <v>48</v>
      </c>
      <c r="C352" t="s">
        <v>795</v>
      </c>
    </row>
    <row r="353" spans="1:4" x14ac:dyDescent="0.35">
      <c r="C353" s="118" t="s">
        <v>265</v>
      </c>
    </row>
    <row r="354" spans="1:4" x14ac:dyDescent="0.35">
      <c r="A354" t="s">
        <v>49</v>
      </c>
      <c r="C354" t="s">
        <v>794</v>
      </c>
    </row>
    <row r="355" spans="1:4" x14ac:dyDescent="0.35">
      <c r="C355" s="118" t="s">
        <v>303</v>
      </c>
    </row>
    <row r="356" spans="1:4" x14ac:dyDescent="0.35">
      <c r="A356" t="s">
        <v>50</v>
      </c>
      <c r="C356" t="s">
        <v>796</v>
      </c>
    </row>
    <row r="357" spans="1:4" x14ac:dyDescent="0.35">
      <c r="C357" s="118" t="s">
        <v>363</v>
      </c>
    </row>
    <row r="358" spans="1:4" x14ac:dyDescent="0.35">
      <c r="A358" t="s">
        <v>54</v>
      </c>
      <c r="D358" t="s">
        <v>797</v>
      </c>
    </row>
    <row r="359" spans="1:4" x14ac:dyDescent="0.35">
      <c r="D359" s="118" t="s">
        <v>305</v>
      </c>
    </row>
    <row r="360" spans="1:4" x14ac:dyDescent="0.35">
      <c r="A360" t="s">
        <v>55</v>
      </c>
      <c r="D360" t="s">
        <v>798</v>
      </c>
    </row>
    <row r="361" spans="1:4" x14ac:dyDescent="0.35">
      <c r="D361" s="118" t="s">
        <v>303</v>
      </c>
    </row>
    <row r="362" spans="1:4" x14ac:dyDescent="0.35">
      <c r="A362" t="s">
        <v>56</v>
      </c>
      <c r="D362" t="s">
        <v>799</v>
      </c>
    </row>
    <row r="363" spans="1:4" x14ac:dyDescent="0.35">
      <c r="D363" s="118" t="s">
        <v>411</v>
      </c>
    </row>
    <row r="364" spans="1:4" x14ac:dyDescent="0.35">
      <c r="A364" t="s">
        <v>57</v>
      </c>
      <c r="D364" t="s">
        <v>800</v>
      </c>
    </row>
    <row r="365" spans="1:4" x14ac:dyDescent="0.35">
      <c r="D365" s="118" t="s">
        <v>534</v>
      </c>
    </row>
    <row r="366" spans="1:4" x14ac:dyDescent="0.35">
      <c r="A366" t="s">
        <v>801</v>
      </c>
    </row>
    <row r="367" spans="1:4" x14ac:dyDescent="0.35">
      <c r="A367" t="s">
        <v>47</v>
      </c>
      <c r="C367" t="s">
        <v>802</v>
      </c>
    </row>
    <row r="368" spans="1:4" x14ac:dyDescent="0.35">
      <c r="C368" s="118" t="s">
        <v>305</v>
      </c>
    </row>
    <row r="369" spans="1:4" x14ac:dyDescent="0.35">
      <c r="A369" t="s">
        <v>48</v>
      </c>
      <c r="C369" t="s">
        <v>803</v>
      </c>
    </row>
    <row r="370" spans="1:4" x14ac:dyDescent="0.35">
      <c r="C370" s="118" t="s">
        <v>305</v>
      </c>
    </row>
    <row r="371" spans="1:4" x14ac:dyDescent="0.35">
      <c r="A371" t="s">
        <v>49</v>
      </c>
      <c r="C371" t="s">
        <v>804</v>
      </c>
    </row>
    <row r="372" spans="1:4" x14ac:dyDescent="0.35">
      <c r="C372" s="118" t="s">
        <v>304</v>
      </c>
    </row>
    <row r="373" spans="1:4" x14ac:dyDescent="0.35">
      <c r="A373" t="s">
        <v>50</v>
      </c>
      <c r="C373" t="s">
        <v>805</v>
      </c>
    </row>
    <row r="374" spans="1:4" x14ac:dyDescent="0.35">
      <c r="C374" s="118" t="s">
        <v>362</v>
      </c>
    </row>
    <row r="375" spans="1:4" x14ac:dyDescent="0.35">
      <c r="A375" t="s">
        <v>54</v>
      </c>
      <c r="D375" t="s">
        <v>806</v>
      </c>
    </row>
    <row r="376" spans="1:4" x14ac:dyDescent="0.35">
      <c r="D376" s="118" t="s">
        <v>305</v>
      </c>
    </row>
    <row r="377" spans="1:4" x14ac:dyDescent="0.35">
      <c r="A377" t="s">
        <v>55</v>
      </c>
      <c r="D377" t="s">
        <v>807</v>
      </c>
    </row>
    <row r="378" spans="1:4" x14ac:dyDescent="0.35">
      <c r="D378" s="118" t="s">
        <v>304</v>
      </c>
    </row>
    <row r="379" spans="1:4" x14ac:dyDescent="0.35">
      <c r="A379" t="s">
        <v>56</v>
      </c>
      <c r="D379" t="s">
        <v>808</v>
      </c>
    </row>
    <row r="380" spans="1:4" x14ac:dyDescent="0.35">
      <c r="D380" s="118" t="s">
        <v>534</v>
      </c>
    </row>
    <row r="381" spans="1:4" x14ac:dyDescent="0.35">
      <c r="A381" t="s">
        <v>57</v>
      </c>
      <c r="D381" t="s">
        <v>809</v>
      </c>
    </row>
    <row r="382" spans="1:4" x14ac:dyDescent="0.35">
      <c r="D382" s="118" t="s">
        <v>534</v>
      </c>
    </row>
    <row r="383" spans="1:4" x14ac:dyDescent="0.35">
      <c r="A383" t="s">
        <v>810</v>
      </c>
    </row>
    <row r="384" spans="1:4" x14ac:dyDescent="0.35">
      <c r="A384" t="s">
        <v>47</v>
      </c>
      <c r="C384" t="s">
        <v>811</v>
      </c>
    </row>
    <row r="385" spans="1:4" x14ac:dyDescent="0.35">
      <c r="C385" s="118" t="s">
        <v>411</v>
      </c>
    </row>
    <row r="386" spans="1:4" x14ac:dyDescent="0.35">
      <c r="A386" t="s">
        <v>48</v>
      </c>
      <c r="C386" t="s">
        <v>812</v>
      </c>
    </row>
    <row r="387" spans="1:4" x14ac:dyDescent="0.35">
      <c r="C387" s="118" t="s">
        <v>405</v>
      </c>
    </row>
    <row r="388" spans="1:4" x14ac:dyDescent="0.35">
      <c r="A388" t="s">
        <v>49</v>
      </c>
      <c r="C388" t="s">
        <v>813</v>
      </c>
    </row>
    <row r="389" spans="1:4" x14ac:dyDescent="0.35">
      <c r="C389" s="118" t="s">
        <v>659</v>
      </c>
    </row>
    <row r="390" spans="1:4" x14ac:dyDescent="0.35">
      <c r="A390" t="s">
        <v>50</v>
      </c>
      <c r="C390" t="s">
        <v>814</v>
      </c>
    </row>
    <row r="391" spans="1:4" x14ac:dyDescent="0.35">
      <c r="C391" s="118" t="s">
        <v>349</v>
      </c>
    </row>
    <row r="392" spans="1:4" x14ac:dyDescent="0.35">
      <c r="A392" t="s">
        <v>54</v>
      </c>
      <c r="D392" t="s">
        <v>815</v>
      </c>
    </row>
    <row r="393" spans="1:4" x14ac:dyDescent="0.35">
      <c r="D393" s="118" t="s">
        <v>411</v>
      </c>
    </row>
    <row r="394" spans="1:4" x14ac:dyDescent="0.35">
      <c r="A394" t="s">
        <v>55</v>
      </c>
      <c r="D394" t="s">
        <v>816</v>
      </c>
    </row>
    <row r="395" spans="1:4" x14ac:dyDescent="0.35">
      <c r="D395" s="118" t="s">
        <v>362</v>
      </c>
    </row>
    <row r="396" spans="1:4" x14ac:dyDescent="0.35">
      <c r="A396" t="s">
        <v>56</v>
      </c>
      <c r="D396" t="s">
        <v>817</v>
      </c>
    </row>
    <row r="397" spans="1:4" x14ac:dyDescent="0.35">
      <c r="D397" s="118" t="s">
        <v>752</v>
      </c>
    </row>
    <row r="398" spans="1:4" x14ac:dyDescent="0.35">
      <c r="A398" t="s">
        <v>57</v>
      </c>
      <c r="D398" t="s">
        <v>818</v>
      </c>
    </row>
    <row r="399" spans="1:4" x14ac:dyDescent="0.35">
      <c r="D399" s="118" t="s">
        <v>363</v>
      </c>
    </row>
    <row r="400" spans="1:4" x14ac:dyDescent="0.35">
      <c r="A400" t="s">
        <v>819</v>
      </c>
    </row>
    <row r="401" spans="1:3" x14ac:dyDescent="0.35">
      <c r="A401" t="s">
        <v>40</v>
      </c>
      <c r="C401" t="s">
        <v>309</v>
      </c>
    </row>
    <row r="402" spans="1:3" x14ac:dyDescent="0.35">
      <c r="C402" s="118" t="s">
        <v>265</v>
      </c>
    </row>
    <row r="403" spans="1:3" x14ac:dyDescent="0.35">
      <c r="A403" t="s">
        <v>41</v>
      </c>
      <c r="C403" t="s">
        <v>588</v>
      </c>
    </row>
    <row r="404" spans="1:3" x14ac:dyDescent="0.35">
      <c r="C404" s="118" t="s">
        <v>305</v>
      </c>
    </row>
    <row r="405" spans="1:3" x14ac:dyDescent="0.35">
      <c r="A405" t="s">
        <v>42</v>
      </c>
      <c r="C405" t="s">
        <v>537</v>
      </c>
    </row>
    <row r="406" spans="1:3" x14ac:dyDescent="0.35">
      <c r="C406" s="118" t="s">
        <v>305</v>
      </c>
    </row>
    <row r="407" spans="1:3" x14ac:dyDescent="0.35">
      <c r="A407" t="s">
        <v>43</v>
      </c>
      <c r="C407" t="s">
        <v>625</v>
      </c>
    </row>
    <row r="408" spans="1:3" x14ac:dyDescent="0.35">
      <c r="C408" s="118" t="s">
        <v>305</v>
      </c>
    </row>
    <row r="409" spans="1:3" x14ac:dyDescent="0.35">
      <c r="A409" t="s">
        <v>44</v>
      </c>
      <c r="C409" t="s">
        <v>820</v>
      </c>
    </row>
    <row r="410" spans="1:3" x14ac:dyDescent="0.35">
      <c r="C410" s="118" t="s">
        <v>303</v>
      </c>
    </row>
    <row r="411" spans="1:3" x14ac:dyDescent="0.35">
      <c r="A411" t="s">
        <v>45</v>
      </c>
      <c r="C411" t="s">
        <v>599</v>
      </c>
    </row>
    <row r="412" spans="1:3" x14ac:dyDescent="0.35">
      <c r="C412" s="118" t="s">
        <v>363</v>
      </c>
    </row>
    <row r="413" spans="1:3" x14ac:dyDescent="0.35">
      <c r="A413" t="s">
        <v>821</v>
      </c>
    </row>
    <row r="414" spans="1:3" x14ac:dyDescent="0.35">
      <c r="A414" t="s">
        <v>40</v>
      </c>
      <c r="C414" t="s">
        <v>822</v>
      </c>
    </row>
    <row r="415" spans="1:3" x14ac:dyDescent="0.35">
      <c r="C415" s="118" t="s">
        <v>303</v>
      </c>
    </row>
    <row r="416" spans="1:3" x14ac:dyDescent="0.35">
      <c r="A416" t="s">
        <v>41</v>
      </c>
      <c r="C416" t="s">
        <v>687</v>
      </c>
    </row>
    <row r="417" spans="1:3" x14ac:dyDescent="0.35">
      <c r="C417" s="118" t="s">
        <v>303</v>
      </c>
    </row>
    <row r="418" spans="1:3" x14ac:dyDescent="0.35">
      <c r="A418" t="s">
        <v>42</v>
      </c>
      <c r="C418" t="s">
        <v>537</v>
      </c>
    </row>
    <row r="419" spans="1:3" x14ac:dyDescent="0.35">
      <c r="C419" s="118" t="s">
        <v>303</v>
      </c>
    </row>
    <row r="420" spans="1:3" x14ac:dyDescent="0.35">
      <c r="A420" t="s">
        <v>43</v>
      </c>
      <c r="C420" t="s">
        <v>823</v>
      </c>
    </row>
    <row r="421" spans="1:3" x14ac:dyDescent="0.35">
      <c r="C421" s="118" t="s">
        <v>303</v>
      </c>
    </row>
    <row r="422" spans="1:3" x14ac:dyDescent="0.35">
      <c r="A422" t="s">
        <v>44</v>
      </c>
      <c r="C422" t="s">
        <v>824</v>
      </c>
    </row>
    <row r="423" spans="1:3" x14ac:dyDescent="0.35">
      <c r="C423" s="118" t="s">
        <v>303</v>
      </c>
    </row>
    <row r="424" spans="1:3" x14ac:dyDescent="0.35">
      <c r="A424" t="s">
        <v>45</v>
      </c>
      <c r="C424" t="s">
        <v>340</v>
      </c>
    </row>
    <row r="425" spans="1:3" x14ac:dyDescent="0.35">
      <c r="C425" s="118" t="s">
        <v>752</v>
      </c>
    </row>
    <row r="426" spans="1:3" x14ac:dyDescent="0.35">
      <c r="A426" t="s">
        <v>825</v>
      </c>
    </row>
    <row r="427" spans="1:3" x14ac:dyDescent="0.35">
      <c r="A427" t="s">
        <v>40</v>
      </c>
      <c r="C427" t="s">
        <v>826</v>
      </c>
    </row>
    <row r="428" spans="1:3" x14ac:dyDescent="0.35">
      <c r="C428" s="118" t="s">
        <v>363</v>
      </c>
    </row>
    <row r="429" spans="1:3" x14ac:dyDescent="0.35">
      <c r="A429" t="s">
        <v>41</v>
      </c>
      <c r="C429" t="s">
        <v>827</v>
      </c>
    </row>
    <row r="430" spans="1:3" x14ac:dyDescent="0.35">
      <c r="C430" s="118" t="s">
        <v>303</v>
      </c>
    </row>
    <row r="431" spans="1:3" x14ac:dyDescent="0.35">
      <c r="A431" t="s">
        <v>42</v>
      </c>
      <c r="C431" t="s">
        <v>828</v>
      </c>
    </row>
    <row r="432" spans="1:3" x14ac:dyDescent="0.35">
      <c r="C432" s="118" t="s">
        <v>303</v>
      </c>
    </row>
    <row r="433" spans="1:8" x14ac:dyDescent="0.35">
      <c r="A433" t="s">
        <v>43</v>
      </c>
      <c r="C433" t="s">
        <v>829</v>
      </c>
    </row>
    <row r="434" spans="1:8" x14ac:dyDescent="0.35">
      <c r="C434" s="118" t="s">
        <v>303</v>
      </c>
    </row>
    <row r="435" spans="1:8" x14ac:dyDescent="0.35">
      <c r="A435" t="s">
        <v>44</v>
      </c>
      <c r="C435" t="s">
        <v>830</v>
      </c>
    </row>
    <row r="436" spans="1:8" x14ac:dyDescent="0.35">
      <c r="C436" s="118" t="s">
        <v>304</v>
      </c>
    </row>
    <row r="437" spans="1:8" x14ac:dyDescent="0.35">
      <c r="A437" t="s">
        <v>45</v>
      </c>
      <c r="C437" t="s">
        <v>831</v>
      </c>
    </row>
    <row r="438" spans="1:8" x14ac:dyDescent="0.35">
      <c r="C438" s="118" t="s">
        <v>348</v>
      </c>
    </row>
    <row r="439" spans="1:8" x14ac:dyDescent="0.35">
      <c r="A439" t="s">
        <v>832</v>
      </c>
    </row>
    <row r="440" spans="1:8" x14ac:dyDescent="0.35">
      <c r="A440" t="s">
        <v>140</v>
      </c>
      <c r="B440">
        <v>65136882</v>
      </c>
      <c r="C440">
        <v>65136882</v>
      </c>
      <c r="D440">
        <v>65136882</v>
      </c>
      <c r="E440">
        <v>65136882</v>
      </c>
      <c r="F440">
        <v>65136882</v>
      </c>
      <c r="G440">
        <v>65136882</v>
      </c>
      <c r="H440">
        <v>65136882</v>
      </c>
    </row>
    <row r="441" spans="1:8" x14ac:dyDescent="0.35">
      <c r="A441" t="s">
        <v>833</v>
      </c>
    </row>
  </sheetData>
  <mergeCells count="472">
    <mergeCell ref="J261:J262"/>
    <mergeCell ref="K261:K262"/>
    <mergeCell ref="L261:L262"/>
    <mergeCell ref="M261:M262"/>
    <mergeCell ref="J263:J264"/>
    <mergeCell ref="K263:K264"/>
    <mergeCell ref="L263:L264"/>
    <mergeCell ref="M263:M264"/>
    <mergeCell ref="J257:J258"/>
    <mergeCell ref="K257:K258"/>
    <mergeCell ref="L257:L258"/>
    <mergeCell ref="M257:M258"/>
    <mergeCell ref="J259:J260"/>
    <mergeCell ref="K259:K260"/>
    <mergeCell ref="L259:L260"/>
    <mergeCell ref="M259:M260"/>
    <mergeCell ref="J253:J254"/>
    <mergeCell ref="K253:K254"/>
    <mergeCell ref="L253:L254"/>
    <mergeCell ref="M253:M254"/>
    <mergeCell ref="J255:J256"/>
    <mergeCell ref="K255:K256"/>
    <mergeCell ref="L255:L256"/>
    <mergeCell ref="M255:M256"/>
    <mergeCell ref="J249:J250"/>
    <mergeCell ref="K249:K250"/>
    <mergeCell ref="L249:L250"/>
    <mergeCell ref="M249:M250"/>
    <mergeCell ref="J251:J252"/>
    <mergeCell ref="K251:K252"/>
    <mergeCell ref="L251:L252"/>
    <mergeCell ref="M251:M252"/>
    <mergeCell ref="J245:J246"/>
    <mergeCell ref="K245:K246"/>
    <mergeCell ref="L245:L246"/>
    <mergeCell ref="M245:M246"/>
    <mergeCell ref="J247:J248"/>
    <mergeCell ref="K247:K248"/>
    <mergeCell ref="L247:L248"/>
    <mergeCell ref="M247:M248"/>
    <mergeCell ref="N239:N240"/>
    <mergeCell ref="J241:J242"/>
    <mergeCell ref="K241:K242"/>
    <mergeCell ref="L241:L242"/>
    <mergeCell ref="M241:M242"/>
    <mergeCell ref="J243:J244"/>
    <mergeCell ref="K243:K244"/>
    <mergeCell ref="L243:L244"/>
    <mergeCell ref="M243:M244"/>
    <mergeCell ref="J237:J238"/>
    <mergeCell ref="K237:K238"/>
    <mergeCell ref="L237:L238"/>
    <mergeCell ref="M237:M238"/>
    <mergeCell ref="K239:K240"/>
    <mergeCell ref="L239:L240"/>
    <mergeCell ref="M239:M240"/>
    <mergeCell ref="J233:J234"/>
    <mergeCell ref="K233:K234"/>
    <mergeCell ref="L233:L234"/>
    <mergeCell ref="M233:M234"/>
    <mergeCell ref="J235:J236"/>
    <mergeCell ref="K235:K236"/>
    <mergeCell ref="L235:L236"/>
    <mergeCell ref="M235:M236"/>
    <mergeCell ref="J229:J230"/>
    <mergeCell ref="K229:K230"/>
    <mergeCell ref="L229:L230"/>
    <mergeCell ref="M229:M230"/>
    <mergeCell ref="J231:J232"/>
    <mergeCell ref="K231:K232"/>
    <mergeCell ref="L231:L232"/>
    <mergeCell ref="M231:M232"/>
    <mergeCell ref="J225:J226"/>
    <mergeCell ref="K225:K226"/>
    <mergeCell ref="L225:L226"/>
    <mergeCell ref="M225:M226"/>
    <mergeCell ref="J227:J228"/>
    <mergeCell ref="K227:K228"/>
    <mergeCell ref="L227:L228"/>
    <mergeCell ref="M227:M228"/>
    <mergeCell ref="J221:J222"/>
    <mergeCell ref="K221:K222"/>
    <mergeCell ref="L221:L222"/>
    <mergeCell ref="M221:M222"/>
    <mergeCell ref="J223:J224"/>
    <mergeCell ref="K223:K224"/>
    <mergeCell ref="L223:L224"/>
    <mergeCell ref="M223:M224"/>
    <mergeCell ref="J217:J218"/>
    <mergeCell ref="K217:K218"/>
    <mergeCell ref="L217:L218"/>
    <mergeCell ref="M217:M218"/>
    <mergeCell ref="J219:J220"/>
    <mergeCell ref="K219:K220"/>
    <mergeCell ref="L219:L220"/>
    <mergeCell ref="M219:M220"/>
    <mergeCell ref="K213:K214"/>
    <mergeCell ref="L213:L214"/>
    <mergeCell ref="M213:M214"/>
    <mergeCell ref="N213:N214"/>
    <mergeCell ref="J215:J216"/>
    <mergeCell ref="K215:K216"/>
    <mergeCell ref="L215:L216"/>
    <mergeCell ref="M215:M216"/>
    <mergeCell ref="J209:J210"/>
    <mergeCell ref="K209:K210"/>
    <mergeCell ref="L209:L210"/>
    <mergeCell ref="N209:N210"/>
    <mergeCell ref="J211:J212"/>
    <mergeCell ref="K211:K212"/>
    <mergeCell ref="L211:L212"/>
    <mergeCell ref="N211:N212"/>
    <mergeCell ref="J205:J206"/>
    <mergeCell ref="K205:K206"/>
    <mergeCell ref="L205:L206"/>
    <mergeCell ref="N205:N206"/>
    <mergeCell ref="J207:J208"/>
    <mergeCell ref="K207:K208"/>
    <mergeCell ref="L207:L208"/>
    <mergeCell ref="N207:N208"/>
    <mergeCell ref="J199:J200"/>
    <mergeCell ref="K199:K200"/>
    <mergeCell ref="L199:L200"/>
    <mergeCell ref="N199:N200"/>
    <mergeCell ref="J201:J204"/>
    <mergeCell ref="K201:K204"/>
    <mergeCell ref="L201:L204"/>
    <mergeCell ref="N201:N204"/>
    <mergeCell ref="J195:J196"/>
    <mergeCell ref="K195:K196"/>
    <mergeCell ref="L195:L196"/>
    <mergeCell ref="N195:N196"/>
    <mergeCell ref="J197:J198"/>
    <mergeCell ref="K197:K198"/>
    <mergeCell ref="L197:L198"/>
    <mergeCell ref="N197:N198"/>
    <mergeCell ref="J191:J192"/>
    <mergeCell ref="K191:K192"/>
    <mergeCell ref="L191:L192"/>
    <mergeCell ref="N191:N192"/>
    <mergeCell ref="J193:J194"/>
    <mergeCell ref="K193:K194"/>
    <mergeCell ref="L193:L194"/>
    <mergeCell ref="N193:N194"/>
    <mergeCell ref="J187:J188"/>
    <mergeCell ref="K187:K188"/>
    <mergeCell ref="L187:L188"/>
    <mergeCell ref="N187:N188"/>
    <mergeCell ref="J189:J190"/>
    <mergeCell ref="K189:K190"/>
    <mergeCell ref="L189:L190"/>
    <mergeCell ref="N189:N190"/>
    <mergeCell ref="J183:J184"/>
    <mergeCell ref="K183:K184"/>
    <mergeCell ref="L183:L184"/>
    <mergeCell ref="N183:N184"/>
    <mergeCell ref="J185:J186"/>
    <mergeCell ref="K185:K186"/>
    <mergeCell ref="L185:L186"/>
    <mergeCell ref="N185:N186"/>
    <mergeCell ref="J179:J180"/>
    <mergeCell ref="K179:K180"/>
    <mergeCell ref="L179:L180"/>
    <mergeCell ref="N179:N180"/>
    <mergeCell ref="J181:J182"/>
    <mergeCell ref="K181:K182"/>
    <mergeCell ref="L181:L182"/>
    <mergeCell ref="N181:N182"/>
    <mergeCell ref="J175:J176"/>
    <mergeCell ref="K175:K176"/>
    <mergeCell ref="L175:L176"/>
    <mergeCell ref="N175:N176"/>
    <mergeCell ref="J177:J178"/>
    <mergeCell ref="K177:K178"/>
    <mergeCell ref="L177:L178"/>
    <mergeCell ref="N177:N178"/>
    <mergeCell ref="J171:J172"/>
    <mergeCell ref="K171:K172"/>
    <mergeCell ref="L171:L172"/>
    <mergeCell ref="N171:N172"/>
    <mergeCell ref="J173:J174"/>
    <mergeCell ref="K173:K174"/>
    <mergeCell ref="L173:L174"/>
    <mergeCell ref="N173:N174"/>
    <mergeCell ref="J167:J168"/>
    <mergeCell ref="K167:K168"/>
    <mergeCell ref="L167:L168"/>
    <mergeCell ref="N167:N168"/>
    <mergeCell ref="K169:K170"/>
    <mergeCell ref="L169:L170"/>
    <mergeCell ref="M169:M170"/>
    <mergeCell ref="N169:N170"/>
    <mergeCell ref="J163:J164"/>
    <mergeCell ref="K163:K164"/>
    <mergeCell ref="L163:L164"/>
    <mergeCell ref="N163:N164"/>
    <mergeCell ref="J165:J166"/>
    <mergeCell ref="K165:K166"/>
    <mergeCell ref="L165:L166"/>
    <mergeCell ref="N165:N166"/>
    <mergeCell ref="J159:J160"/>
    <mergeCell ref="K159:K160"/>
    <mergeCell ref="L159:L160"/>
    <mergeCell ref="N159:N160"/>
    <mergeCell ref="J161:J162"/>
    <mergeCell ref="K161:K162"/>
    <mergeCell ref="L161:L162"/>
    <mergeCell ref="N161:N162"/>
    <mergeCell ref="J155:J156"/>
    <mergeCell ref="K155:K156"/>
    <mergeCell ref="L155:L156"/>
    <mergeCell ref="N155:N156"/>
    <mergeCell ref="J157:J158"/>
    <mergeCell ref="K157:K158"/>
    <mergeCell ref="L157:L158"/>
    <mergeCell ref="N157:N158"/>
    <mergeCell ref="J151:J152"/>
    <mergeCell ref="K151:K152"/>
    <mergeCell ref="L151:L152"/>
    <mergeCell ref="N151:N152"/>
    <mergeCell ref="J153:J154"/>
    <mergeCell ref="K153:K154"/>
    <mergeCell ref="L153:L154"/>
    <mergeCell ref="N153:N154"/>
    <mergeCell ref="J147:J148"/>
    <mergeCell ref="K147:K148"/>
    <mergeCell ref="L147:L148"/>
    <mergeCell ref="N147:N148"/>
    <mergeCell ref="J149:J150"/>
    <mergeCell ref="K149:K150"/>
    <mergeCell ref="L149:L150"/>
    <mergeCell ref="N149:N150"/>
    <mergeCell ref="J143:J144"/>
    <mergeCell ref="K143:K144"/>
    <mergeCell ref="L143:L144"/>
    <mergeCell ref="N143:N144"/>
    <mergeCell ref="J145:J146"/>
    <mergeCell ref="K145:K146"/>
    <mergeCell ref="L145:L146"/>
    <mergeCell ref="N145:N146"/>
    <mergeCell ref="J139:J140"/>
    <mergeCell ref="K139:K140"/>
    <mergeCell ref="L139:L140"/>
    <mergeCell ref="N139:N140"/>
    <mergeCell ref="J141:J142"/>
    <mergeCell ref="K141:K142"/>
    <mergeCell ref="L141:L142"/>
    <mergeCell ref="N141:N142"/>
    <mergeCell ref="J135:J136"/>
    <mergeCell ref="K135:K136"/>
    <mergeCell ref="L135:L136"/>
    <mergeCell ref="N135:N136"/>
    <mergeCell ref="J137:J138"/>
    <mergeCell ref="K137:K138"/>
    <mergeCell ref="L137:L138"/>
    <mergeCell ref="N137:N138"/>
    <mergeCell ref="K131:K132"/>
    <mergeCell ref="L131:L132"/>
    <mergeCell ref="M131:M132"/>
    <mergeCell ref="N131:N132"/>
    <mergeCell ref="J133:J134"/>
    <mergeCell ref="K133:K134"/>
    <mergeCell ref="L133:L134"/>
    <mergeCell ref="N133:N134"/>
    <mergeCell ref="J127:J128"/>
    <mergeCell ref="K127:K128"/>
    <mergeCell ref="M127:M128"/>
    <mergeCell ref="N127:N128"/>
    <mergeCell ref="J129:J130"/>
    <mergeCell ref="K129:K130"/>
    <mergeCell ref="M129:M130"/>
    <mergeCell ref="N129:N130"/>
    <mergeCell ref="J123:J124"/>
    <mergeCell ref="K123:K124"/>
    <mergeCell ref="M123:M124"/>
    <mergeCell ref="N123:N124"/>
    <mergeCell ref="J125:J126"/>
    <mergeCell ref="K125:K126"/>
    <mergeCell ref="M125:M126"/>
    <mergeCell ref="N125:N126"/>
    <mergeCell ref="J119:J120"/>
    <mergeCell ref="K119:K120"/>
    <mergeCell ref="M119:M120"/>
    <mergeCell ref="N119:N120"/>
    <mergeCell ref="J121:J122"/>
    <mergeCell ref="K121:K122"/>
    <mergeCell ref="M121:M122"/>
    <mergeCell ref="N121:N122"/>
    <mergeCell ref="J115:J116"/>
    <mergeCell ref="K115:K116"/>
    <mergeCell ref="M115:M116"/>
    <mergeCell ref="N115:N116"/>
    <mergeCell ref="J117:J118"/>
    <mergeCell ref="K117:K118"/>
    <mergeCell ref="M117:M118"/>
    <mergeCell ref="N117:N118"/>
    <mergeCell ref="J111:J112"/>
    <mergeCell ref="K111:K112"/>
    <mergeCell ref="M111:M112"/>
    <mergeCell ref="N111:N112"/>
    <mergeCell ref="J113:J114"/>
    <mergeCell ref="K113:K114"/>
    <mergeCell ref="M113:M114"/>
    <mergeCell ref="N113:N114"/>
    <mergeCell ref="J107:J108"/>
    <mergeCell ref="K107:K108"/>
    <mergeCell ref="M107:M108"/>
    <mergeCell ref="N107:N108"/>
    <mergeCell ref="J109:J110"/>
    <mergeCell ref="K109:K110"/>
    <mergeCell ref="M109:M110"/>
    <mergeCell ref="N109:N110"/>
    <mergeCell ref="J103:J104"/>
    <mergeCell ref="K103:K104"/>
    <mergeCell ref="M103:M104"/>
    <mergeCell ref="N103:N104"/>
    <mergeCell ref="J105:J106"/>
    <mergeCell ref="K105:K106"/>
    <mergeCell ref="M105:M106"/>
    <mergeCell ref="N105:N106"/>
    <mergeCell ref="J99:J100"/>
    <mergeCell ref="K99:K100"/>
    <mergeCell ref="M99:M100"/>
    <mergeCell ref="N99:N100"/>
    <mergeCell ref="J101:J102"/>
    <mergeCell ref="K101:K102"/>
    <mergeCell ref="M101:M102"/>
    <mergeCell ref="N101:N102"/>
    <mergeCell ref="J95:J96"/>
    <mergeCell ref="K95:K96"/>
    <mergeCell ref="M95:M96"/>
    <mergeCell ref="N95:N96"/>
    <mergeCell ref="J97:J98"/>
    <mergeCell ref="K97:K98"/>
    <mergeCell ref="M97:M98"/>
    <mergeCell ref="N97:N98"/>
    <mergeCell ref="J91:J92"/>
    <mergeCell ref="K91:K92"/>
    <mergeCell ref="M91:M92"/>
    <mergeCell ref="N91:N92"/>
    <mergeCell ref="K93:K94"/>
    <mergeCell ref="L93:L94"/>
    <mergeCell ref="M93:M94"/>
    <mergeCell ref="N93:N94"/>
    <mergeCell ref="J87:J88"/>
    <mergeCell ref="K87:K88"/>
    <mergeCell ref="M87:M88"/>
    <mergeCell ref="N87:N88"/>
    <mergeCell ref="J89:J90"/>
    <mergeCell ref="K89:K90"/>
    <mergeCell ref="M89:M90"/>
    <mergeCell ref="N89:N90"/>
    <mergeCell ref="J81:J84"/>
    <mergeCell ref="K81:K84"/>
    <mergeCell ref="M81:M84"/>
    <mergeCell ref="N81:N84"/>
    <mergeCell ref="J85:J86"/>
    <mergeCell ref="K85:K86"/>
    <mergeCell ref="M85:M86"/>
    <mergeCell ref="N85:N86"/>
    <mergeCell ref="J77:J78"/>
    <mergeCell ref="K77:K78"/>
    <mergeCell ref="M77:M78"/>
    <mergeCell ref="N77:N78"/>
    <mergeCell ref="J79:J80"/>
    <mergeCell ref="K79:K80"/>
    <mergeCell ref="M79:M80"/>
    <mergeCell ref="N79:N80"/>
    <mergeCell ref="J73:J74"/>
    <mergeCell ref="K73:K74"/>
    <mergeCell ref="M73:M74"/>
    <mergeCell ref="N73:N74"/>
    <mergeCell ref="J75:J76"/>
    <mergeCell ref="K75:K76"/>
    <mergeCell ref="M75:M76"/>
    <mergeCell ref="N75:N76"/>
    <mergeCell ref="J69:J70"/>
    <mergeCell ref="K69:K70"/>
    <mergeCell ref="M69:M70"/>
    <mergeCell ref="N69:N70"/>
    <mergeCell ref="J71:J72"/>
    <mergeCell ref="K71:K72"/>
    <mergeCell ref="M71:M72"/>
    <mergeCell ref="N71:N72"/>
    <mergeCell ref="J65:J66"/>
    <mergeCell ref="K65:K66"/>
    <mergeCell ref="M65:M66"/>
    <mergeCell ref="N65:N66"/>
    <mergeCell ref="J67:J68"/>
    <mergeCell ref="K67:K68"/>
    <mergeCell ref="M67:M68"/>
    <mergeCell ref="N67:N68"/>
    <mergeCell ref="J61:J62"/>
    <mergeCell ref="K61:K62"/>
    <mergeCell ref="M61:M62"/>
    <mergeCell ref="N61:N62"/>
    <mergeCell ref="J63:J64"/>
    <mergeCell ref="K63:K64"/>
    <mergeCell ref="M63:M64"/>
    <mergeCell ref="N63:N64"/>
    <mergeCell ref="J57:J58"/>
    <mergeCell ref="K57:K58"/>
    <mergeCell ref="M57:M58"/>
    <mergeCell ref="N57:N58"/>
    <mergeCell ref="J59:J60"/>
    <mergeCell ref="K59:K60"/>
    <mergeCell ref="M59:M60"/>
    <mergeCell ref="N59:N60"/>
    <mergeCell ref="J53:J54"/>
    <mergeCell ref="K53:K54"/>
    <mergeCell ref="M53:M54"/>
    <mergeCell ref="N53:N54"/>
    <mergeCell ref="J55:J56"/>
    <mergeCell ref="K55:K56"/>
    <mergeCell ref="M55:M56"/>
    <mergeCell ref="N55:N56"/>
    <mergeCell ref="K49:K50"/>
    <mergeCell ref="L49:L50"/>
    <mergeCell ref="M49:M50"/>
    <mergeCell ref="N49:N50"/>
    <mergeCell ref="J51:J52"/>
    <mergeCell ref="K51:K52"/>
    <mergeCell ref="M51:M52"/>
    <mergeCell ref="N51:N52"/>
    <mergeCell ref="J38:J39"/>
    <mergeCell ref="N38:N39"/>
    <mergeCell ref="J41:J42"/>
    <mergeCell ref="J43:J44"/>
    <mergeCell ref="J45:J46"/>
    <mergeCell ref="K47:K48"/>
    <mergeCell ref="L47:L48"/>
    <mergeCell ref="M47:M48"/>
    <mergeCell ref="N47:N48"/>
    <mergeCell ref="J31:J32"/>
    <mergeCell ref="M31:M32"/>
    <mergeCell ref="N31:N32"/>
    <mergeCell ref="J34:J35"/>
    <mergeCell ref="N34:N35"/>
    <mergeCell ref="J36:J37"/>
    <mergeCell ref="N36:N37"/>
    <mergeCell ref="J27:J28"/>
    <mergeCell ref="M27:M28"/>
    <mergeCell ref="N27:N28"/>
    <mergeCell ref="J29:J30"/>
    <mergeCell ref="M29:M30"/>
    <mergeCell ref="N29:N30"/>
    <mergeCell ref="J20:J21"/>
    <mergeCell ref="L20:L21"/>
    <mergeCell ref="J22:J23"/>
    <mergeCell ref="L22:L23"/>
    <mergeCell ref="J24:J25"/>
    <mergeCell ref="L24:L25"/>
    <mergeCell ref="J15:J16"/>
    <mergeCell ref="L15:L16"/>
    <mergeCell ref="M15:M16"/>
    <mergeCell ref="J17:J18"/>
    <mergeCell ref="L17:L18"/>
    <mergeCell ref="M17:M18"/>
    <mergeCell ref="M9:M10"/>
    <mergeCell ref="J11:J12"/>
    <mergeCell ref="L11:L12"/>
    <mergeCell ref="M11:M12"/>
    <mergeCell ref="J13:J14"/>
    <mergeCell ref="L13:L14"/>
    <mergeCell ref="M13:M14"/>
    <mergeCell ref="A1:H1"/>
    <mergeCell ref="J2:J4"/>
    <mergeCell ref="L2:L4"/>
    <mergeCell ref="J6:J7"/>
    <mergeCell ref="J9:J10"/>
    <mergeCell ref="L9:L10"/>
    <mergeCell ref="J1:N1"/>
  </mergeCells>
  <pageMargins left="0.7" right="0.7" top="0.75" bottom="0.75" header="0.3" footer="0.3"/>
  <headerFooter>
    <oddHeader>&amp;L&amp;"Aptos"&amp;10&amp;K2FB5E4 | DNB UNRESTRICTED |&amp;1#_x000D_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0ADD8-2C04-48B5-97F6-7814F3A8B7D3}">
  <dimension ref="A2:O26"/>
  <sheetViews>
    <sheetView zoomScale="106" zoomScaleNormal="106" workbookViewId="0">
      <selection activeCell="K6" sqref="K6"/>
    </sheetView>
  </sheetViews>
  <sheetFormatPr defaultColWidth="11.54296875" defaultRowHeight="12.75" customHeight="1" x14ac:dyDescent="0.25"/>
  <cols>
    <col min="1" max="1" width="11.54296875" style="18"/>
    <col min="2" max="2" width="5.7265625" style="81" customWidth="1"/>
    <col min="3" max="16384" width="11.54296875" style="18"/>
  </cols>
  <sheetData>
    <row r="2" spans="1:15" ht="13" x14ac:dyDescent="0.3">
      <c r="A2" s="80" t="s">
        <v>217</v>
      </c>
      <c r="J2" s="87" t="s">
        <v>222</v>
      </c>
      <c r="K2" s="88"/>
      <c r="L2" s="88"/>
      <c r="M2" s="88"/>
      <c r="N2" s="88"/>
      <c r="O2" s="88"/>
    </row>
    <row r="3" spans="1:15" ht="12.75" customHeight="1" x14ac:dyDescent="0.25">
      <c r="J3" s="88"/>
      <c r="K3" s="88"/>
      <c r="L3" s="88"/>
      <c r="M3" s="88"/>
      <c r="N3" s="88"/>
      <c r="O3" s="88"/>
    </row>
    <row r="4" spans="1:15" ht="12.5" x14ac:dyDescent="0.25">
      <c r="C4" s="18" t="s">
        <v>188</v>
      </c>
      <c r="D4" s="81" t="s">
        <v>189</v>
      </c>
      <c r="E4" s="81" t="s">
        <v>56</v>
      </c>
      <c r="F4" s="81" t="s">
        <v>57</v>
      </c>
      <c r="G4" s="81" t="s">
        <v>2</v>
      </c>
      <c r="H4" s="81"/>
      <c r="I4" s="81"/>
      <c r="J4" s="88"/>
      <c r="K4" s="88"/>
      <c r="L4" s="88"/>
      <c r="M4" s="88"/>
      <c r="N4" s="88"/>
      <c r="O4" s="88"/>
    </row>
    <row r="5" spans="1:15" ht="12.75" customHeight="1" x14ac:dyDescent="0.25">
      <c r="J5" s="88"/>
      <c r="K5" s="88" t="s">
        <v>188</v>
      </c>
      <c r="L5" s="89" t="s">
        <v>59</v>
      </c>
      <c r="M5" s="89" t="s">
        <v>60</v>
      </c>
      <c r="N5" s="89" t="s">
        <v>61</v>
      </c>
      <c r="O5" s="89" t="s">
        <v>2</v>
      </c>
    </row>
    <row r="6" spans="1:15" ht="12.5" x14ac:dyDescent="0.25">
      <c r="A6" s="82" t="s">
        <v>111</v>
      </c>
      <c r="B6" s="81">
        <v>1</v>
      </c>
      <c r="C6" s="37">
        <v>53688</v>
      </c>
      <c r="D6" s="37">
        <v>14342</v>
      </c>
      <c r="E6" s="37">
        <v>1219</v>
      </c>
      <c r="F6" s="37">
        <v>33197</v>
      </c>
      <c r="G6" s="37">
        <v>102446</v>
      </c>
      <c r="H6" s="18" t="b">
        <f>SUM(C6:F6)=G6</f>
        <v>1</v>
      </c>
      <c r="J6" s="90" t="s">
        <v>111</v>
      </c>
      <c r="K6" s="91">
        <f>C6/$G6</f>
        <v>0.52406145676746774</v>
      </c>
      <c r="L6" s="91">
        <f t="shared" ref="L6:N6" si="0">D6/$G6</f>
        <v>0.13999570505437012</v>
      </c>
      <c r="M6" s="91">
        <f t="shared" si="0"/>
        <v>1.1898951642816704E-2</v>
      </c>
      <c r="N6" s="91">
        <f t="shared" si="0"/>
        <v>0.32404388653534544</v>
      </c>
      <c r="O6" s="91">
        <f>SUM(K6:N6)</f>
        <v>1</v>
      </c>
    </row>
    <row r="7" spans="1:15" ht="12.5" x14ac:dyDescent="0.25">
      <c r="A7" s="82" t="s">
        <v>112</v>
      </c>
      <c r="B7" s="81">
        <v>3</v>
      </c>
      <c r="C7" s="37">
        <v>597855</v>
      </c>
      <c r="D7" s="37">
        <v>100985</v>
      </c>
      <c r="E7" s="37">
        <v>457</v>
      </c>
      <c r="F7" s="37">
        <v>27427</v>
      </c>
      <c r="G7" s="37">
        <v>726724</v>
      </c>
      <c r="H7" s="18" t="b">
        <f t="shared" ref="H7:H25" si="1">SUM(C7:F7)=G7</f>
        <v>1</v>
      </c>
      <c r="J7" s="90" t="s">
        <v>180</v>
      </c>
      <c r="K7" s="91">
        <f t="shared" ref="K7:K23" si="2">C7/$G7</f>
        <v>0.82267133051887653</v>
      </c>
      <c r="L7" s="91">
        <f t="shared" ref="L7:L23" si="3">D7/$G7</f>
        <v>0.13895921973128725</v>
      </c>
      <c r="M7" s="91">
        <f t="shared" ref="M7:M23" si="4">E7/$G7</f>
        <v>6.288494669227933E-4</v>
      </c>
      <c r="N7" s="91">
        <f t="shared" ref="N7:N23" si="5">F7/$G7</f>
        <v>3.7740600282913456E-2</v>
      </c>
      <c r="O7" s="91">
        <f t="shared" ref="O7:O23" si="6">SUM(K7:N7)</f>
        <v>1</v>
      </c>
    </row>
    <row r="8" spans="1:15" ht="12.5" x14ac:dyDescent="0.25">
      <c r="A8" s="82" t="s">
        <v>113</v>
      </c>
      <c r="B8" s="81">
        <v>4</v>
      </c>
      <c r="C8" s="37">
        <v>64064</v>
      </c>
      <c r="D8" s="37">
        <v>12310</v>
      </c>
      <c r="E8" s="37"/>
      <c r="F8" s="37"/>
      <c r="G8" s="37">
        <v>77283</v>
      </c>
      <c r="H8" s="85" t="b">
        <f t="shared" si="1"/>
        <v>0</v>
      </c>
      <c r="J8" s="90" t="s">
        <v>224</v>
      </c>
      <c r="K8" s="91">
        <f t="shared" si="2"/>
        <v>0.82895332738118344</v>
      </c>
      <c r="L8" s="91">
        <f t="shared" si="3"/>
        <v>0.15928470685661789</v>
      </c>
      <c r="M8" s="86"/>
      <c r="N8" s="86">
        <f>1-K8-L8</f>
        <v>1.1761965762198678E-2</v>
      </c>
      <c r="O8" s="91">
        <f t="shared" si="6"/>
        <v>1</v>
      </c>
    </row>
    <row r="9" spans="1:15" ht="12.5" x14ac:dyDescent="0.25">
      <c r="A9" s="82" t="s">
        <v>171</v>
      </c>
      <c r="B9" s="81">
        <v>6</v>
      </c>
      <c r="C9" s="37">
        <v>272373</v>
      </c>
      <c r="D9" s="37">
        <v>50268</v>
      </c>
      <c r="E9" s="83">
        <v>1063</v>
      </c>
      <c r="F9" s="83">
        <v>9426</v>
      </c>
      <c r="G9" s="37">
        <v>333130</v>
      </c>
      <c r="H9" s="18" t="b">
        <f t="shared" si="1"/>
        <v>1</v>
      </c>
      <c r="J9" s="90" t="s">
        <v>114</v>
      </c>
      <c r="K9" s="91">
        <f t="shared" si="2"/>
        <v>0.81761774682556354</v>
      </c>
      <c r="L9" s="91">
        <f t="shared" si="3"/>
        <v>0.15089604658841893</v>
      </c>
      <c r="M9" s="91">
        <f t="shared" si="4"/>
        <v>3.1909464773511842E-3</v>
      </c>
      <c r="N9" s="91">
        <f t="shared" si="5"/>
        <v>2.8295260108666287E-2</v>
      </c>
      <c r="O9" s="91">
        <f t="shared" si="6"/>
        <v>1</v>
      </c>
    </row>
    <row r="10" spans="1:15" ht="12.5" x14ac:dyDescent="0.25">
      <c r="A10" s="82" t="s">
        <v>115</v>
      </c>
      <c r="B10" s="81">
        <v>7</v>
      </c>
      <c r="C10" s="37">
        <v>744597</v>
      </c>
      <c r="D10" s="37">
        <v>340724</v>
      </c>
      <c r="E10" s="83">
        <v>487</v>
      </c>
      <c r="F10" s="83">
        <v>273310</v>
      </c>
      <c r="G10" s="37">
        <v>1359118</v>
      </c>
      <c r="H10" s="18" t="b">
        <f t="shared" si="1"/>
        <v>1</v>
      </c>
      <c r="J10" s="90" t="s">
        <v>115</v>
      </c>
      <c r="K10" s="91">
        <f t="shared" si="2"/>
        <v>0.54785309296175899</v>
      </c>
      <c r="L10" s="91">
        <f t="shared" si="3"/>
        <v>0.25069493598054032</v>
      </c>
      <c r="M10" s="91">
        <f t="shared" si="4"/>
        <v>3.5832061675292361E-4</v>
      </c>
      <c r="N10" s="91">
        <f t="shared" si="5"/>
        <v>0.20109365044094774</v>
      </c>
      <c r="O10" s="91">
        <f t="shared" si="6"/>
        <v>0.99999999999999989</v>
      </c>
    </row>
    <row r="11" spans="1:15" ht="12.5" x14ac:dyDescent="0.25">
      <c r="A11" s="82" t="s">
        <v>172</v>
      </c>
      <c r="B11" s="81">
        <v>8</v>
      </c>
      <c r="C11" s="37">
        <v>288287</v>
      </c>
      <c r="D11" s="37">
        <v>64968</v>
      </c>
      <c r="E11" s="37">
        <v>209</v>
      </c>
      <c r="F11" s="37">
        <v>33401</v>
      </c>
      <c r="G11" s="37">
        <v>386865</v>
      </c>
      <c r="H11" s="18" t="b">
        <f t="shared" si="1"/>
        <v>1</v>
      </c>
      <c r="J11" s="90" t="s">
        <v>116</v>
      </c>
      <c r="K11" s="91">
        <f t="shared" si="2"/>
        <v>0.745187597740814</v>
      </c>
      <c r="L11" s="91">
        <f t="shared" si="3"/>
        <v>0.16793455081229886</v>
      </c>
      <c r="M11" s="91">
        <f t="shared" si="4"/>
        <v>5.4024013544776606E-4</v>
      </c>
      <c r="N11" s="91">
        <f t="shared" si="5"/>
        <v>8.6337611311439397E-2</v>
      </c>
      <c r="O11" s="91">
        <f t="shared" si="6"/>
        <v>1</v>
      </c>
    </row>
    <row r="12" spans="1:15" ht="12.5" x14ac:dyDescent="0.25">
      <c r="A12" s="82" t="s">
        <v>117</v>
      </c>
      <c r="B12" s="81">
        <v>9</v>
      </c>
      <c r="C12" s="37">
        <v>109276</v>
      </c>
      <c r="D12" s="37">
        <v>96063</v>
      </c>
      <c r="E12" s="37">
        <v>89</v>
      </c>
      <c r="F12" s="37">
        <v>241419</v>
      </c>
      <c r="G12" s="37">
        <v>446847</v>
      </c>
      <c r="H12" s="18" t="b">
        <f t="shared" si="1"/>
        <v>1</v>
      </c>
      <c r="J12" s="90" t="s">
        <v>117</v>
      </c>
      <c r="K12" s="91">
        <f t="shared" si="2"/>
        <v>0.24454902908601825</v>
      </c>
      <c r="L12" s="91">
        <f t="shared" si="3"/>
        <v>0.21497962389811279</v>
      </c>
      <c r="M12" s="91">
        <f t="shared" si="4"/>
        <v>1.991733188317254E-4</v>
      </c>
      <c r="N12" s="91">
        <f t="shared" si="5"/>
        <v>0.54027217369703728</v>
      </c>
      <c r="O12" s="91">
        <f t="shared" si="6"/>
        <v>1</v>
      </c>
    </row>
    <row r="13" spans="1:15" ht="12.5" x14ac:dyDescent="0.25">
      <c r="A13" s="82" t="s">
        <v>25</v>
      </c>
      <c r="B13" s="81">
        <v>10</v>
      </c>
      <c r="C13" s="37">
        <v>238869</v>
      </c>
      <c r="D13" s="37">
        <v>51975</v>
      </c>
      <c r="E13" s="37">
        <v>475</v>
      </c>
      <c r="F13" s="37">
        <v>8933</v>
      </c>
      <c r="G13" s="37">
        <v>300252</v>
      </c>
      <c r="H13" s="18" t="b">
        <f t="shared" si="1"/>
        <v>1</v>
      </c>
      <c r="J13" s="90" t="s">
        <v>25</v>
      </c>
      <c r="K13" s="91">
        <f t="shared" si="2"/>
        <v>0.79556172814835535</v>
      </c>
      <c r="L13" s="91">
        <f t="shared" si="3"/>
        <v>0.17310459214260021</v>
      </c>
      <c r="M13" s="91">
        <f t="shared" si="4"/>
        <v>1.5820044495956729E-3</v>
      </c>
      <c r="N13" s="91">
        <f t="shared" si="5"/>
        <v>2.9751675259448728E-2</v>
      </c>
      <c r="O13" s="91">
        <f t="shared" si="6"/>
        <v>1</v>
      </c>
    </row>
    <row r="14" spans="1:15" ht="12.5" x14ac:dyDescent="0.25">
      <c r="A14" s="82" t="s">
        <v>118</v>
      </c>
      <c r="B14" s="81">
        <v>11</v>
      </c>
      <c r="C14" s="37">
        <v>185049</v>
      </c>
      <c r="D14" s="37">
        <v>23784</v>
      </c>
      <c r="E14" s="37"/>
      <c r="F14" s="37"/>
      <c r="G14" s="37">
        <v>211453</v>
      </c>
      <c r="H14" s="85" t="b">
        <f t="shared" si="1"/>
        <v>0</v>
      </c>
      <c r="J14" s="90" t="s">
        <v>225</v>
      </c>
      <c r="K14" s="91">
        <f t="shared" si="2"/>
        <v>0.87513064368914129</v>
      </c>
      <c r="L14" s="91">
        <f t="shared" si="3"/>
        <v>0.1124788960194464</v>
      </c>
      <c r="M14" s="86"/>
      <c r="N14" s="86">
        <f>1-K14-L14</f>
        <v>1.2390460291412317E-2</v>
      </c>
      <c r="O14" s="91">
        <f t="shared" si="6"/>
        <v>1</v>
      </c>
    </row>
    <row r="15" spans="1:15" ht="12.5" x14ac:dyDescent="0.25">
      <c r="A15" s="82" t="s">
        <v>119</v>
      </c>
      <c r="B15" s="81">
        <v>12</v>
      </c>
      <c r="C15" s="37">
        <v>48407</v>
      </c>
      <c r="D15" s="37">
        <v>12145</v>
      </c>
      <c r="E15" s="37"/>
      <c r="F15" s="37"/>
      <c r="G15" s="37">
        <v>62898</v>
      </c>
      <c r="H15" s="85" t="b">
        <f t="shared" si="1"/>
        <v>0</v>
      </c>
      <c r="J15" s="90" t="s">
        <v>226</v>
      </c>
      <c r="K15" s="91">
        <f t="shared" si="2"/>
        <v>0.76961111641069668</v>
      </c>
      <c r="L15" s="91">
        <f t="shared" si="3"/>
        <v>0.19309040033069413</v>
      </c>
      <c r="M15" s="86"/>
      <c r="N15" s="86">
        <f>1-K15-L15</f>
        <v>3.7298483258609183E-2</v>
      </c>
      <c r="O15" s="91">
        <f t="shared" si="6"/>
        <v>1</v>
      </c>
    </row>
    <row r="16" spans="1:15" ht="12.5" x14ac:dyDescent="0.25">
      <c r="A16" s="82" t="s">
        <v>120</v>
      </c>
      <c r="B16" s="81">
        <v>13</v>
      </c>
      <c r="C16" s="37">
        <v>379597</v>
      </c>
      <c r="D16" s="37">
        <v>94264</v>
      </c>
      <c r="E16" s="83">
        <v>2181</v>
      </c>
      <c r="F16" s="83">
        <v>22034</v>
      </c>
      <c r="G16" s="37">
        <v>498076</v>
      </c>
      <c r="H16" s="18" t="b">
        <f t="shared" si="1"/>
        <v>1</v>
      </c>
      <c r="J16" s="90" t="s">
        <v>120</v>
      </c>
      <c r="K16" s="91">
        <f t="shared" si="2"/>
        <v>0.76212666340076618</v>
      </c>
      <c r="L16" s="91">
        <f t="shared" si="3"/>
        <v>0.18925625808109606</v>
      </c>
      <c r="M16" s="91">
        <f t="shared" si="4"/>
        <v>4.3788498140845972E-3</v>
      </c>
      <c r="N16" s="91">
        <f t="shared" si="5"/>
        <v>4.4238228704053195E-2</v>
      </c>
      <c r="O16" s="91">
        <f t="shared" si="6"/>
        <v>1</v>
      </c>
    </row>
    <row r="17" spans="1:15" ht="12.5" x14ac:dyDescent="0.25">
      <c r="A17" s="82" t="s">
        <v>173</v>
      </c>
      <c r="B17" s="81">
        <v>14</v>
      </c>
      <c r="C17" s="37">
        <v>177882</v>
      </c>
      <c r="D17" s="37">
        <v>57023</v>
      </c>
      <c r="E17" s="37">
        <v>1809</v>
      </c>
      <c r="F17" s="37">
        <v>31460</v>
      </c>
      <c r="G17" s="37">
        <v>268174</v>
      </c>
      <c r="H17" s="18" t="b">
        <f t="shared" si="1"/>
        <v>1</v>
      </c>
      <c r="J17" s="90" t="s">
        <v>173</v>
      </c>
      <c r="K17" s="91">
        <f t="shared" si="2"/>
        <v>0.66330815067829096</v>
      </c>
      <c r="L17" s="91">
        <f t="shared" si="3"/>
        <v>0.21263433442466459</v>
      </c>
      <c r="M17" s="91">
        <f t="shared" si="4"/>
        <v>6.7456203807975419E-3</v>
      </c>
      <c r="N17" s="91">
        <f t="shared" si="5"/>
        <v>0.11731189451624692</v>
      </c>
      <c r="O17" s="91">
        <f t="shared" si="6"/>
        <v>1</v>
      </c>
    </row>
    <row r="18" spans="1:15" ht="12.5" x14ac:dyDescent="0.25">
      <c r="A18" s="82" t="s">
        <v>122</v>
      </c>
      <c r="B18" s="81">
        <v>15</v>
      </c>
      <c r="C18" s="37">
        <v>515309</v>
      </c>
      <c r="D18" s="37">
        <v>79076</v>
      </c>
      <c r="E18" s="37"/>
      <c r="F18" s="37"/>
      <c r="G18" s="37">
        <v>595804</v>
      </c>
      <c r="H18" s="85" t="b">
        <f t="shared" si="1"/>
        <v>0</v>
      </c>
      <c r="J18" s="90" t="s">
        <v>223</v>
      </c>
      <c r="K18" s="91">
        <f t="shared" si="2"/>
        <v>0.86489684527126376</v>
      </c>
      <c r="L18" s="91">
        <f t="shared" si="3"/>
        <v>0.13272149901645508</v>
      </c>
      <c r="M18" s="86"/>
      <c r="N18" s="86">
        <f>1-K18-L18</f>
        <v>2.381655712281161E-3</v>
      </c>
      <c r="O18" s="91">
        <f t="shared" si="6"/>
        <v>1</v>
      </c>
    </row>
    <row r="19" spans="1:15" ht="12.5" x14ac:dyDescent="0.25">
      <c r="A19" s="82" t="s">
        <v>123</v>
      </c>
      <c r="B19" s="81">
        <v>16</v>
      </c>
      <c r="C19" s="37">
        <v>422450</v>
      </c>
      <c r="D19" s="37">
        <v>120724</v>
      </c>
      <c r="E19" s="37">
        <v>462</v>
      </c>
      <c r="F19" s="37">
        <v>13877</v>
      </c>
      <c r="G19" s="37">
        <v>557513</v>
      </c>
      <c r="H19" s="18" t="b">
        <f t="shared" si="1"/>
        <v>1</v>
      </c>
      <c r="J19" s="90" t="s">
        <v>123</v>
      </c>
      <c r="K19" s="91">
        <f t="shared" si="2"/>
        <v>0.75774017825593309</v>
      </c>
      <c r="L19" s="91">
        <f t="shared" si="3"/>
        <v>0.2165402421109463</v>
      </c>
      <c r="M19" s="91">
        <f t="shared" si="4"/>
        <v>8.2868022808436752E-4</v>
      </c>
      <c r="N19" s="91">
        <f t="shared" si="5"/>
        <v>2.4890899405036294E-2</v>
      </c>
      <c r="O19" s="91">
        <f t="shared" si="6"/>
        <v>1</v>
      </c>
    </row>
    <row r="20" spans="1:15" ht="12.5" x14ac:dyDescent="0.25">
      <c r="A20" s="82" t="s">
        <v>124</v>
      </c>
      <c r="B20" s="81">
        <v>17</v>
      </c>
      <c r="C20" s="37">
        <v>1047799</v>
      </c>
      <c r="D20" s="37">
        <v>281388</v>
      </c>
      <c r="E20" s="83">
        <v>302</v>
      </c>
      <c r="F20" s="83">
        <v>81634</v>
      </c>
      <c r="G20" s="37">
        <v>1411123</v>
      </c>
      <c r="H20" s="18" t="b">
        <f t="shared" si="1"/>
        <v>1</v>
      </c>
      <c r="J20" s="90" t="s">
        <v>124</v>
      </c>
      <c r="K20" s="91">
        <f t="shared" si="2"/>
        <v>0.74252846846093501</v>
      </c>
      <c r="L20" s="91">
        <f t="shared" si="3"/>
        <v>0.19940713885323957</v>
      </c>
      <c r="M20" s="91">
        <f t="shared" si="4"/>
        <v>2.1401394492188137E-4</v>
      </c>
      <c r="N20" s="91">
        <f t="shared" si="5"/>
        <v>5.785037874090352E-2</v>
      </c>
      <c r="O20" s="91">
        <f t="shared" si="6"/>
        <v>1</v>
      </c>
    </row>
    <row r="21" spans="1:15" ht="12.5" x14ac:dyDescent="0.25">
      <c r="A21" s="82" t="s">
        <v>125</v>
      </c>
      <c r="B21" s="81">
        <v>18</v>
      </c>
      <c r="C21" s="37">
        <v>63771</v>
      </c>
      <c r="D21" s="37">
        <v>34593</v>
      </c>
      <c r="E21" s="37">
        <v>57</v>
      </c>
      <c r="F21" s="37">
        <v>34847</v>
      </c>
      <c r="G21" s="37">
        <v>133268</v>
      </c>
      <c r="H21" s="18" t="b">
        <f t="shared" si="1"/>
        <v>1</v>
      </c>
      <c r="J21" s="90" t="s">
        <v>125</v>
      </c>
      <c r="K21" s="91">
        <f t="shared" si="2"/>
        <v>0.47851697331692528</v>
      </c>
      <c r="L21" s="91">
        <f t="shared" si="3"/>
        <v>0.25957469159888347</v>
      </c>
      <c r="M21" s="91">
        <f t="shared" si="4"/>
        <v>4.2770957769306962E-4</v>
      </c>
      <c r="N21" s="91">
        <f t="shared" si="5"/>
        <v>0.2614806255064982</v>
      </c>
      <c r="O21" s="91">
        <f t="shared" si="6"/>
        <v>1</v>
      </c>
    </row>
    <row r="22" spans="1:15" ht="12.5" x14ac:dyDescent="0.25">
      <c r="A22" s="82" t="s">
        <v>175</v>
      </c>
      <c r="B22" s="81">
        <v>19</v>
      </c>
      <c r="C22" s="37">
        <v>75434</v>
      </c>
      <c r="D22" s="37">
        <v>32172</v>
      </c>
      <c r="E22" s="37">
        <v>204</v>
      </c>
      <c r="F22" s="37">
        <v>11574</v>
      </c>
      <c r="G22" s="37">
        <v>119384</v>
      </c>
      <c r="H22" s="18" t="b">
        <f t="shared" si="1"/>
        <v>1</v>
      </c>
      <c r="J22" s="90" t="s">
        <v>126</v>
      </c>
      <c r="K22" s="91">
        <f t="shared" si="2"/>
        <v>0.63186021577430806</v>
      </c>
      <c r="L22" s="91">
        <f t="shared" si="3"/>
        <v>0.26948334785230854</v>
      </c>
      <c r="M22" s="91">
        <f t="shared" si="4"/>
        <v>1.7087716946994572E-3</v>
      </c>
      <c r="N22" s="91">
        <f t="shared" si="5"/>
        <v>9.6947664678683917E-2</v>
      </c>
      <c r="O22" s="91">
        <f t="shared" si="6"/>
        <v>0.99999999999999989</v>
      </c>
    </row>
    <row r="23" spans="1:15" ht="12.5" x14ac:dyDescent="0.25">
      <c r="A23" s="82" t="s">
        <v>159</v>
      </c>
      <c r="B23" s="81">
        <v>78</v>
      </c>
      <c r="C23" s="37">
        <v>101719</v>
      </c>
      <c r="D23" s="37">
        <v>62411</v>
      </c>
      <c r="E23" s="37">
        <v>427677</v>
      </c>
      <c r="F23" s="37">
        <v>79622</v>
      </c>
      <c r="G23" s="37">
        <v>671429</v>
      </c>
      <c r="H23" s="18" t="b">
        <f t="shared" si="1"/>
        <v>1</v>
      </c>
      <c r="J23" s="90" t="s">
        <v>159</v>
      </c>
      <c r="K23" s="91">
        <f t="shared" si="2"/>
        <v>0.15149628627896619</v>
      </c>
      <c r="L23" s="91">
        <f t="shared" si="3"/>
        <v>9.29524938601103E-2</v>
      </c>
      <c r="M23" s="91">
        <f t="shared" si="4"/>
        <v>0.63696533810723099</v>
      </c>
      <c r="N23" s="91">
        <f t="shared" si="5"/>
        <v>0.1185858817536925</v>
      </c>
      <c r="O23" s="91">
        <f t="shared" si="6"/>
        <v>1</v>
      </c>
    </row>
    <row r="24" spans="1:15" ht="12.5" x14ac:dyDescent="0.25">
      <c r="C24" s="37"/>
      <c r="D24" s="37"/>
      <c r="E24" s="37"/>
      <c r="F24" s="37"/>
      <c r="G24" s="37"/>
      <c r="H24" s="18" t="b">
        <f t="shared" si="1"/>
        <v>1</v>
      </c>
      <c r="J24" s="90"/>
      <c r="K24" s="91"/>
      <c r="L24" s="91"/>
      <c r="M24" s="91"/>
      <c r="N24" s="91"/>
      <c r="O24" s="91"/>
    </row>
    <row r="25" spans="1:15" ht="12.5" x14ac:dyDescent="0.25">
      <c r="B25" s="81" t="s">
        <v>2</v>
      </c>
      <c r="C25" s="37">
        <v>5386426</v>
      </c>
      <c r="D25" s="37">
        <v>1529215</v>
      </c>
      <c r="E25" s="37">
        <v>436719</v>
      </c>
      <c r="F25" s="37">
        <v>909427</v>
      </c>
      <c r="G25" s="37">
        <v>8261787</v>
      </c>
      <c r="H25" s="18" t="b">
        <f t="shared" si="1"/>
        <v>1</v>
      </c>
      <c r="J25" s="90" t="s">
        <v>212</v>
      </c>
      <c r="K25" s="91">
        <f t="shared" ref="K25" si="7">C25/$G25</f>
        <v>0.65196863584113218</v>
      </c>
      <c r="L25" s="91">
        <f t="shared" ref="L25" si="8">D25/$G25</f>
        <v>0.18509494374522123</v>
      </c>
      <c r="M25" s="91">
        <f t="shared" ref="M25" si="9">E25/$G25</f>
        <v>5.2860113677585731E-2</v>
      </c>
      <c r="N25" s="91">
        <f t="shared" ref="N25" si="10">F25/$G25</f>
        <v>0.11007630673606085</v>
      </c>
      <c r="O25" s="91">
        <f t="shared" ref="O25" si="11">SUM(K25:N25)</f>
        <v>1</v>
      </c>
    </row>
    <row r="26" spans="1:15" ht="13" x14ac:dyDescent="0.3">
      <c r="A26" s="68"/>
      <c r="C26" s="84"/>
      <c r="D26" s="84"/>
      <c r="E26" s="84"/>
      <c r="F26" s="84"/>
      <c r="G26" s="84"/>
    </row>
  </sheetData>
  <phoneticPr fontId="16" type="noConversion"/>
  <conditionalFormatting sqref="C6:G25">
    <cfRule type="cellIs" dxfId="7" priority="3" operator="lessThan">
      <formula>10</formula>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&amp;L&amp;"Aptos"&amp;10&amp;K2FB5E4 | DNB UNRESTRICTED |&amp;1#_x000D_&amp;C&amp;A</oddHeader>
    <oddFooter>&amp;CPagina &amp;P</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486F-5AD2-4404-8122-52072311564D}">
  <dimension ref="A3:Q108"/>
  <sheetViews>
    <sheetView topLeftCell="G1" zoomScale="70" zoomScaleNormal="70" workbookViewId="0">
      <selection activeCell="L16" sqref="L16"/>
    </sheetView>
  </sheetViews>
  <sheetFormatPr defaultColWidth="11.54296875" defaultRowHeight="12.75" customHeight="1" x14ac:dyDescent="0.25"/>
  <cols>
    <col min="1" max="1" width="11.54296875" style="18"/>
    <col min="2" max="2" width="5.7265625" style="81" customWidth="1"/>
    <col min="3" max="16384" width="11.54296875" style="18"/>
  </cols>
  <sheetData>
    <row r="3" spans="1:17" ht="13" x14ac:dyDescent="0.3">
      <c r="A3" s="80" t="s">
        <v>217</v>
      </c>
      <c r="L3" s="88" t="s">
        <v>218</v>
      </c>
      <c r="M3" s="88"/>
      <c r="N3" s="88"/>
      <c r="O3" s="88"/>
      <c r="P3" s="88"/>
      <c r="Q3" s="88"/>
    </row>
    <row r="4" spans="1:17" ht="12.75" customHeight="1" x14ac:dyDescent="0.25">
      <c r="L4" s="88"/>
      <c r="M4" s="88"/>
      <c r="N4" s="88"/>
      <c r="O4" s="88"/>
      <c r="P4" s="88"/>
      <c r="Q4" s="88"/>
    </row>
    <row r="5" spans="1:17" ht="12.5" x14ac:dyDescent="0.25">
      <c r="C5" s="18" t="s">
        <v>188</v>
      </c>
      <c r="D5" s="81" t="s">
        <v>189</v>
      </c>
      <c r="E5" s="81" t="s">
        <v>56</v>
      </c>
      <c r="F5" s="81" t="s">
        <v>57</v>
      </c>
      <c r="G5" s="81" t="s">
        <v>2</v>
      </c>
      <c r="H5" s="81"/>
      <c r="L5" s="88"/>
      <c r="M5" s="88" t="s">
        <v>58</v>
      </c>
      <c r="N5" s="89" t="s">
        <v>59</v>
      </c>
      <c r="O5" s="89" t="s">
        <v>60</v>
      </c>
      <c r="P5" s="89" t="s">
        <v>61</v>
      </c>
      <c r="Q5" s="89" t="s">
        <v>52</v>
      </c>
    </row>
    <row r="6" spans="1:17" ht="12.75" customHeight="1" x14ac:dyDescent="0.25">
      <c r="L6" s="90" t="s">
        <v>111</v>
      </c>
      <c r="M6" s="92">
        <f>C34/C7</f>
        <v>9.7340187751452839E-2</v>
      </c>
      <c r="N6" s="92">
        <f t="shared" ref="N6:Q21" si="0">D34/D7</f>
        <v>0.17779947008785385</v>
      </c>
      <c r="O6" s="92">
        <f t="shared" si="0"/>
        <v>0.2165709598031173</v>
      </c>
      <c r="P6" s="92">
        <f t="shared" si="0"/>
        <v>0.20917552790914842</v>
      </c>
      <c r="Q6" s="92">
        <f t="shared" si="0"/>
        <v>0.14626242117798646</v>
      </c>
    </row>
    <row r="7" spans="1:17" ht="12.5" x14ac:dyDescent="0.25">
      <c r="A7" s="82" t="s">
        <v>111</v>
      </c>
      <c r="B7" s="81">
        <v>1</v>
      </c>
      <c r="C7" s="37">
        <v>53688</v>
      </c>
      <c r="D7" s="37">
        <v>14342</v>
      </c>
      <c r="E7" s="37">
        <v>1219</v>
      </c>
      <c r="F7" s="37">
        <v>33197</v>
      </c>
      <c r="G7" s="37">
        <v>102446</v>
      </c>
      <c r="L7" s="90" t="s">
        <v>180</v>
      </c>
      <c r="M7" s="92">
        <f t="shared" ref="M7:Q23" si="1">C35/C8</f>
        <v>7.6284383337096792E-2</v>
      </c>
      <c r="N7" s="92">
        <f t="shared" si="0"/>
        <v>0.20200029707382283</v>
      </c>
      <c r="O7" s="92">
        <f t="shared" si="0"/>
        <v>0.27571115973741794</v>
      </c>
      <c r="P7" s="92">
        <f t="shared" si="0"/>
        <v>0.25365515732672184</v>
      </c>
      <c r="Q7" s="92">
        <f t="shared" si="0"/>
        <v>0.10057325752280095</v>
      </c>
    </row>
    <row r="8" spans="1:17" ht="12.5" x14ac:dyDescent="0.25">
      <c r="A8" s="82" t="s">
        <v>112</v>
      </c>
      <c r="B8" s="81">
        <v>3</v>
      </c>
      <c r="C8" s="37">
        <v>597855</v>
      </c>
      <c r="D8" s="37">
        <v>100985</v>
      </c>
      <c r="E8" s="37">
        <v>457</v>
      </c>
      <c r="F8" s="37">
        <v>27427</v>
      </c>
      <c r="G8" s="37">
        <v>726724</v>
      </c>
      <c r="L8" s="90" t="s">
        <v>181</v>
      </c>
      <c r="M8" s="92">
        <f t="shared" si="1"/>
        <v>7.6251873126873121E-2</v>
      </c>
      <c r="N8" s="92">
        <f t="shared" si="0"/>
        <v>0.19650690495532089</v>
      </c>
      <c r="O8" s="92"/>
      <c r="P8" s="92"/>
      <c r="Q8" s="92">
        <f t="shared" si="0"/>
        <v>9.7369408537453253E-2</v>
      </c>
    </row>
    <row r="9" spans="1:17" ht="12.5" x14ac:dyDescent="0.25">
      <c r="A9" s="82" t="s">
        <v>113</v>
      </c>
      <c r="B9" s="81">
        <v>4</v>
      </c>
      <c r="C9" s="37">
        <v>64064</v>
      </c>
      <c r="D9" s="37">
        <v>12310</v>
      </c>
      <c r="E9" s="37"/>
      <c r="F9" s="37"/>
      <c r="G9" s="37">
        <v>77283</v>
      </c>
      <c r="L9" s="90" t="s">
        <v>114</v>
      </c>
      <c r="M9" s="92">
        <f t="shared" si="1"/>
        <v>0.10045782805197284</v>
      </c>
      <c r="N9" s="92">
        <f t="shared" si="0"/>
        <v>0.22372085621071058</v>
      </c>
      <c r="O9" s="92">
        <f t="shared" si="0"/>
        <v>0.25870178739416744</v>
      </c>
      <c r="P9" s="92">
        <f t="shared" si="0"/>
        <v>0.21440695947379587</v>
      </c>
      <c r="Q9" s="92">
        <f t="shared" si="0"/>
        <v>0.1227869000090055</v>
      </c>
    </row>
    <row r="10" spans="1:17" ht="12.5" x14ac:dyDescent="0.25">
      <c r="A10" s="82" t="s">
        <v>171</v>
      </c>
      <c r="B10" s="81">
        <v>6</v>
      </c>
      <c r="C10" s="37">
        <v>272373</v>
      </c>
      <c r="D10" s="37">
        <v>50268</v>
      </c>
      <c r="E10" s="83">
        <v>1063</v>
      </c>
      <c r="F10" s="83">
        <v>9426</v>
      </c>
      <c r="G10" s="37">
        <v>333130</v>
      </c>
      <c r="L10" s="90" t="s">
        <v>115</v>
      </c>
      <c r="M10" s="92">
        <f t="shared" si="1"/>
        <v>0.10617689837589998</v>
      </c>
      <c r="N10" s="92">
        <f t="shared" si="0"/>
        <v>0.26754499242788887</v>
      </c>
      <c r="O10" s="92">
        <f t="shared" si="0"/>
        <v>0.25667351129363447</v>
      </c>
      <c r="P10" s="92">
        <f t="shared" si="0"/>
        <v>0.3167282572902565</v>
      </c>
      <c r="Q10" s="92">
        <f t="shared" si="0"/>
        <v>0.18902552979211518</v>
      </c>
    </row>
    <row r="11" spans="1:17" ht="12.5" x14ac:dyDescent="0.25">
      <c r="A11" s="82" t="s">
        <v>115</v>
      </c>
      <c r="B11" s="81">
        <v>7</v>
      </c>
      <c r="C11" s="37">
        <v>744597</v>
      </c>
      <c r="D11" s="37">
        <v>340724</v>
      </c>
      <c r="E11" s="83">
        <v>487</v>
      </c>
      <c r="F11" s="83">
        <v>273310</v>
      </c>
      <c r="G11" s="37">
        <v>1359118</v>
      </c>
      <c r="L11" s="90" t="s">
        <v>116</v>
      </c>
      <c r="M11" s="92">
        <f t="shared" si="1"/>
        <v>8.2206273609285188E-2</v>
      </c>
      <c r="N11" s="92">
        <f t="shared" si="0"/>
        <v>0.22994397241719</v>
      </c>
      <c r="O11" s="92">
        <f t="shared" si="0"/>
        <v>0.3349282296650718</v>
      </c>
      <c r="P11" s="92">
        <f t="shared" si="0"/>
        <v>0.27415346845902816</v>
      </c>
      <c r="Q11" s="92">
        <f t="shared" si="0"/>
        <v>0.12372533054166182</v>
      </c>
    </row>
    <row r="12" spans="1:17" ht="12.5" x14ac:dyDescent="0.25">
      <c r="A12" s="82" t="s">
        <v>172</v>
      </c>
      <c r="B12" s="81">
        <v>8</v>
      </c>
      <c r="C12" s="37">
        <v>288287</v>
      </c>
      <c r="D12" s="37">
        <v>64968</v>
      </c>
      <c r="E12" s="37">
        <v>209</v>
      </c>
      <c r="F12" s="37">
        <v>33401</v>
      </c>
      <c r="G12" s="37">
        <v>386865</v>
      </c>
      <c r="L12" s="90" t="s">
        <v>117</v>
      </c>
      <c r="M12" s="92">
        <f t="shared" si="1"/>
        <v>0.198543138475054</v>
      </c>
      <c r="N12" s="92">
        <f t="shared" si="0"/>
        <v>0.34056816880588781</v>
      </c>
      <c r="O12" s="92">
        <f t="shared" si="0"/>
        <v>0.4157303370786517</v>
      </c>
      <c r="P12" s="92">
        <f t="shared" si="0"/>
        <v>0.35249503974417923</v>
      </c>
      <c r="Q12" s="92">
        <f t="shared" si="0"/>
        <v>0.3122948123183103</v>
      </c>
    </row>
    <row r="13" spans="1:17" ht="12.5" x14ac:dyDescent="0.25">
      <c r="A13" s="82" t="s">
        <v>117</v>
      </c>
      <c r="B13" s="81">
        <v>9</v>
      </c>
      <c r="C13" s="37">
        <v>109276</v>
      </c>
      <c r="D13" s="37">
        <v>96063</v>
      </c>
      <c r="E13" s="37">
        <v>89</v>
      </c>
      <c r="F13" s="37">
        <v>241419</v>
      </c>
      <c r="G13" s="37">
        <v>446847</v>
      </c>
      <c r="L13" s="90" t="s">
        <v>25</v>
      </c>
      <c r="M13" s="92">
        <f t="shared" si="1"/>
        <v>0.1294056574942751</v>
      </c>
      <c r="N13" s="92">
        <f t="shared" si="0"/>
        <v>0.23661375661375661</v>
      </c>
      <c r="O13" s="92">
        <f t="shared" si="0"/>
        <v>0.3473684210526316</v>
      </c>
      <c r="P13" s="92">
        <f t="shared" si="0"/>
        <v>0.29508563752378819</v>
      </c>
      <c r="Q13" s="92">
        <f t="shared" si="0"/>
        <v>0.15323794679136193</v>
      </c>
    </row>
    <row r="14" spans="1:17" ht="12.5" x14ac:dyDescent="0.25">
      <c r="A14" s="82" t="s">
        <v>25</v>
      </c>
      <c r="B14" s="81">
        <v>10</v>
      </c>
      <c r="C14" s="37">
        <v>238869</v>
      </c>
      <c r="D14" s="37">
        <v>51975</v>
      </c>
      <c r="E14" s="37">
        <v>475</v>
      </c>
      <c r="F14" s="37">
        <v>8933</v>
      </c>
      <c r="G14" s="37">
        <v>300252</v>
      </c>
      <c r="L14" s="90" t="s">
        <v>118</v>
      </c>
      <c r="M14" s="92">
        <f t="shared" si="1"/>
        <v>0.16076822895557394</v>
      </c>
      <c r="N14" s="92">
        <f t="shared" si="0"/>
        <v>0.22267070299360914</v>
      </c>
      <c r="O14" s="92"/>
      <c r="P14" s="92"/>
      <c r="Q14" s="92">
        <f t="shared" si="0"/>
        <v>0.16918180399426824</v>
      </c>
    </row>
    <row r="15" spans="1:17" ht="12.5" x14ac:dyDescent="0.25">
      <c r="A15" s="82" t="s">
        <v>118</v>
      </c>
      <c r="B15" s="81">
        <v>11</v>
      </c>
      <c r="C15" s="37">
        <v>185049</v>
      </c>
      <c r="D15" s="37">
        <v>23784</v>
      </c>
      <c r="E15" s="37"/>
      <c r="F15" s="37"/>
      <c r="G15" s="37">
        <v>211453</v>
      </c>
      <c r="L15" s="90" t="s">
        <v>119</v>
      </c>
      <c r="M15" s="92">
        <f t="shared" si="1"/>
        <v>9.1680955233747183E-2</v>
      </c>
      <c r="N15" s="92">
        <f t="shared" si="0"/>
        <v>0.22157266364759159</v>
      </c>
      <c r="O15" s="92"/>
      <c r="P15" s="92"/>
      <c r="Q15" s="92">
        <f t="shared" si="0"/>
        <v>0.12498012655410347</v>
      </c>
    </row>
    <row r="16" spans="1:17" ht="12.5" x14ac:dyDescent="0.25">
      <c r="A16" s="82" t="s">
        <v>119</v>
      </c>
      <c r="B16" s="81">
        <v>12</v>
      </c>
      <c r="C16" s="37">
        <v>48407</v>
      </c>
      <c r="D16" s="37">
        <v>12145</v>
      </c>
      <c r="E16" s="37"/>
      <c r="F16" s="37"/>
      <c r="G16" s="37">
        <v>62898</v>
      </c>
      <c r="L16" s="90" t="s">
        <v>120</v>
      </c>
      <c r="M16" s="92">
        <f t="shared" si="1"/>
        <v>0.14363127211226642</v>
      </c>
      <c r="N16" s="92">
        <f t="shared" si="0"/>
        <v>0.24455783756259017</v>
      </c>
      <c r="O16" s="92">
        <f t="shared" si="0"/>
        <v>0.42411737734983951</v>
      </c>
      <c r="P16" s="92">
        <f t="shared" si="0"/>
        <v>0.32127620949441771</v>
      </c>
      <c r="Q16" s="92">
        <f t="shared" si="0"/>
        <v>0.17181916012817322</v>
      </c>
    </row>
    <row r="17" spans="1:17" ht="12.5" x14ac:dyDescent="0.25">
      <c r="A17" s="82" t="s">
        <v>120</v>
      </c>
      <c r="B17" s="81">
        <v>13</v>
      </c>
      <c r="C17" s="37">
        <v>379597</v>
      </c>
      <c r="D17" s="37">
        <v>94264</v>
      </c>
      <c r="E17" s="83">
        <v>2181</v>
      </c>
      <c r="F17" s="83">
        <v>22034</v>
      </c>
      <c r="G17" s="37">
        <v>498076</v>
      </c>
      <c r="L17" s="90" t="s">
        <v>173</v>
      </c>
      <c r="M17" s="92">
        <f t="shared" si="1"/>
        <v>0.12210903857613474</v>
      </c>
      <c r="N17" s="92">
        <f t="shared" si="0"/>
        <v>0.26785682970029639</v>
      </c>
      <c r="O17" s="92">
        <f t="shared" si="0"/>
        <v>0.42564953012714207</v>
      </c>
      <c r="P17" s="92">
        <f t="shared" si="0"/>
        <v>0.31455816910362366</v>
      </c>
      <c r="Q17" s="92">
        <f t="shared" si="0"/>
        <v>0.17772416416207387</v>
      </c>
    </row>
    <row r="18" spans="1:17" ht="12.5" x14ac:dyDescent="0.25">
      <c r="A18" s="82" t="s">
        <v>173</v>
      </c>
      <c r="B18" s="81">
        <v>14</v>
      </c>
      <c r="C18" s="37">
        <v>177882</v>
      </c>
      <c r="D18" s="37">
        <v>57023</v>
      </c>
      <c r="E18" s="37">
        <v>1809</v>
      </c>
      <c r="F18" s="37">
        <v>31460</v>
      </c>
      <c r="G18" s="37">
        <v>268174</v>
      </c>
      <c r="L18" s="90" t="s">
        <v>223</v>
      </c>
      <c r="M18" s="92">
        <f t="shared" si="1"/>
        <v>3.3139339697152582E-2</v>
      </c>
      <c r="N18" s="92">
        <f t="shared" si="0"/>
        <v>9.8399008548737926E-2</v>
      </c>
      <c r="O18" s="92"/>
      <c r="P18" s="92"/>
      <c r="Q18" s="92">
        <f t="shared" si="0"/>
        <v>4.2064168753482692E-2</v>
      </c>
    </row>
    <row r="19" spans="1:17" ht="12.5" x14ac:dyDescent="0.25">
      <c r="A19" s="82" t="s">
        <v>122</v>
      </c>
      <c r="B19" s="81">
        <v>15</v>
      </c>
      <c r="C19" s="37">
        <v>515309</v>
      </c>
      <c r="D19" s="37">
        <v>79076</v>
      </c>
      <c r="E19" s="37"/>
      <c r="F19" s="37"/>
      <c r="G19" s="37">
        <v>595804</v>
      </c>
      <c r="L19" s="90" t="s">
        <v>123</v>
      </c>
      <c r="M19" s="92">
        <f t="shared" si="1"/>
        <v>5.6792519824831342E-2</v>
      </c>
      <c r="N19" s="92">
        <f t="shared" si="0"/>
        <v>0.1694940525496173</v>
      </c>
      <c r="O19" s="92">
        <f t="shared" si="0"/>
        <v>0.46320346320346323</v>
      </c>
      <c r="P19" s="92">
        <f t="shared" si="0"/>
        <v>0.24306406283778914</v>
      </c>
      <c r="Q19" s="92">
        <f t="shared" si="0"/>
        <v>8.6170187959742642E-2</v>
      </c>
    </row>
    <row r="20" spans="1:17" ht="12.5" x14ac:dyDescent="0.25">
      <c r="A20" s="82" t="s">
        <v>123</v>
      </c>
      <c r="B20" s="81">
        <v>16</v>
      </c>
      <c r="C20" s="37">
        <v>422450</v>
      </c>
      <c r="D20" s="37">
        <v>120724</v>
      </c>
      <c r="E20" s="37">
        <v>462</v>
      </c>
      <c r="F20" s="37">
        <v>13877</v>
      </c>
      <c r="G20" s="37">
        <v>557513</v>
      </c>
      <c r="L20" s="90" t="s">
        <v>124</v>
      </c>
      <c r="M20" s="92">
        <f t="shared" si="1"/>
        <v>8.2048179087783057E-2</v>
      </c>
      <c r="N20" s="92">
        <f t="shared" si="0"/>
        <v>0.20581545765988599</v>
      </c>
      <c r="O20" s="92">
        <f t="shared" si="0"/>
        <v>0.47350993377483441</v>
      </c>
      <c r="P20" s="92">
        <f t="shared" si="0"/>
        <v>0.25480804566724646</v>
      </c>
      <c r="Q20" s="92">
        <f t="shared" si="0"/>
        <v>0.1168062599787545</v>
      </c>
    </row>
    <row r="21" spans="1:17" ht="12.5" x14ac:dyDescent="0.25">
      <c r="A21" s="82" t="s">
        <v>124</v>
      </c>
      <c r="B21" s="81">
        <v>17</v>
      </c>
      <c r="C21" s="37">
        <v>1047799</v>
      </c>
      <c r="D21" s="37">
        <v>281388</v>
      </c>
      <c r="E21" s="83">
        <v>302</v>
      </c>
      <c r="F21" s="83">
        <v>81634</v>
      </c>
      <c r="G21" s="37">
        <v>1411123</v>
      </c>
      <c r="L21" s="90" t="s">
        <v>125</v>
      </c>
      <c r="M21" s="92">
        <f t="shared" si="1"/>
        <v>9.1107243104232336E-2</v>
      </c>
      <c r="N21" s="92">
        <f t="shared" si="0"/>
        <v>0.22706906021449427</v>
      </c>
      <c r="O21" s="92">
        <f t="shared" si="0"/>
        <v>0.42105263157894735</v>
      </c>
      <c r="P21" s="92">
        <f t="shared" si="0"/>
        <v>0.32306941774040809</v>
      </c>
      <c r="Q21" s="92">
        <f t="shared" si="0"/>
        <v>0.18719422517033346</v>
      </c>
    </row>
    <row r="22" spans="1:17" ht="12.5" x14ac:dyDescent="0.25">
      <c r="A22" s="82" t="s">
        <v>125</v>
      </c>
      <c r="B22" s="81">
        <v>18</v>
      </c>
      <c r="C22" s="37">
        <v>63771</v>
      </c>
      <c r="D22" s="37">
        <v>34593</v>
      </c>
      <c r="E22" s="37">
        <v>57</v>
      </c>
      <c r="F22" s="37">
        <v>34847</v>
      </c>
      <c r="G22" s="37">
        <v>133268</v>
      </c>
      <c r="L22" s="90" t="s">
        <v>126</v>
      </c>
      <c r="M22" s="92">
        <f t="shared" si="1"/>
        <v>7.9221571174801816E-2</v>
      </c>
      <c r="N22" s="92">
        <f t="shared" si="1"/>
        <v>0.21105308964316796</v>
      </c>
      <c r="O22" s="92">
        <f t="shared" si="1"/>
        <v>0.25</v>
      </c>
      <c r="P22" s="92">
        <f t="shared" si="1"/>
        <v>0.26283048211508553</v>
      </c>
      <c r="Q22" s="92">
        <f t="shared" si="1"/>
        <v>0.13284024659920926</v>
      </c>
    </row>
    <row r="23" spans="1:17" ht="12.5" x14ac:dyDescent="0.25">
      <c r="A23" s="82" t="s">
        <v>175</v>
      </c>
      <c r="B23" s="81">
        <v>19</v>
      </c>
      <c r="C23" s="37">
        <v>75434</v>
      </c>
      <c r="D23" s="37">
        <v>32172</v>
      </c>
      <c r="E23" s="37">
        <v>204</v>
      </c>
      <c r="F23" s="37">
        <v>11574</v>
      </c>
      <c r="G23" s="37">
        <v>119384</v>
      </c>
      <c r="L23" s="90" t="s">
        <v>159</v>
      </c>
      <c r="M23" s="92">
        <f t="shared" si="1"/>
        <v>0.22331127911206364</v>
      </c>
      <c r="N23" s="92">
        <f t="shared" si="1"/>
        <v>0.38493214337216197</v>
      </c>
      <c r="O23" s="92">
        <f t="shared" si="1"/>
        <v>0.36853513282219991</v>
      </c>
      <c r="P23" s="92">
        <f t="shared" si="1"/>
        <v>0.37258546632840167</v>
      </c>
      <c r="Q23" s="92">
        <f t="shared" si="1"/>
        <v>0.34853871369869338</v>
      </c>
    </row>
    <row r="24" spans="1:17" ht="12.5" x14ac:dyDescent="0.25">
      <c r="A24" s="82" t="s">
        <v>159</v>
      </c>
      <c r="B24" s="81">
        <v>78</v>
      </c>
      <c r="C24" s="37">
        <v>101719</v>
      </c>
      <c r="D24" s="37">
        <v>62411</v>
      </c>
      <c r="E24" s="37">
        <v>427677</v>
      </c>
      <c r="F24" s="37">
        <v>79622</v>
      </c>
      <c r="G24" s="37">
        <v>671429</v>
      </c>
      <c r="L24" s="90"/>
      <c r="M24" s="92"/>
      <c r="N24" s="92"/>
      <c r="O24" s="92"/>
      <c r="P24" s="92"/>
      <c r="Q24" s="92"/>
    </row>
    <row r="25" spans="1:17" ht="12.5" x14ac:dyDescent="0.25">
      <c r="C25" s="37"/>
      <c r="D25" s="37"/>
      <c r="E25" s="37"/>
      <c r="F25" s="37"/>
      <c r="G25" s="37"/>
      <c r="L25" s="90" t="s">
        <v>212</v>
      </c>
      <c r="M25" s="92">
        <f t="shared" ref="M25:Q25" si="2">C53/C26</f>
        <v>9.4759679238144184E-2</v>
      </c>
      <c r="N25" s="92">
        <f t="shared" si="2"/>
        <v>0.23467334547463894</v>
      </c>
      <c r="O25" s="92">
        <f t="shared" si="2"/>
        <v>0.36823220423201186</v>
      </c>
      <c r="P25" s="92">
        <f t="shared" si="2"/>
        <v>0.31488838576378314</v>
      </c>
      <c r="Q25" s="92">
        <f t="shared" si="2"/>
        <v>0.15934373519917663</v>
      </c>
    </row>
    <row r="26" spans="1:17" ht="12.5" x14ac:dyDescent="0.25">
      <c r="B26" s="81" t="s">
        <v>2</v>
      </c>
      <c r="C26" s="37">
        <v>5386426</v>
      </c>
      <c r="D26" s="37">
        <v>1529215</v>
      </c>
      <c r="E26" s="37">
        <v>436719</v>
      </c>
      <c r="F26" s="37">
        <v>909427</v>
      </c>
      <c r="G26" s="37">
        <v>8261787</v>
      </c>
    </row>
    <row r="27" spans="1:17" ht="13" x14ac:dyDescent="0.3">
      <c r="A27" s="68"/>
      <c r="C27" s="84"/>
      <c r="D27" s="84"/>
      <c r="E27" s="84"/>
      <c r="F27" s="84"/>
      <c r="G27" s="84"/>
    </row>
    <row r="30" spans="1:17" ht="12.75" customHeight="1" x14ac:dyDescent="0.3">
      <c r="A30" s="80" t="s">
        <v>219</v>
      </c>
    </row>
    <row r="32" spans="1:17" ht="12.75" customHeight="1" x14ac:dyDescent="0.25">
      <c r="C32" s="18" t="s">
        <v>188</v>
      </c>
      <c r="D32" s="81" t="s">
        <v>189</v>
      </c>
      <c r="E32" s="81" t="s">
        <v>56</v>
      </c>
      <c r="F32" s="81" t="s">
        <v>57</v>
      </c>
      <c r="G32" s="81" t="s">
        <v>2</v>
      </c>
    </row>
    <row r="34" spans="1:7" ht="12.75" customHeight="1" x14ac:dyDescent="0.25">
      <c r="A34" s="82" t="s">
        <v>111</v>
      </c>
      <c r="B34" s="81">
        <v>1</v>
      </c>
      <c r="C34" s="37">
        <v>5226</v>
      </c>
      <c r="D34" s="37">
        <v>2550</v>
      </c>
      <c r="E34" s="37">
        <v>264</v>
      </c>
      <c r="F34" s="37">
        <v>6944</v>
      </c>
      <c r="G34" s="37">
        <v>14984</v>
      </c>
    </row>
    <row r="35" spans="1:7" ht="12.75" customHeight="1" x14ac:dyDescent="0.25">
      <c r="A35" s="82" t="s">
        <v>112</v>
      </c>
      <c r="B35" s="81">
        <v>3</v>
      </c>
      <c r="C35" s="37">
        <v>45607</v>
      </c>
      <c r="D35" s="37">
        <v>20399</v>
      </c>
      <c r="E35" s="37">
        <v>126</v>
      </c>
      <c r="F35" s="37">
        <v>6957</v>
      </c>
      <c r="G35" s="37">
        <v>73089</v>
      </c>
    </row>
    <row r="36" spans="1:7" ht="12.75" customHeight="1" x14ac:dyDescent="0.25">
      <c r="A36" s="82" t="s">
        <v>113</v>
      </c>
      <c r="B36" s="81">
        <v>4</v>
      </c>
      <c r="C36" s="37">
        <v>4885</v>
      </c>
      <c r="D36" s="37">
        <v>2419</v>
      </c>
      <c r="E36" s="37"/>
      <c r="F36" s="37"/>
      <c r="G36" s="37">
        <v>7525</v>
      </c>
    </row>
    <row r="37" spans="1:7" ht="12.75" customHeight="1" x14ac:dyDescent="0.25">
      <c r="A37" s="82" t="s">
        <v>171</v>
      </c>
      <c r="B37" s="81">
        <v>6</v>
      </c>
      <c r="C37" s="37">
        <v>27362</v>
      </c>
      <c r="D37" s="37">
        <v>11246</v>
      </c>
      <c r="E37" s="83">
        <v>275</v>
      </c>
      <c r="F37" s="83">
        <v>2021</v>
      </c>
      <c r="G37" s="37">
        <v>40904</v>
      </c>
    </row>
    <row r="38" spans="1:7" ht="12.75" customHeight="1" x14ac:dyDescent="0.25">
      <c r="A38" s="82" t="s">
        <v>115</v>
      </c>
      <c r="B38" s="81">
        <v>7</v>
      </c>
      <c r="C38" s="37">
        <v>79059</v>
      </c>
      <c r="D38" s="37">
        <v>91159</v>
      </c>
      <c r="E38" s="83">
        <v>125</v>
      </c>
      <c r="F38" s="83">
        <v>86565</v>
      </c>
      <c r="G38" s="37">
        <v>256908</v>
      </c>
    </row>
    <row r="39" spans="1:7" ht="12.75" customHeight="1" x14ac:dyDescent="0.25">
      <c r="A39" s="82" t="s">
        <v>172</v>
      </c>
      <c r="B39" s="81">
        <v>8</v>
      </c>
      <c r="C39" s="37">
        <v>23699</v>
      </c>
      <c r="D39" s="37">
        <v>14939</v>
      </c>
      <c r="E39" s="37">
        <v>70</v>
      </c>
      <c r="F39" s="37">
        <v>9157</v>
      </c>
      <c r="G39" s="37">
        <v>47865</v>
      </c>
    </row>
    <row r="40" spans="1:7" ht="12.75" customHeight="1" x14ac:dyDescent="0.25">
      <c r="A40" s="82" t="s">
        <v>117</v>
      </c>
      <c r="B40" s="81">
        <v>9</v>
      </c>
      <c r="C40" s="37">
        <v>21696</v>
      </c>
      <c r="D40" s="37">
        <v>32716</v>
      </c>
      <c r="E40" s="37">
        <v>37</v>
      </c>
      <c r="F40" s="37">
        <v>85099</v>
      </c>
      <c r="G40" s="37">
        <v>139548</v>
      </c>
    </row>
    <row r="41" spans="1:7" ht="12.75" customHeight="1" x14ac:dyDescent="0.25">
      <c r="A41" s="82" t="s">
        <v>25</v>
      </c>
      <c r="B41" s="81">
        <v>10</v>
      </c>
      <c r="C41" s="37">
        <v>30911</v>
      </c>
      <c r="D41" s="37">
        <v>12298</v>
      </c>
      <c r="E41" s="37">
        <v>165</v>
      </c>
      <c r="F41" s="37">
        <v>2636</v>
      </c>
      <c r="G41" s="37">
        <v>46010</v>
      </c>
    </row>
    <row r="42" spans="1:7" ht="12.75" customHeight="1" x14ac:dyDescent="0.25">
      <c r="A42" s="82" t="s">
        <v>118</v>
      </c>
      <c r="B42" s="81">
        <v>11</v>
      </c>
      <c r="C42" s="37">
        <v>29750</v>
      </c>
      <c r="D42" s="37">
        <v>5296</v>
      </c>
      <c r="E42" s="37"/>
      <c r="F42" s="37"/>
      <c r="G42" s="37">
        <v>35774</v>
      </c>
    </row>
    <row r="43" spans="1:7" ht="12.75" customHeight="1" x14ac:dyDescent="0.25">
      <c r="A43" s="82" t="s">
        <v>119</v>
      </c>
      <c r="B43" s="81">
        <v>12</v>
      </c>
      <c r="C43" s="37">
        <v>4438</v>
      </c>
      <c r="D43" s="37">
        <v>2691</v>
      </c>
      <c r="E43" s="37"/>
      <c r="F43" s="37"/>
      <c r="G43" s="37">
        <v>7861</v>
      </c>
    </row>
    <row r="44" spans="1:7" ht="12.75" customHeight="1" x14ac:dyDescent="0.25">
      <c r="A44" s="82" t="s">
        <v>120</v>
      </c>
      <c r="B44" s="81">
        <v>13</v>
      </c>
      <c r="C44" s="37">
        <v>54522</v>
      </c>
      <c r="D44" s="37">
        <v>23053</v>
      </c>
      <c r="E44" s="83">
        <v>925</v>
      </c>
      <c r="F44" s="83">
        <v>7079</v>
      </c>
      <c r="G44" s="37">
        <v>85579</v>
      </c>
    </row>
    <row r="45" spans="1:7" ht="12.75" customHeight="1" x14ac:dyDescent="0.25">
      <c r="A45" s="82" t="s">
        <v>173</v>
      </c>
      <c r="B45" s="81">
        <v>14</v>
      </c>
      <c r="C45" s="37">
        <v>21721</v>
      </c>
      <c r="D45" s="37">
        <v>15274</v>
      </c>
      <c r="E45" s="37">
        <v>770</v>
      </c>
      <c r="F45" s="37">
        <v>9896</v>
      </c>
      <c r="G45" s="37">
        <v>47661</v>
      </c>
    </row>
    <row r="46" spans="1:7" ht="12.75" customHeight="1" x14ac:dyDescent="0.25">
      <c r="A46" s="82" t="s">
        <v>122</v>
      </c>
      <c r="B46" s="81">
        <v>15</v>
      </c>
      <c r="C46" s="37">
        <v>17077</v>
      </c>
      <c r="D46" s="37">
        <v>7781</v>
      </c>
      <c r="E46" s="37"/>
      <c r="F46" s="37"/>
      <c r="G46" s="37">
        <v>25062</v>
      </c>
    </row>
    <row r="47" spans="1:7" ht="12.75" customHeight="1" x14ac:dyDescent="0.25">
      <c r="A47" s="82" t="s">
        <v>123</v>
      </c>
      <c r="B47" s="81">
        <v>16</v>
      </c>
      <c r="C47" s="37">
        <v>23992</v>
      </c>
      <c r="D47" s="37">
        <v>20462</v>
      </c>
      <c r="E47" s="37">
        <v>214</v>
      </c>
      <c r="F47" s="37">
        <v>3373</v>
      </c>
      <c r="G47" s="37">
        <v>48041</v>
      </c>
    </row>
    <row r="48" spans="1:7" ht="12.75" customHeight="1" x14ac:dyDescent="0.25">
      <c r="A48" s="82" t="s">
        <v>124</v>
      </c>
      <c r="B48" s="81">
        <v>17</v>
      </c>
      <c r="C48" s="37">
        <v>85970</v>
      </c>
      <c r="D48" s="37">
        <v>57914</v>
      </c>
      <c r="E48" s="83">
        <v>143</v>
      </c>
      <c r="F48" s="83">
        <v>20801</v>
      </c>
      <c r="G48" s="37">
        <v>164828</v>
      </c>
    </row>
    <row r="49" spans="1:7" ht="12.75" customHeight="1" x14ac:dyDescent="0.25">
      <c r="A49" s="82" t="s">
        <v>125</v>
      </c>
      <c r="B49" s="81">
        <v>18</v>
      </c>
      <c r="C49" s="37">
        <v>5810</v>
      </c>
      <c r="D49" s="37">
        <v>7855</v>
      </c>
      <c r="E49" s="37">
        <v>24</v>
      </c>
      <c r="F49" s="37">
        <v>11258</v>
      </c>
      <c r="G49" s="37">
        <v>24947</v>
      </c>
    </row>
    <row r="50" spans="1:7" ht="12.75" customHeight="1" x14ac:dyDescent="0.25">
      <c r="A50" s="82" t="s">
        <v>175</v>
      </c>
      <c r="B50" s="81">
        <v>19</v>
      </c>
      <c r="C50" s="37">
        <v>5976</v>
      </c>
      <c r="D50" s="37">
        <v>6790</v>
      </c>
      <c r="E50" s="37">
        <v>51</v>
      </c>
      <c r="F50" s="37">
        <v>3042</v>
      </c>
      <c r="G50" s="37">
        <v>15859</v>
      </c>
    </row>
    <row r="51" spans="1:7" ht="12.75" customHeight="1" x14ac:dyDescent="0.25">
      <c r="A51" s="82" t="s">
        <v>159</v>
      </c>
      <c r="B51" s="81">
        <v>78</v>
      </c>
      <c r="C51" s="37">
        <v>22715</v>
      </c>
      <c r="D51" s="37">
        <v>24024</v>
      </c>
      <c r="E51" s="37">
        <v>157614</v>
      </c>
      <c r="F51" s="37">
        <v>29666</v>
      </c>
      <c r="G51" s="37">
        <v>234019</v>
      </c>
    </row>
    <row r="52" spans="1:7" ht="12.75" customHeight="1" x14ac:dyDescent="0.25">
      <c r="C52" s="37"/>
      <c r="D52" s="37"/>
      <c r="E52" s="37"/>
      <c r="F52" s="37"/>
      <c r="G52" s="37"/>
    </row>
    <row r="53" spans="1:7" ht="12.75" customHeight="1" x14ac:dyDescent="0.25">
      <c r="B53" s="81" t="s">
        <v>2</v>
      </c>
      <c r="C53" s="37">
        <v>510416</v>
      </c>
      <c r="D53" s="37">
        <v>358866</v>
      </c>
      <c r="E53" s="37">
        <v>160814</v>
      </c>
      <c r="F53" s="37">
        <v>286368</v>
      </c>
      <c r="G53" s="37">
        <v>1316464</v>
      </c>
    </row>
    <row r="54" spans="1:7" ht="12.75" customHeight="1" x14ac:dyDescent="0.3">
      <c r="A54" s="68"/>
      <c r="C54" s="84"/>
      <c r="D54" s="84"/>
      <c r="E54" s="84"/>
      <c r="F54" s="84"/>
      <c r="G54" s="84"/>
    </row>
    <row r="57" spans="1:7" ht="12.75" customHeight="1" x14ac:dyDescent="0.3">
      <c r="A57" s="80" t="s">
        <v>220</v>
      </c>
    </row>
    <row r="59" spans="1:7" ht="12.75" customHeight="1" x14ac:dyDescent="0.25">
      <c r="C59" s="18" t="s">
        <v>188</v>
      </c>
      <c r="D59" s="81" t="s">
        <v>189</v>
      </c>
      <c r="E59" s="81" t="s">
        <v>56</v>
      </c>
      <c r="F59" s="81" t="s">
        <v>57</v>
      </c>
      <c r="G59" s="81" t="s">
        <v>2</v>
      </c>
    </row>
    <row r="61" spans="1:7" ht="12.75" customHeight="1" x14ac:dyDescent="0.25">
      <c r="A61" s="82" t="s">
        <v>111</v>
      </c>
      <c r="B61" s="81">
        <v>1</v>
      </c>
      <c r="C61" s="37">
        <v>3423</v>
      </c>
      <c r="D61" s="37">
        <v>2714</v>
      </c>
      <c r="E61" s="37">
        <v>373</v>
      </c>
      <c r="F61" s="37">
        <v>9936</v>
      </c>
      <c r="G61" s="37">
        <v>16446</v>
      </c>
    </row>
    <row r="62" spans="1:7" ht="12.75" customHeight="1" x14ac:dyDescent="0.25">
      <c r="A62" s="82" t="s">
        <v>112</v>
      </c>
      <c r="B62" s="81">
        <v>3</v>
      </c>
      <c r="C62" s="37">
        <v>29632</v>
      </c>
      <c r="D62" s="37">
        <v>11333</v>
      </c>
      <c r="E62" s="37">
        <v>145</v>
      </c>
      <c r="F62" s="37">
        <v>5745</v>
      </c>
      <c r="G62" s="37">
        <v>46855</v>
      </c>
    </row>
    <row r="63" spans="1:7" ht="12.75" customHeight="1" x14ac:dyDescent="0.25">
      <c r="A63" s="82" t="s">
        <v>113</v>
      </c>
      <c r="B63" s="81">
        <v>4</v>
      </c>
      <c r="C63" s="37">
        <v>2894</v>
      </c>
      <c r="D63" s="37">
        <v>1186</v>
      </c>
      <c r="E63" s="37"/>
      <c r="F63" s="37"/>
      <c r="G63" s="37">
        <v>4266</v>
      </c>
    </row>
    <row r="64" spans="1:7" ht="12.75" customHeight="1" x14ac:dyDescent="0.25">
      <c r="A64" s="82" t="s">
        <v>171</v>
      </c>
      <c r="B64" s="81">
        <v>6</v>
      </c>
      <c r="C64" s="37">
        <v>12242</v>
      </c>
      <c r="D64" s="37">
        <v>5519</v>
      </c>
      <c r="E64" s="83">
        <v>409</v>
      </c>
      <c r="F64" s="83">
        <v>2349</v>
      </c>
      <c r="G64" s="37">
        <v>20519</v>
      </c>
    </row>
    <row r="65" spans="1:7" ht="12.75" customHeight="1" x14ac:dyDescent="0.25">
      <c r="A65" s="82" t="s">
        <v>115</v>
      </c>
      <c r="B65" s="81">
        <v>7</v>
      </c>
      <c r="C65" s="37">
        <v>39147</v>
      </c>
      <c r="D65" s="37">
        <v>49966</v>
      </c>
      <c r="E65" s="83">
        <v>173</v>
      </c>
      <c r="F65" s="83">
        <v>48740</v>
      </c>
      <c r="G65" s="37">
        <v>138026</v>
      </c>
    </row>
    <row r="66" spans="1:7" ht="12.75" customHeight="1" x14ac:dyDescent="0.25">
      <c r="A66" s="82" t="s">
        <v>172</v>
      </c>
      <c r="B66" s="81">
        <v>8</v>
      </c>
      <c r="C66" s="37">
        <v>14783</v>
      </c>
      <c r="D66" s="37">
        <v>7989</v>
      </c>
      <c r="E66" s="37">
        <v>47</v>
      </c>
      <c r="F66" s="37">
        <v>6958</v>
      </c>
      <c r="G66" s="37">
        <v>29777</v>
      </c>
    </row>
    <row r="67" spans="1:7" ht="12.75" customHeight="1" x14ac:dyDescent="0.25">
      <c r="A67" s="82" t="s">
        <v>117</v>
      </c>
      <c r="B67" s="81">
        <v>9</v>
      </c>
      <c r="C67" s="37">
        <v>8259</v>
      </c>
      <c r="D67" s="37">
        <v>15419</v>
      </c>
      <c r="E67" s="37">
        <v>21</v>
      </c>
      <c r="F67" s="37">
        <v>47659</v>
      </c>
      <c r="G67" s="37">
        <v>71358</v>
      </c>
    </row>
    <row r="68" spans="1:7" ht="12.75" customHeight="1" x14ac:dyDescent="0.25">
      <c r="A68" s="82" t="s">
        <v>25</v>
      </c>
      <c r="B68" s="81">
        <v>10</v>
      </c>
      <c r="C68" s="37">
        <v>13992</v>
      </c>
      <c r="D68" s="37">
        <v>6878</v>
      </c>
      <c r="E68" s="37">
        <v>90</v>
      </c>
      <c r="F68" s="37">
        <v>1955</v>
      </c>
      <c r="G68" s="37">
        <v>22915</v>
      </c>
    </row>
    <row r="69" spans="1:7" ht="12.75" customHeight="1" x14ac:dyDescent="0.25">
      <c r="A69" s="82" t="s">
        <v>118</v>
      </c>
      <c r="B69" s="81">
        <v>11</v>
      </c>
      <c r="C69" s="37">
        <v>8385</v>
      </c>
      <c r="D69" s="37">
        <v>2627</v>
      </c>
      <c r="E69" s="37"/>
      <c r="F69" s="37"/>
      <c r="G69" s="37">
        <v>11540</v>
      </c>
    </row>
    <row r="70" spans="1:7" ht="12.75" customHeight="1" x14ac:dyDescent="0.25">
      <c r="A70" s="82" t="s">
        <v>119</v>
      </c>
      <c r="B70" s="81">
        <v>12</v>
      </c>
      <c r="C70" s="37">
        <v>2443</v>
      </c>
      <c r="D70" s="37">
        <v>1229</v>
      </c>
      <c r="E70" s="37"/>
      <c r="F70" s="37"/>
      <c r="G70" s="37">
        <v>4134</v>
      </c>
    </row>
    <row r="71" spans="1:7" ht="12.75" customHeight="1" x14ac:dyDescent="0.25">
      <c r="A71" s="82" t="s">
        <v>120</v>
      </c>
      <c r="B71" s="81">
        <v>13</v>
      </c>
      <c r="C71" s="37">
        <v>21683</v>
      </c>
      <c r="D71" s="37">
        <v>11449</v>
      </c>
      <c r="E71" s="83">
        <v>383</v>
      </c>
      <c r="F71" s="83">
        <v>5167</v>
      </c>
      <c r="G71" s="37">
        <v>38682</v>
      </c>
    </row>
    <row r="72" spans="1:7" ht="12.75" customHeight="1" x14ac:dyDescent="0.25">
      <c r="A72" s="82" t="s">
        <v>173</v>
      </c>
      <c r="B72" s="81">
        <v>14</v>
      </c>
      <c r="C72" s="37">
        <v>12096</v>
      </c>
      <c r="D72" s="37">
        <v>9062</v>
      </c>
      <c r="E72" s="37">
        <v>480</v>
      </c>
      <c r="F72" s="37">
        <v>7074</v>
      </c>
      <c r="G72" s="37">
        <v>28712</v>
      </c>
    </row>
    <row r="73" spans="1:7" ht="12.75" customHeight="1" x14ac:dyDescent="0.25">
      <c r="A73" s="82" t="s">
        <v>122</v>
      </c>
      <c r="B73" s="81">
        <v>15</v>
      </c>
      <c r="C73" s="37">
        <v>20593</v>
      </c>
      <c r="D73" s="37">
        <v>4969</v>
      </c>
      <c r="E73" s="37"/>
      <c r="F73" s="37"/>
      <c r="G73" s="37">
        <v>25890</v>
      </c>
    </row>
    <row r="74" spans="1:7" ht="12.75" customHeight="1" x14ac:dyDescent="0.25">
      <c r="A74" s="82" t="s">
        <v>123</v>
      </c>
      <c r="B74" s="81">
        <v>16</v>
      </c>
      <c r="C74" s="37">
        <v>17881</v>
      </c>
      <c r="D74" s="37">
        <v>15606</v>
      </c>
      <c r="E74" s="37">
        <v>102</v>
      </c>
      <c r="F74" s="37">
        <v>3957</v>
      </c>
      <c r="G74" s="37">
        <v>37546</v>
      </c>
    </row>
    <row r="75" spans="1:7" ht="12.75" customHeight="1" x14ac:dyDescent="0.25">
      <c r="A75" s="82" t="s">
        <v>124</v>
      </c>
      <c r="B75" s="81">
        <v>17</v>
      </c>
      <c r="C75" s="37">
        <v>47361</v>
      </c>
      <c r="D75" s="37">
        <v>27118</v>
      </c>
      <c r="E75" s="83">
        <v>72</v>
      </c>
      <c r="F75" s="83">
        <v>13297</v>
      </c>
      <c r="G75" s="37">
        <v>87848</v>
      </c>
    </row>
    <row r="76" spans="1:7" ht="12.75" customHeight="1" x14ac:dyDescent="0.25">
      <c r="A76" s="82" t="s">
        <v>125</v>
      </c>
      <c r="B76" s="81">
        <v>18</v>
      </c>
      <c r="C76" s="37">
        <v>3894</v>
      </c>
      <c r="D76" s="37">
        <v>4992</v>
      </c>
      <c r="E76" s="37">
        <v>12</v>
      </c>
      <c r="F76" s="37">
        <v>6445</v>
      </c>
      <c r="G76" s="37">
        <v>15343</v>
      </c>
    </row>
    <row r="77" spans="1:7" ht="12.75" customHeight="1" x14ac:dyDescent="0.25">
      <c r="A77" s="82" t="s">
        <v>175</v>
      </c>
      <c r="B77" s="81">
        <v>19</v>
      </c>
      <c r="C77" s="37">
        <v>4980</v>
      </c>
      <c r="D77" s="37">
        <v>4363</v>
      </c>
      <c r="E77" s="37">
        <v>15</v>
      </c>
      <c r="F77" s="37">
        <v>2357</v>
      </c>
      <c r="G77" s="37">
        <v>11715</v>
      </c>
    </row>
    <row r="78" spans="1:7" ht="12.75" customHeight="1" x14ac:dyDescent="0.25">
      <c r="A78" s="82" t="s">
        <v>159</v>
      </c>
      <c r="B78" s="81">
        <v>78</v>
      </c>
      <c r="C78" s="37">
        <v>10473</v>
      </c>
      <c r="D78" s="37">
        <v>11058</v>
      </c>
      <c r="E78" s="37">
        <v>113705</v>
      </c>
      <c r="F78" s="37">
        <v>21904</v>
      </c>
      <c r="G78" s="37">
        <v>157140</v>
      </c>
    </row>
    <row r="79" spans="1:7" ht="12.75" customHeight="1" x14ac:dyDescent="0.25">
      <c r="C79" s="37"/>
      <c r="D79" s="37"/>
      <c r="E79" s="37"/>
      <c r="F79" s="37"/>
      <c r="G79" s="37"/>
    </row>
    <row r="80" spans="1:7" ht="12.75" customHeight="1" x14ac:dyDescent="0.25">
      <c r="B80" s="81" t="s">
        <v>2</v>
      </c>
      <c r="C80" s="37">
        <v>274161</v>
      </c>
      <c r="D80" s="37">
        <v>193477</v>
      </c>
      <c r="E80" s="37">
        <v>116033</v>
      </c>
      <c r="F80" s="37">
        <v>185041</v>
      </c>
      <c r="G80" s="37">
        <v>768712</v>
      </c>
    </row>
    <row r="84" spans="1:7" ht="12.75" customHeight="1" x14ac:dyDescent="0.3">
      <c r="A84" s="80" t="s">
        <v>221</v>
      </c>
    </row>
    <row r="86" spans="1:7" ht="12.75" customHeight="1" x14ac:dyDescent="0.25">
      <c r="C86" s="18" t="s">
        <v>188</v>
      </c>
      <c r="D86" s="81" t="s">
        <v>189</v>
      </c>
      <c r="E86" s="81" t="s">
        <v>56</v>
      </c>
      <c r="F86" s="81" t="s">
        <v>57</v>
      </c>
      <c r="G86" s="81" t="s">
        <v>2</v>
      </c>
    </row>
    <row r="88" spans="1:7" ht="12.75" customHeight="1" x14ac:dyDescent="0.25">
      <c r="A88" s="82" t="s">
        <v>111</v>
      </c>
      <c r="B88" s="81">
        <v>1</v>
      </c>
      <c r="C88" s="37">
        <v>1987</v>
      </c>
      <c r="D88" s="37">
        <v>734</v>
      </c>
      <c r="E88" s="37"/>
      <c r="F88" s="37"/>
      <c r="G88" s="37">
        <v>4964</v>
      </c>
    </row>
    <row r="89" spans="1:7" ht="12.75" customHeight="1" x14ac:dyDescent="0.25">
      <c r="A89" s="82" t="s">
        <v>112</v>
      </c>
      <c r="B89" s="81">
        <v>3</v>
      </c>
      <c r="C89" s="37">
        <v>20576</v>
      </c>
      <c r="D89" s="37">
        <v>5693</v>
      </c>
      <c r="E89" s="37"/>
      <c r="F89" s="37"/>
      <c r="G89" s="37">
        <v>27137</v>
      </c>
    </row>
    <row r="90" spans="1:7" ht="12.75" customHeight="1" x14ac:dyDescent="0.25">
      <c r="A90" s="82" t="s">
        <v>113</v>
      </c>
      <c r="B90" s="81">
        <v>4</v>
      </c>
      <c r="C90" s="37">
        <v>1065</v>
      </c>
      <c r="D90" s="37">
        <v>261</v>
      </c>
      <c r="E90" s="37"/>
      <c r="F90" s="37"/>
      <c r="G90" s="37">
        <v>1334</v>
      </c>
    </row>
    <row r="91" spans="1:7" ht="12.75" customHeight="1" x14ac:dyDescent="0.25">
      <c r="A91" s="82" t="s">
        <v>171</v>
      </c>
      <c r="B91" s="81">
        <v>6</v>
      </c>
      <c r="C91" s="37">
        <v>16072</v>
      </c>
      <c r="D91" s="37">
        <v>4144</v>
      </c>
      <c r="E91" s="83"/>
      <c r="F91" s="83"/>
      <c r="G91" s="37">
        <v>20727</v>
      </c>
    </row>
    <row r="92" spans="1:7" ht="12.75" customHeight="1" x14ac:dyDescent="0.25">
      <c r="A92" s="82" t="s">
        <v>115</v>
      </c>
      <c r="B92" s="81">
        <v>7</v>
      </c>
      <c r="C92" s="37">
        <v>34388</v>
      </c>
      <c r="D92" s="37">
        <v>35728</v>
      </c>
      <c r="E92" s="83"/>
      <c r="F92" s="83"/>
      <c r="G92" s="37">
        <v>98097</v>
      </c>
    </row>
    <row r="93" spans="1:7" ht="12.75" customHeight="1" x14ac:dyDescent="0.25">
      <c r="A93" s="82" t="s">
        <v>172</v>
      </c>
      <c r="B93" s="81">
        <v>8</v>
      </c>
      <c r="C93" s="37">
        <v>11712</v>
      </c>
      <c r="D93" s="37">
        <v>5705</v>
      </c>
      <c r="E93" s="37"/>
      <c r="F93" s="37"/>
      <c r="G93" s="37">
        <v>19794</v>
      </c>
    </row>
    <row r="94" spans="1:7" ht="12.75" customHeight="1" x14ac:dyDescent="0.25">
      <c r="A94" s="82" t="s">
        <v>117</v>
      </c>
      <c r="B94" s="81">
        <v>9</v>
      </c>
      <c r="C94" s="37">
        <v>11090</v>
      </c>
      <c r="D94" s="37">
        <v>15463</v>
      </c>
      <c r="E94" s="37"/>
      <c r="F94" s="37"/>
      <c r="G94" s="37">
        <v>55621</v>
      </c>
    </row>
    <row r="95" spans="1:7" ht="12.75" customHeight="1" x14ac:dyDescent="0.25">
      <c r="A95" s="82" t="s">
        <v>25</v>
      </c>
      <c r="B95" s="81">
        <v>10</v>
      </c>
      <c r="C95" s="37">
        <v>13126</v>
      </c>
      <c r="D95" s="37">
        <v>3840</v>
      </c>
      <c r="E95" s="37"/>
      <c r="F95" s="37"/>
      <c r="G95" s="37">
        <v>17351</v>
      </c>
    </row>
    <row r="96" spans="1:7" ht="12.75" customHeight="1" x14ac:dyDescent="0.25">
      <c r="A96" s="82" t="s">
        <v>118</v>
      </c>
      <c r="B96" s="81">
        <v>11</v>
      </c>
      <c r="C96" s="37">
        <v>22805</v>
      </c>
      <c r="D96" s="37">
        <v>2355</v>
      </c>
      <c r="E96" s="37"/>
      <c r="F96" s="37"/>
      <c r="G96" s="37">
        <v>25260</v>
      </c>
    </row>
    <row r="97" spans="1:7" ht="12.75" customHeight="1" x14ac:dyDescent="0.25">
      <c r="A97" s="82" t="s">
        <v>119</v>
      </c>
      <c r="B97" s="81">
        <v>12</v>
      </c>
      <c r="C97" s="37">
        <v>1533</v>
      </c>
      <c r="D97" s="37">
        <v>686</v>
      </c>
      <c r="E97" s="37"/>
      <c r="F97" s="37"/>
      <c r="G97" s="37">
        <v>2287</v>
      </c>
    </row>
    <row r="98" spans="1:7" ht="12.75" customHeight="1" x14ac:dyDescent="0.25">
      <c r="A98" s="82" t="s">
        <v>120</v>
      </c>
      <c r="B98" s="81">
        <v>13</v>
      </c>
      <c r="C98" s="37">
        <v>23410</v>
      </c>
      <c r="D98" s="37">
        <v>7142</v>
      </c>
      <c r="E98" s="83"/>
      <c r="F98" s="83"/>
      <c r="G98" s="37">
        <v>32195</v>
      </c>
    </row>
    <row r="99" spans="1:7" ht="12.75" customHeight="1" x14ac:dyDescent="0.25">
      <c r="A99" s="82" t="s">
        <v>173</v>
      </c>
      <c r="B99" s="81">
        <v>14</v>
      </c>
      <c r="C99" s="37">
        <v>9252</v>
      </c>
      <c r="D99" s="37">
        <v>3913</v>
      </c>
      <c r="E99" s="37"/>
      <c r="F99" s="37"/>
      <c r="G99" s="37">
        <v>15354</v>
      </c>
    </row>
    <row r="100" spans="1:7" ht="12.75" customHeight="1" x14ac:dyDescent="0.25">
      <c r="A100" s="82" t="s">
        <v>122</v>
      </c>
      <c r="B100" s="81">
        <v>15</v>
      </c>
      <c r="C100" s="37">
        <v>10235</v>
      </c>
      <c r="D100" s="37">
        <v>3119</v>
      </c>
      <c r="E100" s="37"/>
      <c r="F100" s="37"/>
      <c r="G100" s="37">
        <v>13410</v>
      </c>
    </row>
    <row r="101" spans="1:7" ht="12.75" customHeight="1" x14ac:dyDescent="0.25">
      <c r="A101" s="82" t="s">
        <v>123</v>
      </c>
      <c r="B101" s="81">
        <v>16</v>
      </c>
      <c r="C101" s="37">
        <v>15894</v>
      </c>
      <c r="D101" s="37">
        <v>9171</v>
      </c>
      <c r="E101" s="37"/>
      <c r="F101" s="37"/>
      <c r="G101" s="37">
        <v>25711</v>
      </c>
    </row>
    <row r="102" spans="1:7" ht="12.75" customHeight="1" x14ac:dyDescent="0.25">
      <c r="A102" s="82" t="s">
        <v>124</v>
      </c>
      <c r="B102" s="81">
        <v>17</v>
      </c>
      <c r="C102" s="37">
        <v>66126</v>
      </c>
      <c r="D102" s="37">
        <v>40051</v>
      </c>
      <c r="E102" s="83"/>
      <c r="F102" s="83"/>
      <c r="G102" s="37">
        <v>118046</v>
      </c>
    </row>
    <row r="103" spans="1:7" ht="12.75" customHeight="1" x14ac:dyDescent="0.25">
      <c r="A103" s="82" t="s">
        <v>125</v>
      </c>
      <c r="B103" s="81">
        <v>18</v>
      </c>
      <c r="C103" s="37">
        <v>1526</v>
      </c>
      <c r="D103" s="37">
        <v>1859</v>
      </c>
      <c r="E103" s="37"/>
      <c r="F103" s="37"/>
      <c r="G103" s="37">
        <v>4859</v>
      </c>
    </row>
    <row r="104" spans="1:7" ht="12.75" customHeight="1" x14ac:dyDescent="0.25">
      <c r="A104" s="82" t="s">
        <v>175</v>
      </c>
      <c r="B104" s="81">
        <v>19</v>
      </c>
      <c r="C104" s="37">
        <v>1663</v>
      </c>
      <c r="D104" s="37">
        <v>1660</v>
      </c>
      <c r="E104" s="37"/>
      <c r="F104" s="37"/>
      <c r="G104" s="37">
        <v>3974</v>
      </c>
    </row>
    <row r="105" spans="1:7" ht="12.75" customHeight="1" x14ac:dyDescent="0.25">
      <c r="A105" s="82" t="s">
        <v>159</v>
      </c>
      <c r="B105" s="81">
        <v>78</v>
      </c>
      <c r="C105" s="37">
        <v>5670</v>
      </c>
      <c r="D105" s="37">
        <v>5684</v>
      </c>
      <c r="E105" s="37"/>
      <c r="F105" s="37"/>
      <c r="G105" s="37">
        <v>86047</v>
      </c>
    </row>
    <row r="106" spans="1:7" ht="12.75" customHeight="1" x14ac:dyDescent="0.25">
      <c r="C106" s="37"/>
      <c r="D106" s="37"/>
      <c r="E106" s="37"/>
      <c r="F106" s="37"/>
      <c r="G106" s="37"/>
    </row>
    <row r="107" spans="1:7" ht="12.75" customHeight="1" x14ac:dyDescent="0.25">
      <c r="B107" s="81" t="s">
        <v>2</v>
      </c>
      <c r="C107" s="37">
        <v>268130</v>
      </c>
      <c r="D107" s="37">
        <v>147208</v>
      </c>
      <c r="E107" s="37">
        <v>67619</v>
      </c>
      <c r="F107" s="37">
        <v>89211</v>
      </c>
      <c r="G107" s="37">
        <v>572168</v>
      </c>
    </row>
    <row r="108" spans="1:7" ht="12.75" customHeight="1" x14ac:dyDescent="0.3">
      <c r="A108" s="68"/>
      <c r="C108" s="84"/>
      <c r="D108" s="84"/>
      <c r="E108" s="84"/>
      <c r="F108" s="84"/>
      <c r="G108" s="84"/>
    </row>
  </sheetData>
  <conditionalFormatting sqref="C7:G26 C34:G53 C61:G80 C88:G107">
    <cfRule type="cellIs" dxfId="6" priority="2" operator="lessThan">
      <formula>10</formula>
    </cfRule>
  </conditionalFormatting>
  <conditionalFormatting sqref="M6:Q25">
    <cfRule type="dataBar" priority="1">
      <dataBar>
        <cfvo type="min"/>
        <cfvo type="max"/>
        <color rgb="FF638EC6"/>
      </dataBar>
      <extLst>
        <ext xmlns:x14="http://schemas.microsoft.com/office/spreadsheetml/2009/9/main" uri="{B025F937-C7B1-47D3-B67F-A62EFF666E3E}">
          <x14:id>{2FEE7CEC-3593-4A56-8D04-6E516ADB1CFE}</x14:id>
        </ext>
      </extLst>
    </cfRule>
  </conditionalFormatting>
  <pageMargins left="0.78749999999999998" right="0.78749999999999998" top="1.0249999999999999" bottom="1.0249999999999999" header="0.78749999999999998" footer="0.78749999999999998"/>
  <pageSetup paperSize="9" orientation="portrait" horizontalDpi="300" verticalDpi="300"/>
  <headerFooter>
    <oddHeader>&amp;L&amp;"Aptos"&amp;10&amp;K2FB5E4 | DNB UNRESTRICTED |&amp;1#_x000D_&amp;C&amp;A</oddHeader>
    <oddFooter>&amp;CPagina &amp;P</oddFooter>
  </headerFooter>
  <drawing r:id="rId1"/>
  <extLst>
    <ext xmlns:x14="http://schemas.microsoft.com/office/spreadsheetml/2009/9/main" uri="{78C0D931-6437-407d-A8EE-F0AAD7539E65}">
      <x14:conditionalFormattings>
        <x14:conditionalFormatting xmlns:xm="http://schemas.microsoft.com/office/excel/2006/main">
          <x14:cfRule type="dataBar" id="{2FEE7CEC-3593-4A56-8D04-6E516ADB1CFE}">
            <x14:dataBar minLength="0" maxLength="100" border="1" negativeBarBorderColorSameAsPositive="0">
              <x14:cfvo type="autoMin"/>
              <x14:cfvo type="autoMax"/>
              <x14:borderColor rgb="FF638EC6"/>
              <x14:negativeFillColor rgb="FFFF0000"/>
              <x14:negativeBorderColor rgb="FFFF0000"/>
              <x14:axisColor rgb="FF000000"/>
            </x14:dataBar>
          </x14:cfRule>
          <xm:sqref>M6:Q25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99C3C-666D-43F7-A659-03030B9D66D7}">
  <dimension ref="A1:BP29"/>
  <sheetViews>
    <sheetView zoomScale="112" zoomScaleNormal="112" workbookViewId="0">
      <selection activeCell="V28" sqref="U26:V28"/>
    </sheetView>
  </sheetViews>
  <sheetFormatPr defaultColWidth="11.54296875" defaultRowHeight="12.75" customHeight="1" x14ac:dyDescent="0.25"/>
  <cols>
    <col min="1" max="1" width="26" style="18" bestFit="1" customWidth="1"/>
    <col min="2" max="2" width="5.81640625" style="68" customWidth="1"/>
    <col min="3" max="24" width="11.54296875" style="18"/>
    <col min="25" max="44" width="7" style="18" customWidth="1"/>
    <col min="45" max="46" width="11.54296875" style="18"/>
    <col min="47" max="47" width="17.54296875" style="27" bestFit="1" customWidth="1"/>
    <col min="48" max="65" width="4.81640625" style="23" customWidth="1"/>
    <col min="66" max="66" width="10" style="23" customWidth="1"/>
    <col min="67" max="70" width="11.54296875" style="18"/>
    <col min="71" max="71" width="5.26953125" style="18" customWidth="1"/>
    <col min="72" max="89" width="5.81640625" style="18" customWidth="1"/>
    <col min="90" max="16384" width="11.54296875" style="18"/>
  </cols>
  <sheetData>
    <row r="1" spans="1:68" ht="12.75" customHeight="1" x14ac:dyDescent="0.35">
      <c r="A1" s="49">
        <v>2024</v>
      </c>
    </row>
    <row r="3" spans="1:68" ht="12.75" customHeight="1" x14ac:dyDescent="0.3">
      <c r="A3" s="55" t="s">
        <v>235</v>
      </c>
      <c r="C3" s="114" t="s">
        <v>185</v>
      </c>
    </row>
    <row r="4" spans="1:68" ht="12.75" customHeight="1" x14ac:dyDescent="0.3">
      <c r="B4" s="20"/>
    </row>
    <row r="5" spans="1:68" ht="13" x14ac:dyDescent="0.3">
      <c r="C5" s="51" t="s">
        <v>111</v>
      </c>
      <c r="D5" s="51" t="s">
        <v>112</v>
      </c>
      <c r="E5" s="51" t="s">
        <v>113</v>
      </c>
      <c r="F5" s="51" t="s">
        <v>171</v>
      </c>
      <c r="G5" s="51" t="s">
        <v>115</v>
      </c>
      <c r="H5" s="51" t="s">
        <v>172</v>
      </c>
      <c r="I5" s="51" t="s">
        <v>117</v>
      </c>
      <c r="J5" s="51" t="s">
        <v>25</v>
      </c>
      <c r="K5" s="51" t="s">
        <v>118</v>
      </c>
      <c r="L5" s="51" t="s">
        <v>119</v>
      </c>
      <c r="M5" s="51" t="s">
        <v>120</v>
      </c>
      <c r="N5" s="51" t="s">
        <v>173</v>
      </c>
      <c r="O5" s="51" t="s">
        <v>122</v>
      </c>
      <c r="P5" s="51" t="s">
        <v>123</v>
      </c>
      <c r="Q5" s="51" t="s">
        <v>174</v>
      </c>
      <c r="R5" s="51" t="s">
        <v>125</v>
      </c>
      <c r="S5" s="51" t="s">
        <v>175</v>
      </c>
      <c r="T5" s="51" t="s">
        <v>159</v>
      </c>
      <c r="U5" s="51" t="s">
        <v>177</v>
      </c>
      <c r="V5" s="18" t="s">
        <v>23</v>
      </c>
      <c r="X5" s="20"/>
    </row>
    <row r="6" spans="1:68" ht="13" x14ac:dyDescent="0.3">
      <c r="C6" s="18">
        <v>1</v>
      </c>
      <c r="D6" s="18">
        <v>3</v>
      </c>
      <c r="E6" s="18">
        <v>4</v>
      </c>
      <c r="F6" s="18">
        <v>6</v>
      </c>
      <c r="G6" s="18">
        <v>7</v>
      </c>
      <c r="H6" s="18">
        <v>8</v>
      </c>
      <c r="I6" s="18">
        <v>9</v>
      </c>
      <c r="J6" s="18">
        <v>10</v>
      </c>
      <c r="K6" s="18">
        <v>11</v>
      </c>
      <c r="L6" s="18">
        <v>12</v>
      </c>
      <c r="M6" s="18">
        <v>13</v>
      </c>
      <c r="N6" s="18">
        <v>14</v>
      </c>
      <c r="O6" s="18">
        <v>15</v>
      </c>
      <c r="P6" s="18">
        <v>16</v>
      </c>
      <c r="Q6" s="18">
        <v>17</v>
      </c>
      <c r="R6" s="18">
        <v>18</v>
      </c>
      <c r="S6" s="18">
        <v>19</v>
      </c>
      <c r="T6" s="18">
        <v>78</v>
      </c>
      <c r="U6" s="18">
        <v>999</v>
      </c>
      <c r="V6" s="18" t="s">
        <v>2</v>
      </c>
      <c r="X6" s="20"/>
      <c r="Y6" s="51" t="s">
        <v>111</v>
      </c>
      <c r="Z6" s="51" t="s">
        <v>112</v>
      </c>
      <c r="AA6" s="51" t="s">
        <v>113</v>
      </c>
      <c r="AB6" s="51" t="s">
        <v>171</v>
      </c>
      <c r="AC6" s="51" t="s">
        <v>115</v>
      </c>
      <c r="AD6" s="51" t="s">
        <v>172</v>
      </c>
      <c r="AE6" s="51" t="s">
        <v>117</v>
      </c>
      <c r="AF6" s="51" t="s">
        <v>25</v>
      </c>
      <c r="AG6" s="51" t="s">
        <v>118</v>
      </c>
      <c r="AH6" s="51" t="s">
        <v>119</v>
      </c>
      <c r="AI6" s="51" t="s">
        <v>120</v>
      </c>
      <c r="AJ6" s="51" t="s">
        <v>173</v>
      </c>
      <c r="AK6" s="51" t="s">
        <v>122</v>
      </c>
      <c r="AL6" s="51" t="s">
        <v>123</v>
      </c>
      <c r="AM6" s="51" t="s">
        <v>174</v>
      </c>
      <c r="AN6" s="51" t="s">
        <v>125</v>
      </c>
      <c r="AO6" s="51" t="s">
        <v>175</v>
      </c>
      <c r="AP6" s="51" t="s">
        <v>159</v>
      </c>
      <c r="AQ6" s="48"/>
      <c r="AT6" s="24"/>
      <c r="AU6" s="28"/>
      <c r="AV6" s="25"/>
      <c r="AW6" s="25"/>
      <c r="AX6" s="25"/>
      <c r="AY6" s="25"/>
      <c r="AZ6" s="25"/>
      <c r="BA6" s="25"/>
      <c r="BB6" s="25"/>
      <c r="BC6" s="25"/>
      <c r="BD6" s="25"/>
      <c r="BE6" s="25"/>
      <c r="BF6" s="25"/>
      <c r="BG6" s="25"/>
      <c r="BH6" s="25"/>
      <c r="BI6" s="25"/>
      <c r="BJ6" s="25"/>
      <c r="BK6" s="25"/>
      <c r="BL6" s="25"/>
      <c r="BM6" s="25"/>
      <c r="BN6" s="25"/>
      <c r="BO6" s="24"/>
      <c r="BP6" s="24"/>
    </row>
    <row r="7" spans="1:68" ht="12.5" x14ac:dyDescent="0.25">
      <c r="X7" s="29"/>
      <c r="Y7" s="53" t="s">
        <v>129</v>
      </c>
      <c r="Z7" s="53" t="s">
        <v>130</v>
      </c>
      <c r="AA7" s="53" t="s">
        <v>131</v>
      </c>
      <c r="AB7" s="53" t="s">
        <v>132</v>
      </c>
      <c r="AC7" s="53" t="s">
        <v>133</v>
      </c>
      <c r="AD7" s="53" t="s">
        <v>134</v>
      </c>
      <c r="AE7" s="53" t="s">
        <v>135</v>
      </c>
      <c r="AF7" s="53" t="s">
        <v>136</v>
      </c>
      <c r="AG7" s="53" t="s">
        <v>137</v>
      </c>
      <c r="AH7" s="53" t="s">
        <v>138</v>
      </c>
      <c r="AI7" s="53" t="s">
        <v>139</v>
      </c>
      <c r="AJ7" s="53" t="s">
        <v>140</v>
      </c>
      <c r="AK7" s="53" t="s">
        <v>141</v>
      </c>
      <c r="AL7" s="53" t="s">
        <v>142</v>
      </c>
      <c r="AM7" s="53" t="s">
        <v>143</v>
      </c>
      <c r="AN7" s="53" t="s">
        <v>144</v>
      </c>
      <c r="AO7" s="53" t="s">
        <v>145</v>
      </c>
      <c r="AP7" s="53">
        <v>78</v>
      </c>
      <c r="AQ7" s="53" t="s">
        <v>128</v>
      </c>
      <c r="AR7" s="53" t="s">
        <v>2</v>
      </c>
      <c r="AT7" s="26"/>
      <c r="AU7" s="31"/>
      <c r="AV7" s="32" t="s">
        <v>129</v>
      </c>
      <c r="AW7" s="32" t="s">
        <v>178</v>
      </c>
      <c r="AX7" s="32" t="s">
        <v>179</v>
      </c>
      <c r="AY7" s="32" t="s">
        <v>132</v>
      </c>
      <c r="AZ7" s="32" t="s">
        <v>133</v>
      </c>
      <c r="BA7" s="32" t="s">
        <v>134</v>
      </c>
      <c r="BB7" s="32" t="s">
        <v>135</v>
      </c>
      <c r="BC7" s="32" t="s">
        <v>136</v>
      </c>
      <c r="BD7" s="32" t="s">
        <v>137</v>
      </c>
      <c r="BE7" s="32" t="s">
        <v>138</v>
      </c>
      <c r="BF7" s="32" t="s">
        <v>139</v>
      </c>
      <c r="BG7" s="32" t="s">
        <v>140</v>
      </c>
      <c r="BH7" s="32" t="s">
        <v>141</v>
      </c>
      <c r="BI7" s="32" t="s">
        <v>142</v>
      </c>
      <c r="BJ7" s="32" t="s">
        <v>143</v>
      </c>
      <c r="BK7" s="32" t="s">
        <v>144</v>
      </c>
      <c r="BL7" s="32" t="s">
        <v>145</v>
      </c>
      <c r="BM7" s="32">
        <v>78</v>
      </c>
      <c r="BN7" s="32" t="s">
        <v>127</v>
      </c>
      <c r="BO7" s="33" t="s">
        <v>31</v>
      </c>
      <c r="BP7" s="26"/>
    </row>
    <row r="8" spans="1:68" ht="12.5" x14ac:dyDescent="0.25">
      <c r="A8" s="51" t="s">
        <v>111</v>
      </c>
      <c r="B8" s="68">
        <v>1</v>
      </c>
      <c r="C8" s="18">
        <v>4964</v>
      </c>
      <c r="D8" s="18">
        <v>549</v>
      </c>
      <c r="E8" s="18">
        <v>57</v>
      </c>
      <c r="F8" s="18">
        <v>450</v>
      </c>
      <c r="G8" s="18">
        <v>1882</v>
      </c>
      <c r="H8" s="18">
        <v>461</v>
      </c>
      <c r="I8" s="18">
        <v>553</v>
      </c>
      <c r="J8" s="18">
        <v>77</v>
      </c>
      <c r="K8" s="18">
        <v>47</v>
      </c>
      <c r="L8" s="18">
        <v>26</v>
      </c>
      <c r="M8" s="18">
        <v>396</v>
      </c>
      <c r="N8" s="18">
        <v>394</v>
      </c>
      <c r="O8" s="18">
        <v>66</v>
      </c>
      <c r="P8" s="18">
        <v>122</v>
      </c>
      <c r="Q8" s="18">
        <v>391</v>
      </c>
      <c r="R8" s="18">
        <v>144</v>
      </c>
      <c r="S8" s="18">
        <v>75</v>
      </c>
      <c r="T8" s="18">
        <v>3063</v>
      </c>
      <c r="U8" s="18">
        <v>11256</v>
      </c>
      <c r="V8" s="18">
        <v>24973</v>
      </c>
      <c r="X8" s="29" t="s">
        <v>111</v>
      </c>
      <c r="Y8" s="56">
        <f t="shared" ref="Y8:AN23" si="0">IFERROR(C8/1000,"")</f>
        <v>4.9640000000000004</v>
      </c>
      <c r="Z8" s="56">
        <f t="shared" si="0"/>
        <v>0.54900000000000004</v>
      </c>
      <c r="AA8" s="56">
        <f t="shared" si="0"/>
        <v>5.7000000000000002E-2</v>
      </c>
      <c r="AB8" s="56">
        <f t="shared" si="0"/>
        <v>0.45</v>
      </c>
      <c r="AC8" s="56">
        <f t="shared" si="0"/>
        <v>1.8819999999999999</v>
      </c>
      <c r="AD8" s="56">
        <f t="shared" si="0"/>
        <v>0.46100000000000002</v>
      </c>
      <c r="AE8" s="56">
        <f t="shared" si="0"/>
        <v>0.55300000000000005</v>
      </c>
      <c r="AF8" s="56">
        <f t="shared" si="0"/>
        <v>7.6999999999999999E-2</v>
      </c>
      <c r="AG8" s="56">
        <f t="shared" si="0"/>
        <v>4.7E-2</v>
      </c>
      <c r="AH8" s="56">
        <f t="shared" si="0"/>
        <v>2.5999999999999999E-2</v>
      </c>
      <c r="AI8" s="56">
        <f t="shared" si="0"/>
        <v>0.39600000000000002</v>
      </c>
      <c r="AJ8" s="56">
        <f t="shared" si="0"/>
        <v>0.39400000000000002</v>
      </c>
      <c r="AK8" s="56">
        <f t="shared" si="0"/>
        <v>6.6000000000000003E-2</v>
      </c>
      <c r="AL8" s="56">
        <f t="shared" si="0"/>
        <v>0.122</v>
      </c>
      <c r="AM8" s="56">
        <f t="shared" si="0"/>
        <v>0.39100000000000001</v>
      </c>
      <c r="AN8" s="56">
        <f t="shared" si="0"/>
        <v>0.14399999999999999</v>
      </c>
      <c r="AO8" s="56">
        <f t="shared" ref="AO8:AR23" si="1">IFERROR(S8/1000,"")</f>
        <v>7.4999999999999997E-2</v>
      </c>
      <c r="AP8" s="56">
        <f t="shared" si="1"/>
        <v>3.0630000000000002</v>
      </c>
      <c r="AQ8" s="56">
        <f t="shared" si="1"/>
        <v>11.256</v>
      </c>
      <c r="AR8" s="56">
        <f t="shared" si="1"/>
        <v>24.972999999999999</v>
      </c>
      <c r="AT8" s="26"/>
      <c r="AU8" s="31" t="s">
        <v>111</v>
      </c>
      <c r="AV8" s="77">
        <f>IFERROR(IF(Y8&gt;0,Y8,"x")/$AR8,"")*100</f>
        <v>19.877467665078289</v>
      </c>
      <c r="AW8" s="77">
        <f t="shared" ref="AW8:BM22" si="2">IFERROR(IF(Z8&gt;0,Z8,"x")/$AR8,"")*100</f>
        <v>2.1983742441837184</v>
      </c>
      <c r="AX8" s="77">
        <f t="shared" si="2"/>
        <v>0.22824650622672488</v>
      </c>
      <c r="AY8" s="77">
        <f t="shared" si="2"/>
        <v>1.8019461017899332</v>
      </c>
      <c r="AZ8" s="77">
        <f t="shared" si="2"/>
        <v>7.5361390301525653</v>
      </c>
      <c r="BA8" s="77">
        <f t="shared" si="2"/>
        <v>1.8459936731670208</v>
      </c>
      <c r="BB8" s="77">
        <f t="shared" si="2"/>
        <v>2.2143915428662959</v>
      </c>
      <c r="BC8" s="77">
        <f t="shared" si="2"/>
        <v>0.30833299963961081</v>
      </c>
      <c r="BD8" s="77">
        <f t="shared" si="2"/>
        <v>0.18820325952028191</v>
      </c>
      <c r="BE8" s="77">
        <f t="shared" si="2"/>
        <v>0.10411244143675169</v>
      </c>
      <c r="BF8" s="77">
        <f t="shared" si="2"/>
        <v>1.5857125695751415</v>
      </c>
      <c r="BG8" s="77">
        <f t="shared" si="2"/>
        <v>1.5777039202338528</v>
      </c>
      <c r="BH8" s="77">
        <f t="shared" si="2"/>
        <v>0.26428542826252355</v>
      </c>
      <c r="BI8" s="77">
        <f t="shared" si="2"/>
        <v>0.4885276098186041</v>
      </c>
      <c r="BJ8" s="77">
        <f t="shared" si="2"/>
        <v>1.5656909462219197</v>
      </c>
      <c r="BK8" s="77">
        <f t="shared" si="2"/>
        <v>0.57662275257277851</v>
      </c>
      <c r="BL8" s="77">
        <f t="shared" si="2"/>
        <v>0.30032435029832222</v>
      </c>
      <c r="BM8" s="77">
        <f t="shared" si="2"/>
        <v>12.265246466183481</v>
      </c>
      <c r="BN8" s="78">
        <f>IFERROR(IF(AQ8&gt;0,AQ8,"x")/$AR8,"")*100</f>
        <v>45.072678492772198</v>
      </c>
      <c r="BO8" s="116">
        <f>SUM(AV8:BN8)</f>
        <v>100.00000000000001</v>
      </c>
      <c r="BP8" s="26"/>
    </row>
    <row r="9" spans="1:68" ht="12.5" x14ac:dyDescent="0.25">
      <c r="A9" s="51" t="s">
        <v>112</v>
      </c>
      <c r="B9" s="68">
        <v>3</v>
      </c>
      <c r="C9" s="18">
        <v>758</v>
      </c>
      <c r="D9" s="18">
        <v>27481</v>
      </c>
      <c r="E9" s="18">
        <v>471</v>
      </c>
      <c r="F9" s="18">
        <v>2718</v>
      </c>
      <c r="G9" s="18">
        <v>14611</v>
      </c>
      <c r="H9" s="18">
        <v>2407</v>
      </c>
      <c r="I9" s="18">
        <v>3396</v>
      </c>
      <c r="J9" s="18">
        <v>1738</v>
      </c>
      <c r="K9" s="18">
        <v>415</v>
      </c>
      <c r="L9" s="18">
        <v>215</v>
      </c>
      <c r="M9" s="18">
        <v>5997</v>
      </c>
      <c r="N9" s="18">
        <v>1727</v>
      </c>
      <c r="O9" s="18">
        <v>499</v>
      </c>
      <c r="P9" s="18">
        <v>918</v>
      </c>
      <c r="Q9" s="18">
        <v>1581</v>
      </c>
      <c r="R9" s="18">
        <v>567</v>
      </c>
      <c r="S9" s="18">
        <v>545</v>
      </c>
      <c r="T9" s="18">
        <v>21068</v>
      </c>
      <c r="U9" s="18">
        <v>29840</v>
      </c>
      <c r="V9" s="18">
        <v>116952</v>
      </c>
      <c r="X9" s="29" t="s">
        <v>112</v>
      </c>
      <c r="Y9" s="56">
        <f t="shared" si="0"/>
        <v>0.75800000000000001</v>
      </c>
      <c r="Z9" s="56">
        <f t="shared" si="0"/>
        <v>27.481000000000002</v>
      </c>
      <c r="AA9" s="56">
        <f t="shared" si="0"/>
        <v>0.47099999999999997</v>
      </c>
      <c r="AB9" s="56">
        <f t="shared" si="0"/>
        <v>2.718</v>
      </c>
      <c r="AC9" s="56">
        <f t="shared" si="0"/>
        <v>14.611000000000001</v>
      </c>
      <c r="AD9" s="56">
        <f t="shared" si="0"/>
        <v>2.407</v>
      </c>
      <c r="AE9" s="56">
        <f t="shared" si="0"/>
        <v>3.3959999999999999</v>
      </c>
      <c r="AF9" s="56">
        <f t="shared" si="0"/>
        <v>1.738</v>
      </c>
      <c r="AG9" s="56">
        <f t="shared" si="0"/>
        <v>0.41499999999999998</v>
      </c>
      <c r="AH9" s="56">
        <f t="shared" si="0"/>
        <v>0.215</v>
      </c>
      <c r="AI9" s="56">
        <f t="shared" si="0"/>
        <v>5.9969999999999999</v>
      </c>
      <c r="AJ9" s="56">
        <f t="shared" si="0"/>
        <v>1.7270000000000001</v>
      </c>
      <c r="AK9" s="56">
        <f t="shared" si="0"/>
        <v>0.499</v>
      </c>
      <c r="AL9" s="56">
        <f t="shared" si="0"/>
        <v>0.91800000000000004</v>
      </c>
      <c r="AM9" s="56">
        <f t="shared" si="0"/>
        <v>1.581</v>
      </c>
      <c r="AN9" s="56">
        <f t="shared" si="0"/>
        <v>0.56699999999999995</v>
      </c>
      <c r="AO9" s="56">
        <f t="shared" si="1"/>
        <v>0.54500000000000004</v>
      </c>
      <c r="AP9" s="56">
        <f t="shared" si="1"/>
        <v>21.068000000000001</v>
      </c>
      <c r="AQ9" s="56">
        <f t="shared" si="1"/>
        <v>29.84</v>
      </c>
      <c r="AR9" s="56">
        <f t="shared" si="1"/>
        <v>116.952</v>
      </c>
      <c r="AT9" s="26"/>
      <c r="AU9" s="31" t="s">
        <v>180</v>
      </c>
      <c r="AV9" s="77">
        <f t="shared" ref="AV9:BK25" si="3">IFERROR(IF(Y9&gt;0,Y9,"x")/$AR9,"")*100</f>
        <v>0.64812914700047886</v>
      </c>
      <c r="AW9" s="77">
        <f t="shared" si="2"/>
        <v>23.497674259525279</v>
      </c>
      <c r="AX9" s="77">
        <f t="shared" si="2"/>
        <v>0.40272932485122104</v>
      </c>
      <c r="AY9" s="77">
        <f t="shared" si="2"/>
        <v>2.3240303714344348</v>
      </c>
      <c r="AZ9" s="77">
        <f t="shared" si="2"/>
        <v>12.493159586839047</v>
      </c>
      <c r="BA9" s="77">
        <f t="shared" si="2"/>
        <v>2.0581093098023122</v>
      </c>
      <c r="BB9" s="77">
        <f t="shared" si="2"/>
        <v>2.9037553868253645</v>
      </c>
      <c r="BC9" s="77">
        <f t="shared" si="2"/>
        <v>1.4860797592174568</v>
      </c>
      <c r="BD9" s="77">
        <f t="shared" si="2"/>
        <v>0.35484643272453659</v>
      </c>
      <c r="BE9" s="77">
        <f t="shared" si="2"/>
        <v>0.1838361037006635</v>
      </c>
      <c r="BF9" s="77">
        <f t="shared" si="2"/>
        <v>5.1277447157808336</v>
      </c>
      <c r="BG9" s="77">
        <f t="shared" si="2"/>
        <v>1.4766741911211438</v>
      </c>
      <c r="BH9" s="77">
        <f t="shared" si="2"/>
        <v>0.42667077091456329</v>
      </c>
      <c r="BI9" s="77">
        <f t="shared" si="2"/>
        <v>0.78493741021957741</v>
      </c>
      <c r="BJ9" s="77">
        <f t="shared" si="2"/>
        <v>1.3518366509337163</v>
      </c>
      <c r="BK9" s="77">
        <f t="shared" si="2"/>
        <v>0.48481428278268007</v>
      </c>
      <c r="BL9" s="77">
        <f t="shared" si="2"/>
        <v>0.46600314659005404</v>
      </c>
      <c r="BM9" s="77">
        <f t="shared" si="2"/>
        <v>18.014228059374787</v>
      </c>
      <c r="BN9" s="78">
        <f t="shared" ref="BN9:BN25" si="4">IFERROR(IF(AQ9&gt;0,AQ9,"x")/$AR9,"")*100</f>
        <v>25.514741090361859</v>
      </c>
      <c r="BO9" s="116">
        <f t="shared" ref="BO9:BO25" si="5">SUM(AV9:BN9)</f>
        <v>100</v>
      </c>
      <c r="BP9" s="26"/>
    </row>
    <row r="10" spans="1:68" ht="12.5" x14ac:dyDescent="0.25">
      <c r="A10" s="51" t="s">
        <v>113</v>
      </c>
      <c r="B10" s="68">
        <v>4</v>
      </c>
      <c r="C10" s="18">
        <v>88</v>
      </c>
      <c r="D10" s="18">
        <v>1043</v>
      </c>
      <c r="E10" s="18">
        <v>1428</v>
      </c>
      <c r="F10" s="18">
        <v>757</v>
      </c>
      <c r="G10" s="18">
        <v>1426</v>
      </c>
      <c r="H10" s="18">
        <v>732</v>
      </c>
      <c r="I10" s="18">
        <v>206</v>
      </c>
      <c r="J10" s="18">
        <v>770</v>
      </c>
      <c r="K10" s="18">
        <v>186</v>
      </c>
      <c r="L10" s="18">
        <v>49</v>
      </c>
      <c r="M10" s="18">
        <v>1608</v>
      </c>
      <c r="N10" s="18">
        <v>418</v>
      </c>
      <c r="O10" s="18">
        <v>331</v>
      </c>
      <c r="P10" s="18">
        <v>203</v>
      </c>
      <c r="Q10" s="18">
        <v>220</v>
      </c>
      <c r="R10" s="18">
        <v>67</v>
      </c>
      <c r="S10" s="18">
        <v>85</v>
      </c>
      <c r="T10" s="18">
        <v>2532</v>
      </c>
      <c r="U10" s="18">
        <v>3059</v>
      </c>
      <c r="V10" s="18">
        <v>15208</v>
      </c>
      <c r="X10" s="29" t="s">
        <v>113</v>
      </c>
      <c r="Y10" s="56">
        <f t="shared" si="0"/>
        <v>8.7999999999999995E-2</v>
      </c>
      <c r="Z10" s="56">
        <f t="shared" si="0"/>
        <v>1.0429999999999999</v>
      </c>
      <c r="AA10" s="56">
        <f t="shared" si="0"/>
        <v>1.4279999999999999</v>
      </c>
      <c r="AB10" s="56">
        <f t="shared" si="0"/>
        <v>0.75700000000000001</v>
      </c>
      <c r="AC10" s="56">
        <f t="shared" si="0"/>
        <v>1.4259999999999999</v>
      </c>
      <c r="AD10" s="56">
        <f t="shared" si="0"/>
        <v>0.73199999999999998</v>
      </c>
      <c r="AE10" s="56">
        <f t="shared" si="0"/>
        <v>0.20599999999999999</v>
      </c>
      <c r="AF10" s="56">
        <f t="shared" si="0"/>
        <v>0.77</v>
      </c>
      <c r="AG10" s="56">
        <f t="shared" si="0"/>
        <v>0.186</v>
      </c>
      <c r="AH10" s="56">
        <f t="shared" si="0"/>
        <v>4.9000000000000002E-2</v>
      </c>
      <c r="AI10" s="56">
        <f t="shared" si="0"/>
        <v>1.6080000000000001</v>
      </c>
      <c r="AJ10" s="56">
        <f t="shared" si="0"/>
        <v>0.41799999999999998</v>
      </c>
      <c r="AK10" s="56">
        <f t="shared" si="0"/>
        <v>0.33100000000000002</v>
      </c>
      <c r="AL10" s="56">
        <f t="shared" si="0"/>
        <v>0.20300000000000001</v>
      </c>
      <c r="AM10" s="56">
        <f t="shared" si="0"/>
        <v>0.22</v>
      </c>
      <c r="AN10" s="56">
        <f t="shared" si="0"/>
        <v>6.7000000000000004E-2</v>
      </c>
      <c r="AO10" s="56">
        <f t="shared" si="1"/>
        <v>8.5000000000000006E-2</v>
      </c>
      <c r="AP10" s="56">
        <f t="shared" si="1"/>
        <v>2.532</v>
      </c>
      <c r="AQ10" s="56">
        <f t="shared" si="1"/>
        <v>3.0590000000000002</v>
      </c>
      <c r="AR10" s="56">
        <f t="shared" si="1"/>
        <v>15.208</v>
      </c>
      <c r="AT10" s="26"/>
      <c r="AU10" s="31" t="s">
        <v>181</v>
      </c>
      <c r="AV10" s="77">
        <f t="shared" si="3"/>
        <v>0.57864281956864805</v>
      </c>
      <c r="AW10" s="77">
        <f t="shared" si="2"/>
        <v>6.8582325092056804</v>
      </c>
      <c r="AX10" s="77">
        <f t="shared" si="2"/>
        <v>9.3897948448185158</v>
      </c>
      <c r="AY10" s="77">
        <f t="shared" si="2"/>
        <v>4.977643345607575</v>
      </c>
      <c r="AZ10" s="77">
        <f t="shared" si="2"/>
        <v>9.3766438716465021</v>
      </c>
      <c r="BA10" s="77">
        <f t="shared" si="2"/>
        <v>4.8132561809573904</v>
      </c>
      <c r="BB10" s="77">
        <f t="shared" si="2"/>
        <v>1.3545502367175171</v>
      </c>
      <c r="BC10" s="77">
        <f t="shared" si="2"/>
        <v>5.0631246712256708</v>
      </c>
      <c r="BD10" s="77">
        <f t="shared" si="2"/>
        <v>1.2230405049973698</v>
      </c>
      <c r="BE10" s="77">
        <f t="shared" si="2"/>
        <v>0.32219884271436083</v>
      </c>
      <c r="BF10" s="77">
        <f t="shared" si="2"/>
        <v>10.573382430299842</v>
      </c>
      <c r="BG10" s="77">
        <f t="shared" si="2"/>
        <v>2.7485533929510786</v>
      </c>
      <c r="BH10" s="77">
        <f t="shared" si="2"/>
        <v>2.1764860599684379</v>
      </c>
      <c r="BI10" s="77">
        <f t="shared" si="2"/>
        <v>1.3348237769594951</v>
      </c>
      <c r="BJ10" s="77">
        <f t="shared" si="2"/>
        <v>1.4466070489216201</v>
      </c>
      <c r="BK10" s="77">
        <f t="shared" si="2"/>
        <v>0.44055760126249344</v>
      </c>
      <c r="BL10" s="77">
        <f t="shared" si="2"/>
        <v>0.55891635981062604</v>
      </c>
      <c r="BM10" s="77">
        <f t="shared" si="2"/>
        <v>16.649132035770648</v>
      </c>
      <c r="BN10" s="78">
        <f t="shared" si="4"/>
        <v>20.114413466596528</v>
      </c>
      <c r="BO10" s="116">
        <f t="shared" si="5"/>
        <v>100.00000000000001</v>
      </c>
      <c r="BP10" s="26"/>
    </row>
    <row r="11" spans="1:68" ht="12.5" x14ac:dyDescent="0.25">
      <c r="A11" s="51" t="s">
        <v>171</v>
      </c>
      <c r="B11" s="68">
        <v>6</v>
      </c>
      <c r="C11" s="18">
        <v>707</v>
      </c>
      <c r="D11" s="18">
        <v>3550</v>
      </c>
      <c r="E11" s="18">
        <v>566</v>
      </c>
      <c r="F11" s="18">
        <v>20726</v>
      </c>
      <c r="G11" s="18">
        <v>6042</v>
      </c>
      <c r="H11" s="18">
        <v>1393</v>
      </c>
      <c r="I11" s="18">
        <v>1813</v>
      </c>
      <c r="J11" s="18">
        <v>819</v>
      </c>
      <c r="K11" s="18">
        <v>200</v>
      </c>
      <c r="L11" s="18">
        <v>421</v>
      </c>
      <c r="M11" s="18">
        <v>2798</v>
      </c>
      <c r="N11" s="18">
        <v>1796</v>
      </c>
      <c r="O11" s="18">
        <v>309</v>
      </c>
      <c r="P11" s="18">
        <v>1973</v>
      </c>
      <c r="Q11" s="18">
        <v>826</v>
      </c>
      <c r="R11" s="18">
        <v>338</v>
      </c>
      <c r="S11" s="18">
        <v>475</v>
      </c>
      <c r="T11" s="18">
        <v>8165</v>
      </c>
      <c r="U11" s="18">
        <v>20200</v>
      </c>
      <c r="V11" s="18">
        <v>73117</v>
      </c>
      <c r="X11" s="29" t="s">
        <v>114</v>
      </c>
      <c r="Y11" s="56">
        <f t="shared" si="0"/>
        <v>0.70699999999999996</v>
      </c>
      <c r="Z11" s="56">
        <f t="shared" si="0"/>
        <v>3.55</v>
      </c>
      <c r="AA11" s="56">
        <f t="shared" si="0"/>
        <v>0.56599999999999995</v>
      </c>
      <c r="AB11" s="56">
        <f t="shared" si="0"/>
        <v>20.725999999999999</v>
      </c>
      <c r="AC11" s="56">
        <f t="shared" si="0"/>
        <v>6.0419999999999998</v>
      </c>
      <c r="AD11" s="56">
        <f t="shared" si="0"/>
        <v>1.393</v>
      </c>
      <c r="AE11" s="56">
        <f t="shared" si="0"/>
        <v>1.8129999999999999</v>
      </c>
      <c r="AF11" s="56">
        <f t="shared" si="0"/>
        <v>0.81899999999999995</v>
      </c>
      <c r="AG11" s="56">
        <f t="shared" si="0"/>
        <v>0.2</v>
      </c>
      <c r="AH11" s="56">
        <f t="shared" si="0"/>
        <v>0.42099999999999999</v>
      </c>
      <c r="AI11" s="56">
        <f t="shared" si="0"/>
        <v>2.798</v>
      </c>
      <c r="AJ11" s="56">
        <f t="shared" si="0"/>
        <v>1.796</v>
      </c>
      <c r="AK11" s="56">
        <f t="shared" si="0"/>
        <v>0.309</v>
      </c>
      <c r="AL11" s="56">
        <f t="shared" si="0"/>
        <v>1.9730000000000001</v>
      </c>
      <c r="AM11" s="56">
        <f t="shared" si="0"/>
        <v>0.82599999999999996</v>
      </c>
      <c r="AN11" s="56">
        <f t="shared" si="0"/>
        <v>0.33800000000000002</v>
      </c>
      <c r="AO11" s="56">
        <f t="shared" si="1"/>
        <v>0.47499999999999998</v>
      </c>
      <c r="AP11" s="56">
        <f t="shared" si="1"/>
        <v>8.1649999999999991</v>
      </c>
      <c r="AQ11" s="56">
        <f t="shared" si="1"/>
        <v>20.2</v>
      </c>
      <c r="AR11" s="56">
        <f t="shared" si="1"/>
        <v>73.117000000000004</v>
      </c>
      <c r="AT11" s="26"/>
      <c r="AU11" s="31" t="s">
        <v>114</v>
      </c>
      <c r="AV11" s="77">
        <f t="shared" si="3"/>
        <v>0.96694339209759694</v>
      </c>
      <c r="AW11" s="77">
        <f t="shared" si="2"/>
        <v>4.8552320253839731</v>
      </c>
      <c r="AX11" s="77">
        <f t="shared" si="2"/>
        <v>0.77410178207530389</v>
      </c>
      <c r="AY11" s="77">
        <f t="shared" si="2"/>
        <v>28.346349002284011</v>
      </c>
      <c r="AZ11" s="77">
        <f t="shared" si="2"/>
        <v>8.2634681401042158</v>
      </c>
      <c r="BA11" s="77">
        <f t="shared" si="2"/>
        <v>1.9051656933408097</v>
      </c>
      <c r="BB11" s="77">
        <f t="shared" si="2"/>
        <v>2.4795875104284915</v>
      </c>
      <c r="BC11" s="77">
        <f t="shared" si="2"/>
        <v>1.1201225433209787</v>
      </c>
      <c r="BD11" s="77">
        <f t="shared" si="2"/>
        <v>0.27353419861318162</v>
      </c>
      <c r="BE11" s="77">
        <f t="shared" si="2"/>
        <v>0.57578948808074726</v>
      </c>
      <c r="BF11" s="77">
        <f t="shared" si="2"/>
        <v>3.8267434385984109</v>
      </c>
      <c r="BG11" s="77">
        <f t="shared" si="2"/>
        <v>2.456337103546371</v>
      </c>
      <c r="BH11" s="77">
        <f t="shared" si="2"/>
        <v>0.42261033685736554</v>
      </c>
      <c r="BI11" s="77">
        <f t="shared" si="2"/>
        <v>2.6984148693190364</v>
      </c>
      <c r="BJ11" s="77">
        <f t="shared" si="2"/>
        <v>1.12969624027244</v>
      </c>
      <c r="BK11" s="77">
        <f t="shared" si="2"/>
        <v>0.46227279565627694</v>
      </c>
      <c r="BL11" s="77">
        <f t="shared" si="2"/>
        <v>0.64964372170630624</v>
      </c>
      <c r="BM11" s="77">
        <f t="shared" si="2"/>
        <v>11.167033658383138</v>
      </c>
      <c r="BN11" s="78">
        <f t="shared" si="4"/>
        <v>27.626954059931343</v>
      </c>
      <c r="BO11" s="116">
        <f t="shared" si="5"/>
        <v>100</v>
      </c>
      <c r="BP11" s="26"/>
    </row>
    <row r="12" spans="1:68" ht="12.5" x14ac:dyDescent="0.25">
      <c r="A12" s="51" t="s">
        <v>115</v>
      </c>
      <c r="B12" s="68">
        <v>7</v>
      </c>
      <c r="C12" s="18">
        <v>2260</v>
      </c>
      <c r="D12" s="18">
        <v>10763</v>
      </c>
      <c r="E12" s="18">
        <v>625</v>
      </c>
      <c r="F12" s="18">
        <v>3039</v>
      </c>
      <c r="G12" s="18">
        <v>98090</v>
      </c>
      <c r="H12" s="18">
        <v>6120</v>
      </c>
      <c r="I12" s="18">
        <v>20288</v>
      </c>
      <c r="J12" s="18">
        <v>4297</v>
      </c>
      <c r="K12" s="18">
        <v>931</v>
      </c>
      <c r="L12" s="18">
        <v>588</v>
      </c>
      <c r="M12" s="18">
        <v>7172</v>
      </c>
      <c r="N12" s="18">
        <v>5193</v>
      </c>
      <c r="O12" s="18">
        <v>730</v>
      </c>
      <c r="P12" s="18">
        <v>1907</v>
      </c>
      <c r="Q12" s="18">
        <v>7186</v>
      </c>
      <c r="R12" s="18">
        <v>3339</v>
      </c>
      <c r="S12" s="18">
        <v>1763</v>
      </c>
      <c r="T12" s="18">
        <v>25999</v>
      </c>
      <c r="U12" s="18">
        <v>134249</v>
      </c>
      <c r="V12" s="18">
        <v>334539</v>
      </c>
      <c r="X12" s="29" t="s">
        <v>115</v>
      </c>
      <c r="Y12" s="56">
        <f t="shared" si="0"/>
        <v>2.2599999999999998</v>
      </c>
      <c r="Z12" s="56">
        <f t="shared" si="0"/>
        <v>10.763</v>
      </c>
      <c r="AA12" s="56">
        <f t="shared" si="0"/>
        <v>0.625</v>
      </c>
      <c r="AB12" s="56">
        <f t="shared" si="0"/>
        <v>3.0390000000000001</v>
      </c>
      <c r="AC12" s="56">
        <f t="shared" si="0"/>
        <v>98.09</v>
      </c>
      <c r="AD12" s="56">
        <f t="shared" si="0"/>
        <v>6.12</v>
      </c>
      <c r="AE12" s="56">
        <f t="shared" si="0"/>
        <v>20.288</v>
      </c>
      <c r="AF12" s="56">
        <f t="shared" si="0"/>
        <v>4.2969999999999997</v>
      </c>
      <c r="AG12" s="56">
        <f t="shared" si="0"/>
        <v>0.93100000000000005</v>
      </c>
      <c r="AH12" s="56">
        <f t="shared" si="0"/>
        <v>0.58799999999999997</v>
      </c>
      <c r="AI12" s="56">
        <f t="shared" si="0"/>
        <v>7.1719999999999997</v>
      </c>
      <c r="AJ12" s="56">
        <f t="shared" si="0"/>
        <v>5.1929999999999996</v>
      </c>
      <c r="AK12" s="56">
        <f t="shared" si="0"/>
        <v>0.73</v>
      </c>
      <c r="AL12" s="56">
        <f t="shared" si="0"/>
        <v>1.907</v>
      </c>
      <c r="AM12" s="56">
        <f t="shared" si="0"/>
        <v>7.1859999999999999</v>
      </c>
      <c r="AN12" s="56">
        <f t="shared" si="0"/>
        <v>3.339</v>
      </c>
      <c r="AO12" s="56">
        <f t="shared" si="1"/>
        <v>1.7629999999999999</v>
      </c>
      <c r="AP12" s="56">
        <f t="shared" si="1"/>
        <v>25.998999999999999</v>
      </c>
      <c r="AQ12" s="56">
        <f t="shared" si="1"/>
        <v>134.249</v>
      </c>
      <c r="AR12" s="56">
        <f t="shared" si="1"/>
        <v>334.53899999999999</v>
      </c>
      <c r="AT12" s="26"/>
      <c r="AU12" s="31" t="s">
        <v>115</v>
      </c>
      <c r="AV12" s="77">
        <f t="shared" si="3"/>
        <v>0.67555651209574963</v>
      </c>
      <c r="AW12" s="77">
        <f t="shared" si="2"/>
        <v>3.2172631591533425</v>
      </c>
      <c r="AX12" s="77">
        <f t="shared" si="2"/>
        <v>0.1868242566636476</v>
      </c>
      <c r="AY12" s="77">
        <f t="shared" si="2"/>
        <v>0.90841426560131999</v>
      </c>
      <c r="AZ12" s="77">
        <f t="shared" si="2"/>
        <v>29.320946137819508</v>
      </c>
      <c r="BA12" s="77">
        <f t="shared" si="2"/>
        <v>1.8293831212504372</v>
      </c>
      <c r="BB12" s="77">
        <f t="shared" si="2"/>
        <v>6.0644648307073323</v>
      </c>
      <c r="BC12" s="77">
        <f t="shared" si="2"/>
        <v>1.2844541294139098</v>
      </c>
      <c r="BD12" s="77">
        <f t="shared" si="2"/>
        <v>0.27829341272616948</v>
      </c>
      <c r="BE12" s="77">
        <f t="shared" si="2"/>
        <v>0.17576426066915965</v>
      </c>
      <c r="BF12" s="77">
        <f t="shared" si="2"/>
        <v>2.1438457100666888</v>
      </c>
      <c r="BG12" s="77">
        <f t="shared" si="2"/>
        <v>1.5522853837669151</v>
      </c>
      <c r="BH12" s="77">
        <f t="shared" si="2"/>
        <v>0.2182107317831404</v>
      </c>
      <c r="BI12" s="77">
        <f t="shared" si="2"/>
        <v>0.57003817193212158</v>
      </c>
      <c r="BJ12" s="77">
        <f t="shared" si="2"/>
        <v>2.1480305734159546</v>
      </c>
      <c r="BK12" s="77">
        <f t="shared" si="2"/>
        <v>0.99808990879987092</v>
      </c>
      <c r="BL12" s="77">
        <f t="shared" si="2"/>
        <v>0.52699386319681718</v>
      </c>
      <c r="BM12" s="77">
        <f t="shared" si="2"/>
        <v>7.7715901583970775</v>
      </c>
      <c r="BN12" s="78">
        <f t="shared" si="4"/>
        <v>40.129551412540842</v>
      </c>
      <c r="BO12" s="116">
        <f t="shared" si="5"/>
        <v>99.999999999999986</v>
      </c>
      <c r="BP12" s="26"/>
    </row>
    <row r="13" spans="1:68" ht="12.5" x14ac:dyDescent="0.25">
      <c r="A13" s="51" t="s">
        <v>172</v>
      </c>
      <c r="B13" s="68">
        <v>8</v>
      </c>
      <c r="C13" s="18">
        <v>435</v>
      </c>
      <c r="D13" s="18">
        <v>2284</v>
      </c>
      <c r="E13" s="18">
        <v>418</v>
      </c>
      <c r="F13" s="18">
        <v>1210</v>
      </c>
      <c r="G13" s="18">
        <v>8053</v>
      </c>
      <c r="H13" s="18">
        <v>19794</v>
      </c>
      <c r="I13" s="18">
        <v>3024</v>
      </c>
      <c r="J13" s="18">
        <v>1024</v>
      </c>
      <c r="K13" s="18">
        <v>256</v>
      </c>
      <c r="L13" s="18">
        <v>133</v>
      </c>
      <c r="M13" s="18">
        <v>2304</v>
      </c>
      <c r="N13" s="18">
        <v>1664</v>
      </c>
      <c r="O13" s="18">
        <v>517</v>
      </c>
      <c r="P13" s="18">
        <v>451</v>
      </c>
      <c r="Q13" s="18">
        <v>1179</v>
      </c>
      <c r="R13" s="18">
        <v>549</v>
      </c>
      <c r="S13" s="18">
        <v>446</v>
      </c>
      <c r="T13" s="18">
        <v>13321</v>
      </c>
      <c r="U13" s="18">
        <v>23821</v>
      </c>
      <c r="V13" s="18">
        <v>80883</v>
      </c>
      <c r="X13" s="29" t="s">
        <v>116</v>
      </c>
      <c r="Y13" s="56">
        <f t="shared" si="0"/>
        <v>0.435</v>
      </c>
      <c r="Z13" s="56">
        <f t="shared" si="0"/>
        <v>2.2839999999999998</v>
      </c>
      <c r="AA13" s="56">
        <f t="shared" si="0"/>
        <v>0.41799999999999998</v>
      </c>
      <c r="AB13" s="56">
        <f t="shared" si="0"/>
        <v>1.21</v>
      </c>
      <c r="AC13" s="56">
        <f t="shared" si="0"/>
        <v>8.0530000000000008</v>
      </c>
      <c r="AD13" s="56">
        <f t="shared" si="0"/>
        <v>19.794</v>
      </c>
      <c r="AE13" s="56">
        <f t="shared" si="0"/>
        <v>3.024</v>
      </c>
      <c r="AF13" s="56">
        <f t="shared" si="0"/>
        <v>1.024</v>
      </c>
      <c r="AG13" s="56">
        <f t="shared" si="0"/>
        <v>0.25600000000000001</v>
      </c>
      <c r="AH13" s="56">
        <f t="shared" si="0"/>
        <v>0.13300000000000001</v>
      </c>
      <c r="AI13" s="56">
        <f t="shared" si="0"/>
        <v>2.3039999999999998</v>
      </c>
      <c r="AJ13" s="56">
        <f t="shared" si="0"/>
        <v>1.6639999999999999</v>
      </c>
      <c r="AK13" s="56">
        <f t="shared" si="0"/>
        <v>0.51700000000000002</v>
      </c>
      <c r="AL13" s="56">
        <f t="shared" si="0"/>
        <v>0.45100000000000001</v>
      </c>
      <c r="AM13" s="56">
        <f t="shared" si="0"/>
        <v>1.179</v>
      </c>
      <c r="AN13" s="56">
        <f t="shared" si="0"/>
        <v>0.54900000000000004</v>
      </c>
      <c r="AO13" s="56">
        <f t="shared" si="1"/>
        <v>0.44600000000000001</v>
      </c>
      <c r="AP13" s="56">
        <f t="shared" si="1"/>
        <v>13.321</v>
      </c>
      <c r="AQ13" s="56">
        <f t="shared" si="1"/>
        <v>23.821000000000002</v>
      </c>
      <c r="AR13" s="56">
        <f t="shared" si="1"/>
        <v>80.882999999999996</v>
      </c>
      <c r="AT13" s="26"/>
      <c r="AU13" s="31" t="s">
        <v>116</v>
      </c>
      <c r="AV13" s="77">
        <f t="shared" si="3"/>
        <v>0.53781387930714741</v>
      </c>
      <c r="AW13" s="77">
        <f t="shared" si="2"/>
        <v>2.8238319547989068</v>
      </c>
      <c r="AX13" s="77">
        <f t="shared" si="2"/>
        <v>0.516795865633075</v>
      </c>
      <c r="AY13" s="77">
        <f t="shared" si="2"/>
        <v>1.4959880320957433</v>
      </c>
      <c r="AZ13" s="77">
        <f t="shared" si="2"/>
        <v>9.9563567127826627</v>
      </c>
      <c r="BA13" s="77">
        <f t="shared" si="2"/>
        <v>24.472386039093507</v>
      </c>
      <c r="BB13" s="77">
        <f t="shared" si="2"/>
        <v>3.7387337264938245</v>
      </c>
      <c r="BC13" s="77">
        <f t="shared" si="2"/>
        <v>1.2660262354264804</v>
      </c>
      <c r="BD13" s="77">
        <f t="shared" si="2"/>
        <v>0.3165065588566201</v>
      </c>
      <c r="BE13" s="77">
        <f t="shared" si="2"/>
        <v>0.16443504815597842</v>
      </c>
      <c r="BF13" s="77">
        <f t="shared" si="2"/>
        <v>2.8485590297095804</v>
      </c>
      <c r="BG13" s="77">
        <f t="shared" si="2"/>
        <v>2.0572926325680303</v>
      </c>
      <c r="BH13" s="77">
        <f t="shared" si="2"/>
        <v>0.63919488644090849</v>
      </c>
      <c r="BI13" s="77">
        <f t="shared" si="2"/>
        <v>0.55759553923568617</v>
      </c>
      <c r="BJ13" s="77">
        <f t="shared" si="2"/>
        <v>1.4576610659841995</v>
      </c>
      <c r="BK13" s="77">
        <f t="shared" si="2"/>
        <v>0.678758206297986</v>
      </c>
      <c r="BL13" s="77">
        <f t="shared" si="2"/>
        <v>0.55141377050801776</v>
      </c>
      <c r="BM13" s="77">
        <f t="shared" si="2"/>
        <v>16.469468244254045</v>
      </c>
      <c r="BN13" s="78">
        <f t="shared" si="4"/>
        <v>29.451182572357602</v>
      </c>
      <c r="BO13" s="116">
        <f t="shared" si="5"/>
        <v>100</v>
      </c>
      <c r="BP13" s="26"/>
    </row>
    <row r="14" spans="1:68" ht="12.5" x14ac:dyDescent="0.25">
      <c r="A14" s="51" t="s">
        <v>117</v>
      </c>
      <c r="B14" s="68">
        <v>9</v>
      </c>
      <c r="C14" s="18">
        <v>552</v>
      </c>
      <c r="D14" s="18">
        <v>1925</v>
      </c>
      <c r="E14" s="18">
        <v>84</v>
      </c>
      <c r="F14" s="18">
        <v>485</v>
      </c>
      <c r="G14" s="18">
        <v>25630</v>
      </c>
      <c r="H14" s="18">
        <v>1120</v>
      </c>
      <c r="I14" s="18">
        <v>55621</v>
      </c>
      <c r="J14" s="18">
        <v>755</v>
      </c>
      <c r="K14" s="18">
        <v>244</v>
      </c>
      <c r="L14" s="18">
        <v>352</v>
      </c>
      <c r="M14" s="18">
        <v>1680</v>
      </c>
      <c r="N14" s="18">
        <v>2466</v>
      </c>
      <c r="O14" s="18">
        <v>214</v>
      </c>
      <c r="P14" s="18">
        <v>836</v>
      </c>
      <c r="Q14" s="18">
        <v>3291</v>
      </c>
      <c r="R14" s="18">
        <v>2914</v>
      </c>
      <c r="S14" s="18">
        <v>740</v>
      </c>
      <c r="T14" s="18">
        <v>12373</v>
      </c>
      <c r="U14" s="18">
        <v>78692</v>
      </c>
      <c r="V14" s="18">
        <v>189974</v>
      </c>
      <c r="X14" s="29" t="s">
        <v>117</v>
      </c>
      <c r="Y14" s="56">
        <f t="shared" si="0"/>
        <v>0.55200000000000005</v>
      </c>
      <c r="Z14" s="56">
        <f t="shared" si="0"/>
        <v>1.925</v>
      </c>
      <c r="AA14" s="56">
        <f t="shared" si="0"/>
        <v>8.4000000000000005E-2</v>
      </c>
      <c r="AB14" s="56">
        <f t="shared" si="0"/>
        <v>0.48499999999999999</v>
      </c>
      <c r="AC14" s="56">
        <f t="shared" si="0"/>
        <v>25.63</v>
      </c>
      <c r="AD14" s="56">
        <f t="shared" si="0"/>
        <v>1.1200000000000001</v>
      </c>
      <c r="AE14" s="56">
        <f t="shared" si="0"/>
        <v>55.621000000000002</v>
      </c>
      <c r="AF14" s="56">
        <f t="shared" si="0"/>
        <v>0.755</v>
      </c>
      <c r="AG14" s="56">
        <f t="shared" si="0"/>
        <v>0.24399999999999999</v>
      </c>
      <c r="AH14" s="56">
        <f t="shared" si="0"/>
        <v>0.35199999999999998</v>
      </c>
      <c r="AI14" s="56">
        <f t="shared" si="0"/>
        <v>1.68</v>
      </c>
      <c r="AJ14" s="56">
        <f t="shared" si="0"/>
        <v>2.4660000000000002</v>
      </c>
      <c r="AK14" s="56">
        <f t="shared" si="0"/>
        <v>0.214</v>
      </c>
      <c r="AL14" s="56">
        <f t="shared" si="0"/>
        <v>0.83599999999999997</v>
      </c>
      <c r="AM14" s="56">
        <f t="shared" si="0"/>
        <v>3.2909999999999999</v>
      </c>
      <c r="AN14" s="56">
        <f t="shared" si="0"/>
        <v>2.9140000000000001</v>
      </c>
      <c r="AO14" s="56">
        <f t="shared" si="1"/>
        <v>0.74</v>
      </c>
      <c r="AP14" s="56">
        <f t="shared" si="1"/>
        <v>12.372999999999999</v>
      </c>
      <c r="AQ14" s="56">
        <f t="shared" si="1"/>
        <v>78.691999999999993</v>
      </c>
      <c r="AR14" s="56">
        <f t="shared" si="1"/>
        <v>189.97399999999999</v>
      </c>
      <c r="AT14" s="26"/>
      <c r="AU14" s="31" t="s">
        <v>117</v>
      </c>
      <c r="AV14" s="77">
        <f t="shared" si="3"/>
        <v>0.29056607746323182</v>
      </c>
      <c r="AW14" s="77">
        <f t="shared" si="2"/>
        <v>1.013296556370872</v>
      </c>
      <c r="AX14" s="77">
        <f t="shared" si="2"/>
        <v>4.4216577005274413E-2</v>
      </c>
      <c r="AY14" s="77">
        <f t="shared" si="2"/>
        <v>0.25529809342331056</v>
      </c>
      <c r="AZ14" s="77">
        <f t="shared" si="2"/>
        <v>13.491319864823609</v>
      </c>
      <c r="BA14" s="77">
        <f t="shared" si="2"/>
        <v>0.58955436007032547</v>
      </c>
      <c r="BB14" s="77">
        <f t="shared" si="2"/>
        <v>29.278217019171048</v>
      </c>
      <c r="BC14" s="77">
        <f t="shared" si="2"/>
        <v>0.39742280522597828</v>
      </c>
      <c r="BD14" s="77">
        <f t="shared" si="2"/>
        <v>0.12843862844389234</v>
      </c>
      <c r="BE14" s="77">
        <f t="shared" si="2"/>
        <v>0.1852885131649594</v>
      </c>
      <c r="BF14" s="77">
        <f t="shared" si="2"/>
        <v>0.88433154010548809</v>
      </c>
      <c r="BG14" s="77">
        <f t="shared" si="2"/>
        <v>1.2980723677976989</v>
      </c>
      <c r="BH14" s="77">
        <f t="shared" si="2"/>
        <v>0.11264699379915147</v>
      </c>
      <c r="BI14" s="77">
        <f t="shared" si="2"/>
        <v>0.44006021876677859</v>
      </c>
      <c r="BJ14" s="77">
        <f t="shared" si="2"/>
        <v>1.7323423205280724</v>
      </c>
      <c r="BK14" s="77">
        <f t="shared" si="2"/>
        <v>1.5338941118258291</v>
      </c>
      <c r="BL14" s="77">
        <f t="shared" si="2"/>
        <v>0.3895269879036079</v>
      </c>
      <c r="BM14" s="77">
        <f t="shared" si="2"/>
        <v>6.5129965153126221</v>
      </c>
      <c r="BN14" s="78">
        <f t="shared" si="4"/>
        <v>41.422510448798256</v>
      </c>
      <c r="BO14" s="116">
        <f t="shared" si="5"/>
        <v>100.00000000000001</v>
      </c>
      <c r="BP14" s="26"/>
    </row>
    <row r="15" spans="1:68" ht="12.5" x14ac:dyDescent="0.25">
      <c r="A15" s="51" t="s">
        <v>25</v>
      </c>
      <c r="B15" s="68">
        <v>10</v>
      </c>
      <c r="C15" s="18">
        <v>97</v>
      </c>
      <c r="D15" s="18">
        <v>1285</v>
      </c>
      <c r="E15" s="18">
        <v>205</v>
      </c>
      <c r="F15" s="18">
        <v>427</v>
      </c>
      <c r="G15" s="18">
        <v>6017</v>
      </c>
      <c r="H15" s="18">
        <v>718</v>
      </c>
      <c r="I15" s="18">
        <v>1661</v>
      </c>
      <c r="J15" s="18">
        <v>17351</v>
      </c>
      <c r="K15" s="18">
        <v>873</v>
      </c>
      <c r="L15" s="18">
        <v>223</v>
      </c>
      <c r="M15" s="18">
        <v>4932</v>
      </c>
      <c r="N15" s="18">
        <v>1037</v>
      </c>
      <c r="O15" s="18">
        <v>435</v>
      </c>
      <c r="P15" s="18">
        <v>1023</v>
      </c>
      <c r="Q15" s="18">
        <v>1020</v>
      </c>
      <c r="R15" s="18">
        <v>661</v>
      </c>
      <c r="S15" s="18">
        <v>343</v>
      </c>
      <c r="T15" s="18">
        <v>4993</v>
      </c>
      <c r="U15" s="18">
        <v>19588</v>
      </c>
      <c r="V15" s="18">
        <v>62889</v>
      </c>
      <c r="X15" s="29" t="s">
        <v>25</v>
      </c>
      <c r="Y15" s="56">
        <f t="shared" si="0"/>
        <v>9.7000000000000003E-2</v>
      </c>
      <c r="Z15" s="56">
        <f t="shared" si="0"/>
        <v>1.2849999999999999</v>
      </c>
      <c r="AA15" s="56">
        <f t="shared" si="0"/>
        <v>0.20499999999999999</v>
      </c>
      <c r="AB15" s="56">
        <f t="shared" si="0"/>
        <v>0.42699999999999999</v>
      </c>
      <c r="AC15" s="56">
        <f t="shared" si="0"/>
        <v>6.0170000000000003</v>
      </c>
      <c r="AD15" s="56">
        <f t="shared" si="0"/>
        <v>0.71799999999999997</v>
      </c>
      <c r="AE15" s="56">
        <f t="shared" si="0"/>
        <v>1.661</v>
      </c>
      <c r="AF15" s="56">
        <f t="shared" si="0"/>
        <v>17.350999999999999</v>
      </c>
      <c r="AG15" s="56">
        <f t="shared" si="0"/>
        <v>0.873</v>
      </c>
      <c r="AH15" s="56">
        <f t="shared" si="0"/>
        <v>0.223</v>
      </c>
      <c r="AI15" s="56">
        <f t="shared" si="0"/>
        <v>4.9320000000000004</v>
      </c>
      <c r="AJ15" s="56">
        <f t="shared" si="0"/>
        <v>1.0369999999999999</v>
      </c>
      <c r="AK15" s="56">
        <f t="shared" si="0"/>
        <v>0.435</v>
      </c>
      <c r="AL15" s="56">
        <f t="shared" si="0"/>
        <v>1.0229999999999999</v>
      </c>
      <c r="AM15" s="56">
        <f t="shared" si="0"/>
        <v>1.02</v>
      </c>
      <c r="AN15" s="56">
        <f t="shared" si="0"/>
        <v>0.66100000000000003</v>
      </c>
      <c r="AO15" s="56">
        <f t="shared" si="1"/>
        <v>0.34300000000000003</v>
      </c>
      <c r="AP15" s="56">
        <f t="shared" si="1"/>
        <v>4.9930000000000003</v>
      </c>
      <c r="AQ15" s="56">
        <f t="shared" si="1"/>
        <v>19.588000000000001</v>
      </c>
      <c r="AR15" s="56">
        <f t="shared" si="1"/>
        <v>62.889000000000003</v>
      </c>
      <c r="AT15" s="26"/>
      <c r="AU15" s="31" t="s">
        <v>25</v>
      </c>
      <c r="AV15" s="77">
        <f t="shared" si="3"/>
        <v>0.15424001017666047</v>
      </c>
      <c r="AW15" s="77">
        <f t="shared" si="2"/>
        <v>2.0432826090413263</v>
      </c>
      <c r="AX15" s="77">
        <f t="shared" si="2"/>
        <v>0.32597115552799372</v>
      </c>
      <c r="AY15" s="77">
        <f t="shared" si="2"/>
        <v>0.67897406541684557</v>
      </c>
      <c r="AZ15" s="77">
        <f t="shared" si="2"/>
        <v>9.5676509405460415</v>
      </c>
      <c r="BA15" s="77">
        <f t="shared" si="2"/>
        <v>1.1416940959468269</v>
      </c>
      <c r="BB15" s="77">
        <f t="shared" si="2"/>
        <v>2.6411614113755983</v>
      </c>
      <c r="BC15" s="77">
        <f t="shared" si="2"/>
        <v>27.589880583249847</v>
      </c>
      <c r="BD15" s="77">
        <f t="shared" si="2"/>
        <v>1.3881600915899441</v>
      </c>
      <c r="BE15" s="77">
        <f t="shared" si="2"/>
        <v>0.35459301308654928</v>
      </c>
      <c r="BF15" s="77">
        <f t="shared" si="2"/>
        <v>7.8423889710442216</v>
      </c>
      <c r="BG15" s="77">
        <f t="shared" si="2"/>
        <v>1.6489370160123391</v>
      </c>
      <c r="BH15" s="77">
        <f t="shared" si="2"/>
        <v>0.69169489099842574</v>
      </c>
      <c r="BI15" s="77">
        <f t="shared" si="2"/>
        <v>1.6266755712445735</v>
      </c>
      <c r="BJ15" s="77">
        <f t="shared" si="2"/>
        <v>1.6219052616514813</v>
      </c>
      <c r="BK15" s="77">
        <f t="shared" si="2"/>
        <v>1.0510582136780677</v>
      </c>
      <c r="BL15" s="77">
        <f t="shared" si="2"/>
        <v>0.54540539681025302</v>
      </c>
      <c r="BM15" s="77">
        <f t="shared" si="2"/>
        <v>7.9393852661037698</v>
      </c>
      <c r="BN15" s="78">
        <f t="shared" si="4"/>
        <v>31.146941436499233</v>
      </c>
      <c r="BO15" s="116">
        <f t="shared" si="5"/>
        <v>100.00000000000001</v>
      </c>
      <c r="BP15" s="26"/>
    </row>
    <row r="16" spans="1:68" ht="12.5" x14ac:dyDescent="0.25">
      <c r="A16" s="51" t="s">
        <v>118</v>
      </c>
      <c r="B16" s="68">
        <v>11</v>
      </c>
      <c r="C16" s="18">
        <v>64</v>
      </c>
      <c r="D16" s="18">
        <v>572</v>
      </c>
      <c r="E16" s="18">
        <v>122</v>
      </c>
      <c r="F16" s="18">
        <v>210</v>
      </c>
      <c r="G16" s="18">
        <v>2089</v>
      </c>
      <c r="H16" s="18">
        <v>339</v>
      </c>
      <c r="I16" s="18">
        <v>735</v>
      </c>
      <c r="J16" s="18">
        <v>2241</v>
      </c>
      <c r="K16" s="18">
        <v>25263</v>
      </c>
      <c r="L16" s="18">
        <v>289</v>
      </c>
      <c r="M16" s="18">
        <v>3667</v>
      </c>
      <c r="N16" s="18">
        <v>672</v>
      </c>
      <c r="O16" s="18">
        <v>278</v>
      </c>
      <c r="P16" s="18">
        <v>389</v>
      </c>
      <c r="Q16" s="18">
        <v>771</v>
      </c>
      <c r="R16" s="18">
        <v>211</v>
      </c>
      <c r="S16" s="18">
        <v>222</v>
      </c>
      <c r="T16" s="18">
        <v>3924</v>
      </c>
      <c r="U16" s="18">
        <v>7541</v>
      </c>
      <c r="V16" s="18">
        <v>49599</v>
      </c>
      <c r="X16" s="29" t="s">
        <v>118</v>
      </c>
      <c r="Y16" s="56">
        <f t="shared" si="0"/>
        <v>6.4000000000000001E-2</v>
      </c>
      <c r="Z16" s="56">
        <f t="shared" si="0"/>
        <v>0.57199999999999995</v>
      </c>
      <c r="AA16" s="56">
        <f t="shared" si="0"/>
        <v>0.122</v>
      </c>
      <c r="AB16" s="56">
        <f t="shared" si="0"/>
        <v>0.21</v>
      </c>
      <c r="AC16" s="56">
        <f t="shared" si="0"/>
        <v>2.089</v>
      </c>
      <c r="AD16" s="56">
        <f t="shared" si="0"/>
        <v>0.33900000000000002</v>
      </c>
      <c r="AE16" s="56">
        <f t="shared" si="0"/>
        <v>0.73499999999999999</v>
      </c>
      <c r="AF16" s="56">
        <f t="shared" si="0"/>
        <v>2.2410000000000001</v>
      </c>
      <c r="AG16" s="56">
        <f t="shared" si="0"/>
        <v>25.263000000000002</v>
      </c>
      <c r="AH16" s="56">
        <f t="shared" si="0"/>
        <v>0.28899999999999998</v>
      </c>
      <c r="AI16" s="56">
        <f t="shared" si="0"/>
        <v>3.6669999999999998</v>
      </c>
      <c r="AJ16" s="56">
        <f t="shared" si="0"/>
        <v>0.67200000000000004</v>
      </c>
      <c r="AK16" s="56">
        <f t="shared" si="0"/>
        <v>0.27800000000000002</v>
      </c>
      <c r="AL16" s="56">
        <f t="shared" si="0"/>
        <v>0.38900000000000001</v>
      </c>
      <c r="AM16" s="56">
        <f t="shared" si="0"/>
        <v>0.77100000000000002</v>
      </c>
      <c r="AN16" s="56">
        <f t="shared" si="0"/>
        <v>0.21099999999999999</v>
      </c>
      <c r="AO16" s="56">
        <f t="shared" si="1"/>
        <v>0.222</v>
      </c>
      <c r="AP16" s="56">
        <f t="shared" si="1"/>
        <v>3.9239999999999999</v>
      </c>
      <c r="AQ16" s="56">
        <f t="shared" si="1"/>
        <v>7.5410000000000004</v>
      </c>
      <c r="AR16" s="56">
        <f t="shared" si="1"/>
        <v>49.598999999999997</v>
      </c>
      <c r="AT16" s="26"/>
      <c r="AU16" s="31" t="s">
        <v>118</v>
      </c>
      <c r="AV16" s="77">
        <f t="shared" si="3"/>
        <v>0.12903485957378175</v>
      </c>
      <c r="AW16" s="77">
        <f t="shared" si="2"/>
        <v>1.1532490574406742</v>
      </c>
      <c r="AX16" s="77">
        <f t="shared" si="2"/>
        <v>0.24597270106252145</v>
      </c>
      <c r="AY16" s="77">
        <f t="shared" si="2"/>
        <v>0.42339563297647137</v>
      </c>
      <c r="AZ16" s="77">
        <f t="shared" si="2"/>
        <v>4.2117784632754693</v>
      </c>
      <c r="BA16" s="77">
        <f t="shared" si="2"/>
        <v>0.6834815218048752</v>
      </c>
      <c r="BB16" s="77">
        <f t="shared" si="2"/>
        <v>1.4818847154176495</v>
      </c>
      <c r="BC16" s="77">
        <f t="shared" si="2"/>
        <v>4.5182362547632016</v>
      </c>
      <c r="BD16" s="77">
        <f t="shared" si="2"/>
        <v>50.934494647069506</v>
      </c>
      <c r="BE16" s="77">
        <f t="shared" si="2"/>
        <v>0.58267303776285806</v>
      </c>
      <c r="BF16" s="77">
        <f t="shared" si="2"/>
        <v>7.3932942196415246</v>
      </c>
      <c r="BG16" s="77">
        <f t="shared" si="2"/>
        <v>1.3548660255247083</v>
      </c>
      <c r="BH16" s="77">
        <f t="shared" si="2"/>
        <v>0.56049517127361448</v>
      </c>
      <c r="BI16" s="77">
        <f t="shared" si="2"/>
        <v>0.78429000584689224</v>
      </c>
      <c r="BJ16" s="77">
        <f t="shared" si="2"/>
        <v>1.554466823927902</v>
      </c>
      <c r="BK16" s="77">
        <f t="shared" si="2"/>
        <v>0.42541180265731166</v>
      </c>
      <c r="BL16" s="77">
        <f t="shared" si="2"/>
        <v>0.4475896691465554</v>
      </c>
      <c r="BM16" s="77">
        <f t="shared" si="2"/>
        <v>7.911449827617492</v>
      </c>
      <c r="BN16" s="78">
        <f t="shared" si="4"/>
        <v>15.203935563217003</v>
      </c>
      <c r="BO16" s="116">
        <f t="shared" si="5"/>
        <v>100</v>
      </c>
      <c r="BP16" s="26"/>
    </row>
    <row r="17" spans="1:68" ht="12.5" x14ac:dyDescent="0.25">
      <c r="A17" s="51" t="s">
        <v>119</v>
      </c>
      <c r="B17" s="68">
        <v>12</v>
      </c>
      <c r="C17" s="18">
        <v>43</v>
      </c>
      <c r="D17" s="18">
        <v>319</v>
      </c>
      <c r="E17" s="18">
        <v>57</v>
      </c>
      <c r="F17" s="18">
        <v>531</v>
      </c>
      <c r="G17" s="18">
        <v>1448</v>
      </c>
      <c r="H17" s="18">
        <v>282</v>
      </c>
      <c r="I17" s="18">
        <v>921</v>
      </c>
      <c r="J17" s="18">
        <v>309</v>
      </c>
      <c r="K17" s="18">
        <v>403</v>
      </c>
      <c r="L17" s="18">
        <v>2288</v>
      </c>
      <c r="M17" s="18">
        <v>1016</v>
      </c>
      <c r="N17" s="18">
        <v>403</v>
      </c>
      <c r="O17" s="18">
        <v>271</v>
      </c>
      <c r="P17" s="18">
        <v>223</v>
      </c>
      <c r="Q17" s="18">
        <v>791</v>
      </c>
      <c r="R17" s="18">
        <v>200</v>
      </c>
      <c r="S17" s="18">
        <v>165</v>
      </c>
      <c r="T17" s="18">
        <v>1420</v>
      </c>
      <c r="U17" s="18">
        <v>3689</v>
      </c>
      <c r="V17" s="18">
        <v>14779</v>
      </c>
      <c r="X17" s="29" t="s">
        <v>119</v>
      </c>
      <c r="Y17" s="56">
        <f t="shared" si="0"/>
        <v>4.2999999999999997E-2</v>
      </c>
      <c r="Z17" s="56">
        <f t="shared" si="0"/>
        <v>0.31900000000000001</v>
      </c>
      <c r="AA17" s="56">
        <f t="shared" si="0"/>
        <v>5.7000000000000002E-2</v>
      </c>
      <c r="AB17" s="56">
        <f t="shared" si="0"/>
        <v>0.53100000000000003</v>
      </c>
      <c r="AC17" s="56">
        <f t="shared" si="0"/>
        <v>1.448</v>
      </c>
      <c r="AD17" s="56">
        <f t="shared" si="0"/>
        <v>0.28199999999999997</v>
      </c>
      <c r="AE17" s="56">
        <f t="shared" si="0"/>
        <v>0.92100000000000004</v>
      </c>
      <c r="AF17" s="56">
        <f t="shared" si="0"/>
        <v>0.309</v>
      </c>
      <c r="AG17" s="56">
        <f t="shared" si="0"/>
        <v>0.40300000000000002</v>
      </c>
      <c r="AH17" s="56">
        <f t="shared" si="0"/>
        <v>2.2879999999999998</v>
      </c>
      <c r="AI17" s="56">
        <f t="shared" si="0"/>
        <v>1.016</v>
      </c>
      <c r="AJ17" s="56">
        <f t="shared" si="0"/>
        <v>0.40300000000000002</v>
      </c>
      <c r="AK17" s="56">
        <f t="shared" si="0"/>
        <v>0.27100000000000002</v>
      </c>
      <c r="AL17" s="56">
        <f t="shared" si="0"/>
        <v>0.223</v>
      </c>
      <c r="AM17" s="56">
        <f t="shared" si="0"/>
        <v>0.79100000000000004</v>
      </c>
      <c r="AN17" s="56">
        <f t="shared" si="0"/>
        <v>0.2</v>
      </c>
      <c r="AO17" s="56">
        <f t="shared" si="1"/>
        <v>0.16500000000000001</v>
      </c>
      <c r="AP17" s="56">
        <f t="shared" si="1"/>
        <v>1.42</v>
      </c>
      <c r="AQ17" s="56">
        <f t="shared" si="1"/>
        <v>3.6890000000000001</v>
      </c>
      <c r="AR17" s="56">
        <f t="shared" si="1"/>
        <v>14.779</v>
      </c>
      <c r="AT17" s="26"/>
      <c r="AU17" s="31" t="s">
        <v>119</v>
      </c>
      <c r="AV17" s="77">
        <f t="shared" si="3"/>
        <v>0.290953379795656</v>
      </c>
      <c r="AW17" s="77">
        <f t="shared" si="2"/>
        <v>2.1584680966235874</v>
      </c>
      <c r="AX17" s="77">
        <f t="shared" si="2"/>
        <v>0.38568238717098591</v>
      </c>
      <c r="AY17" s="77">
        <f t="shared" si="2"/>
        <v>3.5929359225928685</v>
      </c>
      <c r="AZ17" s="77">
        <f t="shared" si="2"/>
        <v>9.7976859056769747</v>
      </c>
      <c r="BA17" s="77">
        <f t="shared" si="2"/>
        <v>1.9081128628459298</v>
      </c>
      <c r="BB17" s="77">
        <f t="shared" si="2"/>
        <v>6.2318154137627717</v>
      </c>
      <c r="BC17" s="77">
        <f t="shared" si="2"/>
        <v>2.0908045199269232</v>
      </c>
      <c r="BD17" s="77">
        <f t="shared" si="2"/>
        <v>2.7268421408755668</v>
      </c>
      <c r="BE17" s="77">
        <f t="shared" si="2"/>
        <v>15.481426348196765</v>
      </c>
      <c r="BF17" s="77">
        <f t="shared" si="2"/>
        <v>6.8746193923810814</v>
      </c>
      <c r="BG17" s="77">
        <f t="shared" si="2"/>
        <v>2.7268421408755668</v>
      </c>
      <c r="BH17" s="77">
        <f t="shared" si="2"/>
        <v>1.8336829284795995</v>
      </c>
      <c r="BI17" s="77">
        <f t="shared" si="2"/>
        <v>1.5088977603356113</v>
      </c>
      <c r="BJ17" s="77">
        <f t="shared" si="2"/>
        <v>5.3521889167061376</v>
      </c>
      <c r="BK17" s="77">
        <f t="shared" si="2"/>
        <v>1.3532715339332839</v>
      </c>
      <c r="BL17" s="77">
        <f t="shared" si="2"/>
        <v>1.1164490154949591</v>
      </c>
      <c r="BM17" s="77">
        <f t="shared" si="2"/>
        <v>9.6082278909263152</v>
      </c>
      <c r="BN17" s="78">
        <f t="shared" si="4"/>
        <v>24.961093443399417</v>
      </c>
      <c r="BO17" s="116">
        <f t="shared" si="5"/>
        <v>100</v>
      </c>
      <c r="BP17" s="26"/>
    </row>
    <row r="18" spans="1:68" ht="12.5" x14ac:dyDescent="0.25">
      <c r="A18" s="51" t="s">
        <v>120</v>
      </c>
      <c r="B18" s="68">
        <v>13</v>
      </c>
      <c r="C18" s="18">
        <v>596</v>
      </c>
      <c r="D18" s="18">
        <v>5816</v>
      </c>
      <c r="E18" s="18">
        <v>1022</v>
      </c>
      <c r="F18" s="18">
        <v>2455</v>
      </c>
      <c r="G18" s="18">
        <v>12257</v>
      </c>
      <c r="H18" s="18">
        <v>2069</v>
      </c>
      <c r="I18" s="18">
        <v>4647</v>
      </c>
      <c r="J18" s="18">
        <v>5002</v>
      </c>
      <c r="K18" s="18">
        <v>2484</v>
      </c>
      <c r="L18" s="18">
        <v>878</v>
      </c>
      <c r="M18" s="18">
        <v>32197</v>
      </c>
      <c r="N18" s="18">
        <v>2114</v>
      </c>
      <c r="O18" s="18">
        <v>1376</v>
      </c>
      <c r="P18" s="18">
        <v>2309</v>
      </c>
      <c r="Q18" s="18">
        <v>4058</v>
      </c>
      <c r="R18" s="18">
        <v>1243</v>
      </c>
      <c r="S18" s="18">
        <v>812</v>
      </c>
      <c r="T18" s="18">
        <v>10086</v>
      </c>
      <c r="U18" s="18">
        <v>37242</v>
      </c>
      <c r="V18" s="18">
        <v>128663</v>
      </c>
      <c r="X18" s="29" t="s">
        <v>120</v>
      </c>
      <c r="Y18" s="56">
        <f t="shared" si="0"/>
        <v>0.59599999999999997</v>
      </c>
      <c r="Z18" s="56">
        <f t="shared" si="0"/>
        <v>5.8159999999999998</v>
      </c>
      <c r="AA18" s="56">
        <f t="shared" si="0"/>
        <v>1.022</v>
      </c>
      <c r="AB18" s="56">
        <f t="shared" si="0"/>
        <v>2.4550000000000001</v>
      </c>
      <c r="AC18" s="56">
        <f t="shared" si="0"/>
        <v>12.257</v>
      </c>
      <c r="AD18" s="56">
        <f t="shared" si="0"/>
        <v>2.069</v>
      </c>
      <c r="AE18" s="56">
        <f t="shared" si="0"/>
        <v>4.6470000000000002</v>
      </c>
      <c r="AF18" s="56">
        <f t="shared" si="0"/>
        <v>5.0019999999999998</v>
      </c>
      <c r="AG18" s="56">
        <f t="shared" si="0"/>
        <v>2.484</v>
      </c>
      <c r="AH18" s="56">
        <f t="shared" si="0"/>
        <v>0.878</v>
      </c>
      <c r="AI18" s="56">
        <f t="shared" si="0"/>
        <v>32.197000000000003</v>
      </c>
      <c r="AJ18" s="56">
        <f t="shared" si="0"/>
        <v>2.1139999999999999</v>
      </c>
      <c r="AK18" s="56">
        <f t="shared" si="0"/>
        <v>1.3759999999999999</v>
      </c>
      <c r="AL18" s="56">
        <f t="shared" si="0"/>
        <v>2.3090000000000002</v>
      </c>
      <c r="AM18" s="56">
        <f t="shared" si="0"/>
        <v>4.0579999999999998</v>
      </c>
      <c r="AN18" s="56">
        <f t="shared" si="0"/>
        <v>1.2430000000000001</v>
      </c>
      <c r="AO18" s="56">
        <f t="shared" si="1"/>
        <v>0.81200000000000006</v>
      </c>
      <c r="AP18" s="56">
        <f t="shared" si="1"/>
        <v>10.086</v>
      </c>
      <c r="AQ18" s="56">
        <f t="shared" si="1"/>
        <v>37.241999999999997</v>
      </c>
      <c r="AR18" s="56">
        <f t="shared" si="1"/>
        <v>128.66300000000001</v>
      </c>
      <c r="AT18" s="26"/>
      <c r="AU18" s="31" t="s">
        <v>120</v>
      </c>
      <c r="AV18" s="77">
        <f t="shared" si="3"/>
        <v>0.46322563596371913</v>
      </c>
      <c r="AW18" s="77">
        <f t="shared" si="2"/>
        <v>4.5203360717533396</v>
      </c>
      <c r="AX18" s="77">
        <f t="shared" si="2"/>
        <v>0.79432315428678013</v>
      </c>
      <c r="AY18" s="77">
        <f t="shared" si="2"/>
        <v>1.9080854635753868</v>
      </c>
      <c r="AZ18" s="77">
        <f t="shared" si="2"/>
        <v>9.526437281891452</v>
      </c>
      <c r="BA18" s="77">
        <f t="shared" si="2"/>
        <v>1.608076914108951</v>
      </c>
      <c r="BB18" s="77">
        <f t="shared" si="2"/>
        <v>3.6117609569184612</v>
      </c>
      <c r="BC18" s="77">
        <f t="shared" si="2"/>
        <v>3.8876755555210121</v>
      </c>
      <c r="BD18" s="77">
        <f t="shared" si="2"/>
        <v>1.9306249659964401</v>
      </c>
      <c r="BE18" s="77">
        <f t="shared" si="2"/>
        <v>0.68240286640292847</v>
      </c>
      <c r="BF18" s="77">
        <f t="shared" si="2"/>
        <v>25.024288256919235</v>
      </c>
      <c r="BG18" s="77">
        <f t="shared" si="2"/>
        <v>1.6430520040726548</v>
      </c>
      <c r="BH18" s="77">
        <f t="shared" si="2"/>
        <v>1.0694605286679153</v>
      </c>
      <c r="BI18" s="77">
        <f t="shared" si="2"/>
        <v>1.794610727248704</v>
      </c>
      <c r="BJ18" s="77">
        <f t="shared" si="2"/>
        <v>3.1539758905046513</v>
      </c>
      <c r="BK18" s="77">
        <f t="shared" si="2"/>
        <v>0.96608970721963583</v>
      </c>
      <c r="BL18" s="77">
        <f t="shared" si="2"/>
        <v>0.63110606778949663</v>
      </c>
      <c r="BM18" s="77">
        <f t="shared" si="2"/>
        <v>7.8390834971981054</v>
      </c>
      <c r="BN18" s="78">
        <f t="shared" si="4"/>
        <v>28.945384453961122</v>
      </c>
      <c r="BO18" s="116">
        <f t="shared" si="5"/>
        <v>100</v>
      </c>
      <c r="BP18" s="26"/>
    </row>
    <row r="19" spans="1:68" ht="12.5" x14ac:dyDescent="0.25">
      <c r="A19" s="51" t="s">
        <v>173</v>
      </c>
      <c r="B19" s="68">
        <v>14</v>
      </c>
      <c r="C19" s="18">
        <v>505</v>
      </c>
      <c r="D19" s="18">
        <v>1672</v>
      </c>
      <c r="E19" s="18">
        <v>251</v>
      </c>
      <c r="F19" s="18">
        <v>1076</v>
      </c>
      <c r="G19" s="18">
        <v>7339</v>
      </c>
      <c r="H19" s="18">
        <v>1608</v>
      </c>
      <c r="I19" s="18">
        <v>4450</v>
      </c>
      <c r="J19" s="18">
        <v>1051</v>
      </c>
      <c r="K19" s="18">
        <v>395</v>
      </c>
      <c r="L19" s="18">
        <v>179</v>
      </c>
      <c r="M19" s="18">
        <v>1679</v>
      </c>
      <c r="N19" s="18">
        <v>15353</v>
      </c>
      <c r="O19" s="18">
        <v>350</v>
      </c>
      <c r="P19" s="18">
        <v>495</v>
      </c>
      <c r="Q19" s="18">
        <v>2130</v>
      </c>
      <c r="R19" s="18">
        <v>1033</v>
      </c>
      <c r="S19" s="18">
        <v>542</v>
      </c>
      <c r="T19" s="18">
        <v>9083</v>
      </c>
      <c r="U19" s="18">
        <v>27571</v>
      </c>
      <c r="V19" s="18">
        <v>76762</v>
      </c>
      <c r="X19" s="29" t="s">
        <v>121</v>
      </c>
      <c r="Y19" s="56">
        <f t="shared" si="0"/>
        <v>0.505</v>
      </c>
      <c r="Z19" s="56">
        <f t="shared" si="0"/>
        <v>1.6719999999999999</v>
      </c>
      <c r="AA19" s="56">
        <f t="shared" si="0"/>
        <v>0.251</v>
      </c>
      <c r="AB19" s="56">
        <f t="shared" si="0"/>
        <v>1.0760000000000001</v>
      </c>
      <c r="AC19" s="56">
        <f t="shared" si="0"/>
        <v>7.3390000000000004</v>
      </c>
      <c r="AD19" s="56">
        <f t="shared" si="0"/>
        <v>1.6080000000000001</v>
      </c>
      <c r="AE19" s="56">
        <f t="shared" si="0"/>
        <v>4.45</v>
      </c>
      <c r="AF19" s="56">
        <f t="shared" si="0"/>
        <v>1.0509999999999999</v>
      </c>
      <c r="AG19" s="56">
        <f t="shared" si="0"/>
        <v>0.39500000000000002</v>
      </c>
      <c r="AH19" s="56">
        <f t="shared" si="0"/>
        <v>0.17899999999999999</v>
      </c>
      <c r="AI19" s="56">
        <f t="shared" si="0"/>
        <v>1.679</v>
      </c>
      <c r="AJ19" s="56">
        <f t="shared" si="0"/>
        <v>15.353</v>
      </c>
      <c r="AK19" s="56">
        <f t="shared" si="0"/>
        <v>0.35</v>
      </c>
      <c r="AL19" s="56">
        <f t="shared" si="0"/>
        <v>0.495</v>
      </c>
      <c r="AM19" s="56">
        <f t="shared" si="0"/>
        <v>2.13</v>
      </c>
      <c r="AN19" s="56">
        <f t="shared" si="0"/>
        <v>1.0329999999999999</v>
      </c>
      <c r="AO19" s="56">
        <f t="shared" si="1"/>
        <v>0.54200000000000004</v>
      </c>
      <c r="AP19" s="56">
        <f t="shared" si="1"/>
        <v>9.0830000000000002</v>
      </c>
      <c r="AQ19" s="56">
        <f t="shared" si="1"/>
        <v>27.571000000000002</v>
      </c>
      <c r="AR19" s="56">
        <f t="shared" si="1"/>
        <v>76.762</v>
      </c>
      <c r="AT19" s="26"/>
      <c r="AU19" s="31" t="s">
        <v>121</v>
      </c>
      <c r="AV19" s="77">
        <f t="shared" si="3"/>
        <v>0.65787759568536508</v>
      </c>
      <c r="AW19" s="77">
        <f t="shared" si="2"/>
        <v>2.1781610692790703</v>
      </c>
      <c r="AX19" s="77">
        <f t="shared" si="2"/>
        <v>0.32698470597431023</v>
      </c>
      <c r="AY19" s="77">
        <f t="shared" si="2"/>
        <v>1.4017352335791147</v>
      </c>
      <c r="AZ19" s="77">
        <f t="shared" si="2"/>
        <v>9.5607201479898922</v>
      </c>
      <c r="BA19" s="77">
        <f t="shared" si="2"/>
        <v>2.0947864828951825</v>
      </c>
      <c r="BB19" s="77">
        <f t="shared" si="2"/>
        <v>5.797139209504703</v>
      </c>
      <c r="BC19" s="77">
        <f t="shared" si="2"/>
        <v>1.3691670357729084</v>
      </c>
      <c r="BD19" s="77">
        <f t="shared" si="2"/>
        <v>0.51457752533805801</v>
      </c>
      <c r="BE19" s="77">
        <f t="shared" si="2"/>
        <v>0.23318829629243634</v>
      </c>
      <c r="BF19" s="77">
        <f t="shared" si="2"/>
        <v>2.1872801646648083</v>
      </c>
      <c r="BG19" s="77">
        <f t="shared" si="2"/>
        <v>20.000781636747348</v>
      </c>
      <c r="BH19" s="77">
        <f t="shared" si="2"/>
        <v>0.45595476928688672</v>
      </c>
      <c r="BI19" s="77">
        <f t="shared" si="2"/>
        <v>0.64485031656288272</v>
      </c>
      <c r="BJ19" s="77">
        <f t="shared" si="2"/>
        <v>2.7748104530887678</v>
      </c>
      <c r="BK19" s="77">
        <f t="shared" si="2"/>
        <v>1.3457179333524398</v>
      </c>
      <c r="BL19" s="77">
        <f t="shared" si="2"/>
        <v>0.70607852843855035</v>
      </c>
      <c r="BM19" s="77">
        <f t="shared" si="2"/>
        <v>11.832677626950835</v>
      </c>
      <c r="BN19" s="78">
        <f t="shared" si="4"/>
        <v>35.917511268596442</v>
      </c>
      <c r="BO19" s="116">
        <f t="shared" si="5"/>
        <v>100</v>
      </c>
      <c r="BP19" s="26"/>
    </row>
    <row r="20" spans="1:68" ht="12.5" x14ac:dyDescent="0.25">
      <c r="A20" s="51" t="s">
        <v>122</v>
      </c>
      <c r="B20" s="68">
        <v>15</v>
      </c>
      <c r="C20" s="18">
        <v>291</v>
      </c>
      <c r="D20" s="18">
        <v>1818</v>
      </c>
      <c r="E20" s="18">
        <v>484</v>
      </c>
      <c r="F20" s="18">
        <v>1095</v>
      </c>
      <c r="G20" s="18">
        <v>5282</v>
      </c>
      <c r="H20" s="18">
        <v>1382</v>
      </c>
      <c r="I20" s="18">
        <v>2045</v>
      </c>
      <c r="J20" s="18">
        <v>2661</v>
      </c>
      <c r="K20" s="18">
        <v>1293</v>
      </c>
      <c r="L20" s="18">
        <v>534</v>
      </c>
      <c r="M20" s="18">
        <v>5678</v>
      </c>
      <c r="N20" s="18">
        <v>1820</v>
      </c>
      <c r="O20" s="18">
        <v>13409</v>
      </c>
      <c r="P20" s="18">
        <v>2189</v>
      </c>
      <c r="Q20" s="18">
        <v>6003</v>
      </c>
      <c r="R20" s="18">
        <v>1275</v>
      </c>
      <c r="S20" s="18">
        <v>906</v>
      </c>
      <c r="T20" s="18">
        <v>10293</v>
      </c>
      <c r="U20" s="18">
        <v>16548</v>
      </c>
      <c r="V20" s="18">
        <v>75006</v>
      </c>
      <c r="X20" s="29" t="s">
        <v>122</v>
      </c>
      <c r="Y20" s="56">
        <f t="shared" si="0"/>
        <v>0.29099999999999998</v>
      </c>
      <c r="Z20" s="56">
        <f t="shared" si="0"/>
        <v>1.8180000000000001</v>
      </c>
      <c r="AA20" s="56">
        <f t="shared" si="0"/>
        <v>0.48399999999999999</v>
      </c>
      <c r="AB20" s="56">
        <f t="shared" si="0"/>
        <v>1.095</v>
      </c>
      <c r="AC20" s="56">
        <f t="shared" si="0"/>
        <v>5.282</v>
      </c>
      <c r="AD20" s="56">
        <f t="shared" si="0"/>
        <v>1.3819999999999999</v>
      </c>
      <c r="AE20" s="56">
        <f t="shared" si="0"/>
        <v>2.0449999999999999</v>
      </c>
      <c r="AF20" s="56">
        <f t="shared" si="0"/>
        <v>2.661</v>
      </c>
      <c r="AG20" s="56">
        <f t="shared" si="0"/>
        <v>1.2929999999999999</v>
      </c>
      <c r="AH20" s="56">
        <f t="shared" si="0"/>
        <v>0.53400000000000003</v>
      </c>
      <c r="AI20" s="56">
        <f t="shared" si="0"/>
        <v>5.6779999999999999</v>
      </c>
      <c r="AJ20" s="56">
        <f t="shared" si="0"/>
        <v>1.82</v>
      </c>
      <c r="AK20" s="56">
        <f t="shared" si="0"/>
        <v>13.409000000000001</v>
      </c>
      <c r="AL20" s="56">
        <f t="shared" si="0"/>
        <v>2.1890000000000001</v>
      </c>
      <c r="AM20" s="56">
        <f t="shared" si="0"/>
        <v>6.0030000000000001</v>
      </c>
      <c r="AN20" s="56">
        <f t="shared" si="0"/>
        <v>1.2749999999999999</v>
      </c>
      <c r="AO20" s="56">
        <f t="shared" si="1"/>
        <v>0.90600000000000003</v>
      </c>
      <c r="AP20" s="56">
        <f t="shared" si="1"/>
        <v>10.292999999999999</v>
      </c>
      <c r="AQ20" s="56">
        <f t="shared" si="1"/>
        <v>16.547999999999998</v>
      </c>
      <c r="AR20" s="56">
        <f t="shared" si="1"/>
        <v>75.006</v>
      </c>
      <c r="AT20" s="26"/>
      <c r="AU20" s="31" t="s">
        <v>122</v>
      </c>
      <c r="AV20" s="77">
        <f t="shared" si="3"/>
        <v>0.38796896248300133</v>
      </c>
      <c r="AW20" s="77">
        <f t="shared" si="2"/>
        <v>2.4238060955123588</v>
      </c>
      <c r="AX20" s="77">
        <f t="shared" si="2"/>
        <v>0.64528171079646957</v>
      </c>
      <c r="AY20" s="77">
        <f t="shared" si="2"/>
        <v>1.4598832093432526</v>
      </c>
      <c r="AZ20" s="77">
        <f t="shared" si="2"/>
        <v>7.0421032984027949</v>
      </c>
      <c r="BA20" s="77">
        <f t="shared" si="2"/>
        <v>1.8425192651254565</v>
      </c>
      <c r="BB20" s="77">
        <f t="shared" si="2"/>
        <v>2.726448550782604</v>
      </c>
      <c r="BC20" s="77">
        <f t="shared" si="2"/>
        <v>3.5477161827053836</v>
      </c>
      <c r="BD20" s="77">
        <f t="shared" si="2"/>
        <v>1.7238620910327174</v>
      </c>
      <c r="BE20" s="77">
        <f t="shared" si="2"/>
        <v>0.71194304455643553</v>
      </c>
      <c r="BF20" s="77">
        <f t="shared" si="2"/>
        <v>7.5700610617817246</v>
      </c>
      <c r="BG20" s="77">
        <f t="shared" si="2"/>
        <v>2.4264725488627579</v>
      </c>
      <c r="BH20" s="77">
        <f t="shared" si="2"/>
        <v>17.877236487747648</v>
      </c>
      <c r="BI20" s="77">
        <f t="shared" si="2"/>
        <v>2.9184331920113058</v>
      </c>
      <c r="BJ20" s="77">
        <f t="shared" si="2"/>
        <v>8.0033597312215026</v>
      </c>
      <c r="BK20" s="77">
        <f t="shared" si="2"/>
        <v>1.6998640108791294</v>
      </c>
      <c r="BL20" s="77">
        <f t="shared" si="2"/>
        <v>1.2079033677305815</v>
      </c>
      <c r="BM20" s="77">
        <f t="shared" si="2"/>
        <v>13.722902167826573</v>
      </c>
      <c r="BN20" s="78">
        <f t="shared" si="4"/>
        <v>22.062235021198301</v>
      </c>
      <c r="BO20" s="116">
        <f t="shared" si="5"/>
        <v>100</v>
      </c>
      <c r="BP20" s="26"/>
    </row>
    <row r="21" spans="1:68" ht="12.5" x14ac:dyDescent="0.25">
      <c r="A21" s="51" t="s">
        <v>123</v>
      </c>
      <c r="B21" s="68">
        <v>16</v>
      </c>
      <c r="C21" s="18">
        <v>231</v>
      </c>
      <c r="D21" s="18">
        <v>1039</v>
      </c>
      <c r="E21" s="18">
        <v>96</v>
      </c>
      <c r="F21" s="18">
        <v>609</v>
      </c>
      <c r="G21" s="18">
        <v>5656</v>
      </c>
      <c r="H21" s="18">
        <v>547</v>
      </c>
      <c r="I21" s="18">
        <v>2903</v>
      </c>
      <c r="J21" s="18">
        <v>1115</v>
      </c>
      <c r="K21" s="18">
        <v>308</v>
      </c>
      <c r="L21" s="18">
        <v>164</v>
      </c>
      <c r="M21" s="18">
        <v>2064</v>
      </c>
      <c r="N21" s="18">
        <v>773</v>
      </c>
      <c r="O21" s="18">
        <v>961</v>
      </c>
      <c r="P21" s="18">
        <v>25710</v>
      </c>
      <c r="Q21" s="18">
        <v>5594</v>
      </c>
      <c r="R21" s="18">
        <v>1378</v>
      </c>
      <c r="S21" s="18">
        <v>762</v>
      </c>
      <c r="T21" s="18">
        <v>3921</v>
      </c>
      <c r="U21" s="18">
        <v>26793</v>
      </c>
      <c r="V21" s="18">
        <v>80624</v>
      </c>
      <c r="X21" s="29" t="s">
        <v>123</v>
      </c>
      <c r="Y21" s="56">
        <f t="shared" si="0"/>
        <v>0.23100000000000001</v>
      </c>
      <c r="Z21" s="56">
        <f t="shared" si="0"/>
        <v>1.0389999999999999</v>
      </c>
      <c r="AA21" s="56">
        <f t="shared" si="0"/>
        <v>9.6000000000000002E-2</v>
      </c>
      <c r="AB21" s="56">
        <f t="shared" si="0"/>
        <v>0.60899999999999999</v>
      </c>
      <c r="AC21" s="56">
        <f t="shared" si="0"/>
        <v>5.6559999999999997</v>
      </c>
      <c r="AD21" s="56">
        <f t="shared" si="0"/>
        <v>0.54700000000000004</v>
      </c>
      <c r="AE21" s="56">
        <f t="shared" si="0"/>
        <v>2.903</v>
      </c>
      <c r="AF21" s="56">
        <f t="shared" si="0"/>
        <v>1.115</v>
      </c>
      <c r="AG21" s="56">
        <f t="shared" si="0"/>
        <v>0.308</v>
      </c>
      <c r="AH21" s="56">
        <f t="shared" si="0"/>
        <v>0.16400000000000001</v>
      </c>
      <c r="AI21" s="56">
        <f t="shared" si="0"/>
        <v>2.0640000000000001</v>
      </c>
      <c r="AJ21" s="56">
        <f t="shared" si="0"/>
        <v>0.77300000000000002</v>
      </c>
      <c r="AK21" s="56">
        <f t="shared" si="0"/>
        <v>0.96099999999999997</v>
      </c>
      <c r="AL21" s="56">
        <f t="shared" si="0"/>
        <v>25.71</v>
      </c>
      <c r="AM21" s="56">
        <f t="shared" si="0"/>
        <v>5.5940000000000003</v>
      </c>
      <c r="AN21" s="56">
        <f t="shared" si="0"/>
        <v>1.3779999999999999</v>
      </c>
      <c r="AO21" s="56">
        <f t="shared" si="1"/>
        <v>0.76200000000000001</v>
      </c>
      <c r="AP21" s="56">
        <f t="shared" si="1"/>
        <v>3.9209999999999998</v>
      </c>
      <c r="AQ21" s="56">
        <f t="shared" si="1"/>
        <v>26.792999999999999</v>
      </c>
      <c r="AR21" s="56">
        <f t="shared" si="1"/>
        <v>80.623999999999995</v>
      </c>
      <c r="AT21" s="26"/>
      <c r="AU21" s="31" t="s">
        <v>123</v>
      </c>
      <c r="AV21" s="77">
        <f t="shared" si="3"/>
        <v>0.28651518158364758</v>
      </c>
      <c r="AW21" s="77">
        <f t="shared" si="2"/>
        <v>1.2886981543957134</v>
      </c>
      <c r="AX21" s="77">
        <f t="shared" si="2"/>
        <v>0.11907124429450287</v>
      </c>
      <c r="AY21" s="77">
        <f t="shared" si="2"/>
        <v>0.75535820599325265</v>
      </c>
      <c r="AZ21" s="77">
        <f t="shared" si="2"/>
        <v>7.0152808096844614</v>
      </c>
      <c r="BA21" s="77">
        <f t="shared" si="2"/>
        <v>0.67845802738638628</v>
      </c>
      <c r="BB21" s="77">
        <f t="shared" si="2"/>
        <v>3.600664814447311</v>
      </c>
      <c r="BC21" s="77">
        <f t="shared" si="2"/>
        <v>1.382962889462195</v>
      </c>
      <c r="BD21" s="77">
        <f t="shared" si="2"/>
        <v>0.38202024211153013</v>
      </c>
      <c r="BE21" s="77">
        <f t="shared" si="2"/>
        <v>0.2034133756697758</v>
      </c>
      <c r="BF21" s="77">
        <f t="shared" si="2"/>
        <v>2.5600317523318123</v>
      </c>
      <c r="BG21" s="77">
        <f t="shared" si="2"/>
        <v>0.95877158166302845</v>
      </c>
      <c r="BH21" s="77">
        <f t="shared" si="2"/>
        <v>1.1919527684064299</v>
      </c>
      <c r="BI21" s="77">
        <f t="shared" si="2"/>
        <v>31.888767612621553</v>
      </c>
      <c r="BJ21" s="77">
        <f t="shared" si="2"/>
        <v>6.9383806310775951</v>
      </c>
      <c r="BK21" s="77">
        <f t="shared" si="2"/>
        <v>1.7091684858106766</v>
      </c>
      <c r="BL21" s="77">
        <f t="shared" si="2"/>
        <v>0.94512800158761656</v>
      </c>
      <c r="BM21" s="77">
        <f t="shared" si="2"/>
        <v>4.8633161341536022</v>
      </c>
      <c r="BN21" s="78">
        <f t="shared" si="4"/>
        <v>33.232040087318914</v>
      </c>
      <c r="BO21" s="116">
        <f t="shared" si="5"/>
        <v>100</v>
      </c>
      <c r="BP21" s="26"/>
    </row>
    <row r="22" spans="1:68" ht="12.5" x14ac:dyDescent="0.25">
      <c r="A22" s="51" t="s">
        <v>174</v>
      </c>
      <c r="B22" s="68">
        <v>17</v>
      </c>
      <c r="C22" s="18">
        <v>815</v>
      </c>
      <c r="D22" s="18">
        <v>3262</v>
      </c>
      <c r="E22" s="18">
        <v>262</v>
      </c>
      <c r="F22" s="18">
        <v>987</v>
      </c>
      <c r="G22" s="18">
        <v>26950</v>
      </c>
      <c r="H22" s="18">
        <v>1802</v>
      </c>
      <c r="I22" s="18">
        <v>14153</v>
      </c>
      <c r="J22" s="18">
        <v>1966</v>
      </c>
      <c r="K22" s="18">
        <v>987</v>
      </c>
      <c r="L22" s="18">
        <v>579</v>
      </c>
      <c r="M22" s="18">
        <v>4355</v>
      </c>
      <c r="N22" s="18">
        <v>4290</v>
      </c>
      <c r="O22" s="18">
        <v>2790</v>
      </c>
      <c r="P22" s="18">
        <v>5100</v>
      </c>
      <c r="Q22" s="18">
        <v>118047</v>
      </c>
      <c r="R22" s="18">
        <v>3050</v>
      </c>
      <c r="S22" s="18">
        <v>2372</v>
      </c>
      <c r="T22" s="18">
        <v>12778</v>
      </c>
      <c r="U22" s="18">
        <v>86321</v>
      </c>
      <c r="V22" s="18">
        <v>290866</v>
      </c>
      <c r="X22" s="29" t="s">
        <v>124</v>
      </c>
      <c r="Y22" s="56">
        <f t="shared" si="0"/>
        <v>0.81499999999999995</v>
      </c>
      <c r="Z22" s="56">
        <f t="shared" si="0"/>
        <v>3.262</v>
      </c>
      <c r="AA22" s="56">
        <f t="shared" si="0"/>
        <v>0.26200000000000001</v>
      </c>
      <c r="AB22" s="56">
        <f t="shared" si="0"/>
        <v>0.98699999999999999</v>
      </c>
      <c r="AC22" s="56">
        <f t="shared" si="0"/>
        <v>26.95</v>
      </c>
      <c r="AD22" s="56">
        <f t="shared" si="0"/>
        <v>1.802</v>
      </c>
      <c r="AE22" s="56">
        <f t="shared" si="0"/>
        <v>14.153</v>
      </c>
      <c r="AF22" s="56">
        <f t="shared" si="0"/>
        <v>1.966</v>
      </c>
      <c r="AG22" s="56">
        <f t="shared" si="0"/>
        <v>0.98699999999999999</v>
      </c>
      <c r="AH22" s="56">
        <f t="shared" si="0"/>
        <v>0.57899999999999996</v>
      </c>
      <c r="AI22" s="56">
        <f t="shared" si="0"/>
        <v>4.3550000000000004</v>
      </c>
      <c r="AJ22" s="56">
        <f t="shared" si="0"/>
        <v>4.29</v>
      </c>
      <c r="AK22" s="56">
        <f t="shared" si="0"/>
        <v>2.79</v>
      </c>
      <c r="AL22" s="56">
        <f t="shared" si="0"/>
        <v>5.0999999999999996</v>
      </c>
      <c r="AM22" s="56">
        <f t="shared" si="0"/>
        <v>118.047</v>
      </c>
      <c r="AN22" s="56">
        <f t="shared" si="0"/>
        <v>3.05</v>
      </c>
      <c r="AO22" s="56">
        <f t="shared" si="1"/>
        <v>2.3719999999999999</v>
      </c>
      <c r="AP22" s="56">
        <f t="shared" si="1"/>
        <v>12.778</v>
      </c>
      <c r="AQ22" s="56">
        <f t="shared" si="1"/>
        <v>86.320999999999998</v>
      </c>
      <c r="AR22" s="56">
        <f t="shared" si="1"/>
        <v>290.86599999999999</v>
      </c>
      <c r="AT22" s="26"/>
      <c r="AU22" s="31" t="s">
        <v>124</v>
      </c>
      <c r="AV22" s="77">
        <f t="shared" si="3"/>
        <v>0.28019775429235455</v>
      </c>
      <c r="AW22" s="77">
        <f t="shared" si="2"/>
        <v>1.1214786190204424</v>
      </c>
      <c r="AX22" s="77">
        <f t="shared" si="2"/>
        <v>9.0075842484167973E-2</v>
      </c>
      <c r="AY22" s="77">
        <f t="shared" si="2"/>
        <v>0.33933151348043433</v>
      </c>
      <c r="AZ22" s="77">
        <f t="shared" si="2"/>
        <v>9.2654349425508649</v>
      </c>
      <c r="BA22" s="77">
        <f t="shared" si="2"/>
        <v>0.61952926777278894</v>
      </c>
      <c r="BB22" s="77">
        <f t="shared" si="2"/>
        <v>4.8658144987726315</v>
      </c>
      <c r="BC22" s="77">
        <f t="shared" si="2"/>
        <v>0.67591261955677195</v>
      </c>
      <c r="BD22" s="77">
        <f t="shared" si="2"/>
        <v>0.33933151348043433</v>
      </c>
      <c r="BE22" s="77">
        <f t="shared" si="2"/>
        <v>0.19906073587150097</v>
      </c>
      <c r="BF22" s="77">
        <f t="shared" si="2"/>
        <v>1.4972530306051586</v>
      </c>
      <c r="BG22" s="77">
        <f t="shared" si="2"/>
        <v>1.4749059704468725</v>
      </c>
      <c r="BH22" s="77">
        <f t="shared" si="2"/>
        <v>0.95920458217873517</v>
      </c>
      <c r="BI22" s="77">
        <f t="shared" si="2"/>
        <v>1.7533847201116666</v>
      </c>
      <c r="BJ22" s="77">
        <f t="shared" si="2"/>
        <v>40.584667853925865</v>
      </c>
      <c r="BK22" s="77">
        <f t="shared" si="2"/>
        <v>1.048592822811879</v>
      </c>
      <c r="BL22" s="77">
        <f t="shared" si="2"/>
        <v>0.81549579531468108</v>
      </c>
      <c r="BM22" s="77">
        <f t="shared" si="2"/>
        <v>4.3930882261935054</v>
      </c>
      <c r="BN22" s="78">
        <f t="shared" si="4"/>
        <v>29.677239691129248</v>
      </c>
      <c r="BO22" s="116">
        <f t="shared" si="5"/>
        <v>100</v>
      </c>
      <c r="BP22" s="26"/>
    </row>
    <row r="23" spans="1:68" ht="12.5" x14ac:dyDescent="0.25">
      <c r="A23" s="51" t="s">
        <v>125</v>
      </c>
      <c r="B23" s="68">
        <v>18</v>
      </c>
      <c r="C23" s="18">
        <v>180</v>
      </c>
      <c r="D23" s="18">
        <v>566</v>
      </c>
      <c r="E23" s="18">
        <v>59</v>
      </c>
      <c r="F23" s="18">
        <v>217</v>
      </c>
      <c r="G23" s="18">
        <v>5083</v>
      </c>
      <c r="H23" s="18">
        <v>423</v>
      </c>
      <c r="I23" s="18">
        <v>4070</v>
      </c>
      <c r="J23" s="18">
        <v>564</v>
      </c>
      <c r="K23" s="18">
        <v>141</v>
      </c>
      <c r="L23" s="18">
        <v>170</v>
      </c>
      <c r="M23" s="18">
        <v>924</v>
      </c>
      <c r="N23" s="18">
        <v>701</v>
      </c>
      <c r="O23" s="18">
        <v>324</v>
      </c>
      <c r="P23" s="18">
        <v>953</v>
      </c>
      <c r="Q23" s="18">
        <v>1538</v>
      </c>
      <c r="R23" s="18">
        <v>4861</v>
      </c>
      <c r="S23" s="18">
        <v>371</v>
      </c>
      <c r="T23" s="18">
        <v>2870</v>
      </c>
      <c r="U23" s="18">
        <v>15961</v>
      </c>
      <c r="V23" s="18">
        <v>39976</v>
      </c>
      <c r="X23" s="29" t="s">
        <v>125</v>
      </c>
      <c r="Y23" s="56">
        <f t="shared" si="0"/>
        <v>0.18</v>
      </c>
      <c r="Z23" s="56">
        <f t="shared" si="0"/>
        <v>0.56599999999999995</v>
      </c>
      <c r="AA23" s="56">
        <f t="shared" si="0"/>
        <v>5.8999999999999997E-2</v>
      </c>
      <c r="AB23" s="56">
        <f t="shared" si="0"/>
        <v>0.217</v>
      </c>
      <c r="AC23" s="56">
        <f t="shared" si="0"/>
        <v>5.0830000000000002</v>
      </c>
      <c r="AD23" s="56">
        <f t="shared" si="0"/>
        <v>0.42299999999999999</v>
      </c>
      <c r="AE23" s="56">
        <f t="shared" si="0"/>
        <v>4.07</v>
      </c>
      <c r="AF23" s="56">
        <f t="shared" si="0"/>
        <v>0.56399999999999995</v>
      </c>
      <c r="AG23" s="56">
        <f t="shared" si="0"/>
        <v>0.14099999999999999</v>
      </c>
      <c r="AH23" s="56">
        <f t="shared" si="0"/>
        <v>0.17</v>
      </c>
      <c r="AI23" s="56">
        <f t="shared" si="0"/>
        <v>0.92400000000000004</v>
      </c>
      <c r="AJ23" s="56">
        <f t="shared" si="0"/>
        <v>0.70099999999999996</v>
      </c>
      <c r="AK23" s="56">
        <f t="shared" si="0"/>
        <v>0.32400000000000001</v>
      </c>
      <c r="AL23" s="56">
        <f t="shared" si="0"/>
        <v>0.95299999999999996</v>
      </c>
      <c r="AM23" s="56">
        <f t="shared" si="0"/>
        <v>1.538</v>
      </c>
      <c r="AN23" s="56">
        <f t="shared" ref="AN23" si="6">IFERROR(R23/1000,"")</f>
        <v>4.8609999999999998</v>
      </c>
      <c r="AO23" s="56">
        <f t="shared" si="1"/>
        <v>0.371</v>
      </c>
      <c r="AP23" s="56">
        <f t="shared" si="1"/>
        <v>2.87</v>
      </c>
      <c r="AQ23" s="56">
        <f t="shared" si="1"/>
        <v>15.961</v>
      </c>
      <c r="AR23" s="56">
        <f t="shared" si="1"/>
        <v>39.975999999999999</v>
      </c>
      <c r="AT23" s="26"/>
      <c r="AU23" s="31" t="s">
        <v>125</v>
      </c>
      <c r="AV23" s="77">
        <f t="shared" si="3"/>
        <v>0.45027016209725834</v>
      </c>
      <c r="AW23" s="77">
        <f t="shared" si="3"/>
        <v>1.4158495097058232</v>
      </c>
      <c r="AX23" s="77">
        <f t="shared" si="3"/>
        <v>0.14758855313187913</v>
      </c>
      <c r="AY23" s="77">
        <f t="shared" si="3"/>
        <v>0.54282569541725034</v>
      </c>
      <c r="AZ23" s="77">
        <f t="shared" si="3"/>
        <v>12.715129077446468</v>
      </c>
      <c r="BA23" s="77">
        <f t="shared" si="3"/>
        <v>1.0581348809285571</v>
      </c>
      <c r="BB23" s="77">
        <f t="shared" si="3"/>
        <v>10.181108665199121</v>
      </c>
      <c r="BC23" s="77">
        <f t="shared" si="3"/>
        <v>1.4108465079047428</v>
      </c>
      <c r="BD23" s="77">
        <f t="shared" si="3"/>
        <v>0.35271162697618569</v>
      </c>
      <c r="BE23" s="77">
        <f t="shared" si="3"/>
        <v>0.42525515309185513</v>
      </c>
      <c r="BF23" s="77">
        <f t="shared" si="3"/>
        <v>2.3113868320992594</v>
      </c>
      <c r="BG23" s="77">
        <f t="shared" si="3"/>
        <v>1.7535521312787672</v>
      </c>
      <c r="BH23" s="77">
        <f t="shared" si="3"/>
        <v>0.81048629177506504</v>
      </c>
      <c r="BI23" s="77">
        <f t="shared" si="3"/>
        <v>2.3839303582149292</v>
      </c>
      <c r="BJ23" s="77">
        <f t="shared" si="3"/>
        <v>3.847308385031019</v>
      </c>
      <c r="BK23" s="77">
        <f t="shared" si="3"/>
        <v>12.159795877526514</v>
      </c>
      <c r="BL23" s="77">
        <f t="shared" ref="BL23:BM25" si="7">IFERROR(IF(AO23&gt;0,AO23,"x")/$AR23,"")*100</f>
        <v>0.92805683410046025</v>
      </c>
      <c r="BM23" s="77">
        <f t="shared" si="7"/>
        <v>7.179307584550731</v>
      </c>
      <c r="BN23" s="78">
        <f t="shared" si="4"/>
        <v>39.926455873524112</v>
      </c>
      <c r="BO23" s="116">
        <f t="shared" si="5"/>
        <v>100</v>
      </c>
      <c r="BP23" s="26"/>
    </row>
    <row r="24" spans="1:68" ht="12.5" x14ac:dyDescent="0.25">
      <c r="A24" s="51" t="s">
        <v>175</v>
      </c>
      <c r="B24" s="68">
        <v>19</v>
      </c>
      <c r="C24" s="18">
        <v>92</v>
      </c>
      <c r="D24" s="18">
        <v>464</v>
      </c>
      <c r="E24" s="18">
        <v>81</v>
      </c>
      <c r="F24" s="18">
        <v>212</v>
      </c>
      <c r="G24" s="18">
        <v>3116</v>
      </c>
      <c r="H24" s="18">
        <v>313</v>
      </c>
      <c r="I24" s="18">
        <v>1691</v>
      </c>
      <c r="J24" s="18">
        <v>642</v>
      </c>
      <c r="K24" s="18">
        <v>303</v>
      </c>
      <c r="L24" s="18">
        <v>102</v>
      </c>
      <c r="M24" s="18">
        <v>1112</v>
      </c>
      <c r="N24" s="18">
        <v>469</v>
      </c>
      <c r="O24" s="18">
        <v>381</v>
      </c>
      <c r="P24" s="18">
        <v>838</v>
      </c>
      <c r="Q24" s="18">
        <v>1806</v>
      </c>
      <c r="R24" s="18">
        <v>515</v>
      </c>
      <c r="S24" s="18">
        <v>3976</v>
      </c>
      <c r="T24" s="18">
        <v>2085</v>
      </c>
      <c r="U24" s="18">
        <v>11042</v>
      </c>
      <c r="V24" s="18">
        <v>29240</v>
      </c>
      <c r="X24" s="29" t="s">
        <v>126</v>
      </c>
      <c r="Y24" s="56">
        <f t="shared" ref="Y24:AN25" si="8">IFERROR(C24/1000,"")</f>
        <v>9.1999999999999998E-2</v>
      </c>
      <c r="Z24" s="56">
        <f t="shared" si="8"/>
        <v>0.46400000000000002</v>
      </c>
      <c r="AA24" s="56">
        <f t="shared" si="8"/>
        <v>8.1000000000000003E-2</v>
      </c>
      <c r="AB24" s="56">
        <f t="shared" si="8"/>
        <v>0.21199999999999999</v>
      </c>
      <c r="AC24" s="56">
        <f t="shared" si="8"/>
        <v>3.1160000000000001</v>
      </c>
      <c r="AD24" s="56">
        <f t="shared" si="8"/>
        <v>0.313</v>
      </c>
      <c r="AE24" s="56">
        <f t="shared" si="8"/>
        <v>1.6910000000000001</v>
      </c>
      <c r="AF24" s="56">
        <f t="shared" si="8"/>
        <v>0.64200000000000002</v>
      </c>
      <c r="AG24" s="56">
        <f t="shared" si="8"/>
        <v>0.30299999999999999</v>
      </c>
      <c r="AH24" s="56">
        <f t="shared" si="8"/>
        <v>0.10199999999999999</v>
      </c>
      <c r="AI24" s="56">
        <f t="shared" si="8"/>
        <v>1.1120000000000001</v>
      </c>
      <c r="AJ24" s="56">
        <f t="shared" si="8"/>
        <v>0.46899999999999997</v>
      </c>
      <c r="AK24" s="56">
        <f t="shared" si="8"/>
        <v>0.38100000000000001</v>
      </c>
      <c r="AL24" s="56">
        <f t="shared" si="8"/>
        <v>0.83799999999999997</v>
      </c>
      <c r="AM24" s="56">
        <f t="shared" si="8"/>
        <v>1.806</v>
      </c>
      <c r="AN24" s="56">
        <f t="shared" si="8"/>
        <v>0.51500000000000001</v>
      </c>
      <c r="AO24" s="56">
        <f t="shared" ref="AO24:AR25" si="9">IFERROR(S24/1000,"")</f>
        <v>3.976</v>
      </c>
      <c r="AP24" s="56">
        <f t="shared" si="9"/>
        <v>2.085</v>
      </c>
      <c r="AQ24" s="56">
        <f t="shared" si="9"/>
        <v>11.042</v>
      </c>
      <c r="AR24" s="56">
        <f t="shared" si="9"/>
        <v>29.24</v>
      </c>
      <c r="AT24" s="26"/>
      <c r="AU24" s="31" t="s">
        <v>126</v>
      </c>
      <c r="AV24" s="77">
        <f t="shared" si="3"/>
        <v>0.31463748290013682</v>
      </c>
      <c r="AW24" s="77">
        <f t="shared" si="3"/>
        <v>1.5868673050615598</v>
      </c>
      <c r="AX24" s="77">
        <f t="shared" si="3"/>
        <v>0.27701778385772918</v>
      </c>
      <c r="AY24" s="77">
        <f t="shared" si="3"/>
        <v>0.72503419972640215</v>
      </c>
      <c r="AZ24" s="77">
        <f t="shared" si="3"/>
        <v>10.656634746922025</v>
      </c>
      <c r="BA24" s="77">
        <f t="shared" si="3"/>
        <v>1.0704514363885089</v>
      </c>
      <c r="BB24" s="77">
        <f t="shared" si="3"/>
        <v>5.7831737346101235</v>
      </c>
      <c r="BC24" s="77">
        <f t="shared" si="3"/>
        <v>2.1956224350205202</v>
      </c>
      <c r="BD24" s="77">
        <f t="shared" si="3"/>
        <v>1.03625170998632</v>
      </c>
      <c r="BE24" s="77">
        <f t="shared" si="3"/>
        <v>0.34883720930232559</v>
      </c>
      <c r="BF24" s="77">
        <f t="shared" si="3"/>
        <v>3.8030095759233933</v>
      </c>
      <c r="BG24" s="77">
        <f t="shared" si="3"/>
        <v>1.603967168262654</v>
      </c>
      <c r="BH24" s="77">
        <f t="shared" si="3"/>
        <v>1.3030095759233928</v>
      </c>
      <c r="BI24" s="77">
        <f t="shared" si="3"/>
        <v>2.8659370725034199</v>
      </c>
      <c r="BJ24" s="77">
        <f t="shared" si="3"/>
        <v>6.1764705882352944</v>
      </c>
      <c r="BK24" s="77">
        <f t="shared" si="3"/>
        <v>1.7612859097127225</v>
      </c>
      <c r="BL24" s="77">
        <f t="shared" si="7"/>
        <v>13.597811217510261</v>
      </c>
      <c r="BM24" s="77">
        <f t="shared" si="7"/>
        <v>7.1306429548563619</v>
      </c>
      <c r="BN24" s="78">
        <f t="shared" si="4"/>
        <v>37.763337893296857</v>
      </c>
      <c r="BO24" s="116">
        <f t="shared" si="5"/>
        <v>100.00000000000001</v>
      </c>
      <c r="BP24" s="26"/>
    </row>
    <row r="25" spans="1:68" ht="12.5" x14ac:dyDescent="0.25">
      <c r="A25" s="51" t="s">
        <v>159</v>
      </c>
      <c r="B25" s="68">
        <v>78</v>
      </c>
      <c r="C25" s="18">
        <v>2307</v>
      </c>
      <c r="D25" s="18">
        <v>8680</v>
      </c>
      <c r="E25" s="18">
        <v>1237</v>
      </c>
      <c r="F25" s="18">
        <v>3696</v>
      </c>
      <c r="G25" s="18">
        <v>25928</v>
      </c>
      <c r="H25" s="18">
        <v>6356</v>
      </c>
      <c r="I25" s="18">
        <v>17379</v>
      </c>
      <c r="J25" s="18">
        <v>3629</v>
      </c>
      <c r="K25" s="18">
        <v>1047</v>
      </c>
      <c r="L25" s="18">
        <v>672</v>
      </c>
      <c r="M25" s="18">
        <v>6004</v>
      </c>
      <c r="N25" s="18">
        <v>6370</v>
      </c>
      <c r="O25" s="18">
        <v>1820</v>
      </c>
      <c r="P25" s="18">
        <v>2401</v>
      </c>
      <c r="Q25" s="18">
        <v>8399</v>
      </c>
      <c r="R25" s="18">
        <v>2604</v>
      </c>
      <c r="S25" s="18">
        <v>1261</v>
      </c>
      <c r="T25" s="18">
        <v>86048</v>
      </c>
      <c r="U25" s="18">
        <v>150934</v>
      </c>
      <c r="V25" s="18">
        <v>336772</v>
      </c>
      <c r="X25" s="29" t="s">
        <v>159</v>
      </c>
      <c r="Y25" s="56">
        <f t="shared" si="8"/>
        <v>2.3069999999999999</v>
      </c>
      <c r="Z25" s="56">
        <f t="shared" si="8"/>
        <v>8.68</v>
      </c>
      <c r="AA25" s="56">
        <f t="shared" si="8"/>
        <v>1.2370000000000001</v>
      </c>
      <c r="AB25" s="56">
        <f t="shared" si="8"/>
        <v>3.6960000000000002</v>
      </c>
      <c r="AC25" s="56">
        <f t="shared" si="8"/>
        <v>25.928000000000001</v>
      </c>
      <c r="AD25" s="56">
        <f t="shared" si="8"/>
        <v>6.3559999999999999</v>
      </c>
      <c r="AE25" s="56">
        <f t="shared" si="8"/>
        <v>17.379000000000001</v>
      </c>
      <c r="AF25" s="56">
        <f t="shared" si="8"/>
        <v>3.629</v>
      </c>
      <c r="AG25" s="56">
        <f t="shared" si="8"/>
        <v>1.0469999999999999</v>
      </c>
      <c r="AH25" s="56">
        <f t="shared" si="8"/>
        <v>0.67200000000000004</v>
      </c>
      <c r="AI25" s="56">
        <f t="shared" si="8"/>
        <v>6.0039999999999996</v>
      </c>
      <c r="AJ25" s="56">
        <f t="shared" si="8"/>
        <v>6.37</v>
      </c>
      <c r="AK25" s="56">
        <f t="shared" si="8"/>
        <v>1.82</v>
      </c>
      <c r="AL25" s="56">
        <f t="shared" si="8"/>
        <v>2.4009999999999998</v>
      </c>
      <c r="AM25" s="56">
        <f t="shared" si="8"/>
        <v>8.3989999999999991</v>
      </c>
      <c r="AN25" s="56">
        <f t="shared" si="8"/>
        <v>2.6040000000000001</v>
      </c>
      <c r="AO25" s="56">
        <f t="shared" si="9"/>
        <v>1.2609999999999999</v>
      </c>
      <c r="AP25" s="56">
        <f t="shared" si="9"/>
        <v>86.048000000000002</v>
      </c>
      <c r="AQ25" s="56">
        <f t="shared" si="9"/>
        <v>150.934</v>
      </c>
      <c r="AR25" s="56">
        <f t="shared" si="9"/>
        <v>336.77199999999999</v>
      </c>
      <c r="AT25" s="26"/>
      <c r="AU25" s="31" t="s">
        <v>159</v>
      </c>
      <c r="AV25" s="77">
        <f t="shared" si="3"/>
        <v>0.68503319753423675</v>
      </c>
      <c r="AW25" s="77">
        <f t="shared" si="3"/>
        <v>2.5774114237525683</v>
      </c>
      <c r="AX25" s="77">
        <f t="shared" si="3"/>
        <v>0.36731082156473821</v>
      </c>
      <c r="AY25" s="77">
        <f t="shared" si="3"/>
        <v>1.0974784126946422</v>
      </c>
      <c r="AZ25" s="77">
        <f t="shared" si="3"/>
        <v>7.6989773496608986</v>
      </c>
      <c r="BA25" s="77">
        <f t="shared" si="3"/>
        <v>1.8873303006188162</v>
      </c>
      <c r="BB25" s="77">
        <f t="shared" si="3"/>
        <v>5.1604646467045958</v>
      </c>
      <c r="BC25" s="77">
        <f t="shared" si="3"/>
        <v>1.0775836470965521</v>
      </c>
      <c r="BD25" s="77">
        <f t="shared" si="3"/>
        <v>0.31089282957015424</v>
      </c>
      <c r="BE25" s="77">
        <f t="shared" si="3"/>
        <v>0.19954152958084401</v>
      </c>
      <c r="BF25" s="77">
        <f t="shared" si="3"/>
        <v>1.7828085470288504</v>
      </c>
      <c r="BG25" s="77">
        <f t="shared" si="3"/>
        <v>1.8914874158184172</v>
      </c>
      <c r="BH25" s="77">
        <f t="shared" si="3"/>
        <v>0.54042497594811922</v>
      </c>
      <c r="BI25" s="77">
        <f t="shared" si="3"/>
        <v>0.71294525673155718</v>
      </c>
      <c r="BJ25" s="77">
        <f t="shared" si="3"/>
        <v>2.4939721829605785</v>
      </c>
      <c r="BK25" s="77">
        <f t="shared" si="3"/>
        <v>0.77322342712577052</v>
      </c>
      <c r="BL25" s="77">
        <f t="shared" si="7"/>
        <v>0.37443730476405401</v>
      </c>
      <c r="BM25" s="77">
        <f t="shared" si="7"/>
        <v>25.550817763947119</v>
      </c>
      <c r="BN25" s="78">
        <f t="shared" si="4"/>
        <v>44.817858966897482</v>
      </c>
      <c r="BO25" s="116">
        <f t="shared" si="5"/>
        <v>100</v>
      </c>
      <c r="BP25" s="26"/>
    </row>
    <row r="26" spans="1:68" ht="12.5" x14ac:dyDescent="0.25">
      <c r="X26" s="29"/>
      <c r="Y26" s="56"/>
      <c r="Z26" s="56"/>
      <c r="AA26" s="56"/>
      <c r="AB26" s="56"/>
      <c r="AC26" s="56"/>
      <c r="AD26" s="56"/>
      <c r="AE26" s="56"/>
      <c r="AF26" s="56"/>
      <c r="AG26" s="56"/>
      <c r="AH26" s="56"/>
      <c r="AI26" s="56"/>
      <c r="AJ26" s="56"/>
      <c r="AK26" s="56"/>
      <c r="AL26" s="56"/>
      <c r="AM26" s="56"/>
      <c r="AN26" s="56"/>
      <c r="AO26" s="56"/>
      <c r="AP26" s="56"/>
      <c r="AQ26" s="56"/>
      <c r="AR26" s="56"/>
      <c r="AT26" s="26"/>
      <c r="AU26" s="28"/>
      <c r="AV26" s="28"/>
      <c r="AW26" s="28"/>
      <c r="AX26" s="28"/>
      <c r="AY26" s="28"/>
      <c r="AZ26" s="28"/>
      <c r="BA26" s="28"/>
      <c r="BB26" s="28"/>
      <c r="BC26" s="28"/>
      <c r="BD26" s="28"/>
      <c r="BE26" s="28"/>
      <c r="BF26" s="28"/>
      <c r="BG26" s="28"/>
      <c r="BH26" s="28"/>
      <c r="BI26" s="28"/>
      <c r="BJ26" s="28"/>
      <c r="BK26" s="28"/>
      <c r="BL26" s="28"/>
      <c r="BM26" s="28"/>
      <c r="BN26" s="28"/>
      <c r="BO26" s="34"/>
      <c r="BP26" s="26"/>
    </row>
    <row r="27" spans="1:68" ht="12.5" x14ac:dyDescent="0.25">
      <c r="B27" s="68" t="s">
        <v>2</v>
      </c>
      <c r="C27" s="18">
        <v>14985</v>
      </c>
      <c r="D27" s="18">
        <v>73088</v>
      </c>
      <c r="E27" s="18">
        <v>7525</v>
      </c>
      <c r="F27" s="18">
        <v>40900</v>
      </c>
      <c r="G27" s="18">
        <v>256899</v>
      </c>
      <c r="H27" s="18">
        <v>47866</v>
      </c>
      <c r="I27" s="18">
        <v>139556</v>
      </c>
      <c r="J27" s="18">
        <v>46011</v>
      </c>
      <c r="K27" s="18">
        <v>35776</v>
      </c>
      <c r="L27" s="18">
        <v>7862</v>
      </c>
      <c r="M27" s="18">
        <v>85583</v>
      </c>
      <c r="N27" s="18">
        <v>47660</v>
      </c>
      <c r="O27" s="18">
        <v>25061</v>
      </c>
      <c r="P27" s="18">
        <v>48040</v>
      </c>
      <c r="Q27" s="18">
        <v>164831</v>
      </c>
      <c r="R27" s="18">
        <v>24949</v>
      </c>
      <c r="S27" s="18">
        <v>15861</v>
      </c>
      <c r="T27" s="18">
        <v>234022</v>
      </c>
      <c r="U27" s="18">
        <v>704347</v>
      </c>
      <c r="V27" s="18">
        <v>2020822</v>
      </c>
      <c r="X27" s="29" t="s">
        <v>2</v>
      </c>
      <c r="Y27" s="56">
        <f t="shared" ref="Y27:AR27" si="10">IFERROR(C27/1000,"")</f>
        <v>14.984999999999999</v>
      </c>
      <c r="Z27" s="56">
        <f t="shared" si="10"/>
        <v>73.087999999999994</v>
      </c>
      <c r="AA27" s="56">
        <f t="shared" si="10"/>
        <v>7.5250000000000004</v>
      </c>
      <c r="AB27" s="56">
        <f t="shared" si="10"/>
        <v>40.9</v>
      </c>
      <c r="AC27" s="56">
        <f t="shared" si="10"/>
        <v>256.899</v>
      </c>
      <c r="AD27" s="56">
        <f t="shared" si="10"/>
        <v>47.866</v>
      </c>
      <c r="AE27" s="56">
        <f t="shared" si="10"/>
        <v>139.55600000000001</v>
      </c>
      <c r="AF27" s="56">
        <f t="shared" si="10"/>
        <v>46.011000000000003</v>
      </c>
      <c r="AG27" s="56">
        <f t="shared" si="10"/>
        <v>35.776000000000003</v>
      </c>
      <c r="AH27" s="56">
        <f t="shared" si="10"/>
        <v>7.8620000000000001</v>
      </c>
      <c r="AI27" s="56">
        <f t="shared" si="10"/>
        <v>85.582999999999998</v>
      </c>
      <c r="AJ27" s="56">
        <f t="shared" si="10"/>
        <v>47.66</v>
      </c>
      <c r="AK27" s="56">
        <f t="shared" si="10"/>
        <v>25.061</v>
      </c>
      <c r="AL27" s="56">
        <f t="shared" si="10"/>
        <v>48.04</v>
      </c>
      <c r="AM27" s="56">
        <f t="shared" si="10"/>
        <v>164.83099999999999</v>
      </c>
      <c r="AN27" s="56">
        <f t="shared" si="10"/>
        <v>24.949000000000002</v>
      </c>
      <c r="AO27" s="56">
        <f t="shared" si="10"/>
        <v>15.861000000000001</v>
      </c>
      <c r="AP27" s="56">
        <f t="shared" si="10"/>
        <v>234.02199999999999</v>
      </c>
      <c r="AQ27" s="56">
        <f t="shared" si="10"/>
        <v>704.34699999999998</v>
      </c>
      <c r="AR27" s="56">
        <f t="shared" si="10"/>
        <v>2020.8219999999999</v>
      </c>
      <c r="AT27" s="24"/>
      <c r="AU27" s="28"/>
      <c r="AV27" s="58"/>
      <c r="AW27" s="58"/>
      <c r="AX27" s="58"/>
      <c r="AY27" s="58"/>
      <c r="AZ27" s="58"/>
      <c r="BA27" s="58"/>
      <c r="BB27" s="58"/>
      <c r="BC27" s="58"/>
      <c r="BD27" s="58"/>
      <c r="BE27" s="58"/>
      <c r="BF27" s="58"/>
      <c r="BG27" s="58"/>
      <c r="BH27" s="58"/>
      <c r="BI27" s="58"/>
      <c r="BJ27" s="58"/>
      <c r="BK27" s="58"/>
      <c r="BL27" s="58"/>
      <c r="BM27" s="58"/>
      <c r="BN27" s="58"/>
      <c r="BO27" s="59"/>
      <c r="BP27" s="59"/>
    </row>
    <row r="28" spans="1:68" ht="12.75" customHeight="1" x14ac:dyDescent="0.25">
      <c r="AR28" s="19"/>
      <c r="AT28" s="24"/>
      <c r="AU28" s="28"/>
      <c r="AV28" s="25"/>
      <c r="AW28" s="25"/>
      <c r="AX28" s="25"/>
      <c r="AY28" s="25"/>
      <c r="AZ28" s="25"/>
      <c r="BA28" s="25"/>
      <c r="BB28" s="25"/>
      <c r="BC28" s="25"/>
      <c r="BD28" s="25"/>
      <c r="BE28" s="25"/>
      <c r="BF28" s="25"/>
      <c r="BG28" s="25"/>
      <c r="BH28" s="25"/>
      <c r="BI28" s="25"/>
      <c r="BJ28" s="25"/>
      <c r="BK28" s="25"/>
      <c r="BL28" s="25"/>
      <c r="BM28" s="25"/>
      <c r="BN28" s="25"/>
      <c r="BO28" s="24"/>
      <c r="BP28" s="24"/>
    </row>
    <row r="29" spans="1:68" ht="12.75" customHeight="1" x14ac:dyDescent="0.25">
      <c r="AR29" s="19"/>
    </row>
  </sheetData>
  <conditionalFormatting sqref="AV8:BM25">
    <cfRule type="cellIs" dxfId="5" priority="77" operator="greaterThan">
      <formula>20</formula>
    </cfRule>
    <cfRule type="colorScale" priority="78">
      <colorScale>
        <cfvo type="min"/>
        <cfvo type="max"/>
        <color rgb="FFFCFCFF"/>
        <color rgb="FF0070C0"/>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E4AFF-4B5D-474C-968D-DD431187C796}">
  <dimension ref="A1:BU29"/>
  <sheetViews>
    <sheetView zoomScale="106" zoomScaleNormal="106" workbookViewId="0">
      <selection activeCell="X5" sqref="X5"/>
    </sheetView>
  </sheetViews>
  <sheetFormatPr defaultColWidth="11.54296875" defaultRowHeight="12.75" customHeight="1" x14ac:dyDescent="0.25"/>
  <cols>
    <col min="1" max="1" width="26" style="18" bestFit="1" customWidth="1"/>
    <col min="2" max="24" width="11.54296875" style="18"/>
    <col min="25" max="44" width="7" style="18" customWidth="1"/>
    <col min="45" max="51" width="11.54296875" style="18"/>
    <col min="52" max="52" width="17.54296875" style="27" bestFit="1" customWidth="1"/>
    <col min="53" max="70" width="4.81640625" style="23" customWidth="1"/>
    <col min="71" max="71" width="8.81640625" style="23" customWidth="1"/>
    <col min="72" max="75" width="11.54296875" style="18"/>
    <col min="76" max="76" width="5.26953125" style="18" customWidth="1"/>
    <col min="77" max="94" width="6" style="18" customWidth="1"/>
    <col min="95" max="16384" width="11.54296875" style="18"/>
  </cols>
  <sheetData>
    <row r="1" spans="1:73" ht="12.75" customHeight="1" x14ac:dyDescent="0.35">
      <c r="A1" s="49">
        <v>2024</v>
      </c>
    </row>
    <row r="3" spans="1:73" ht="12.75" customHeight="1" x14ac:dyDescent="0.3">
      <c r="A3" s="55" t="s">
        <v>176</v>
      </c>
      <c r="C3" s="114" t="s">
        <v>183</v>
      </c>
    </row>
    <row r="4" spans="1:73" ht="12.75" customHeight="1" x14ac:dyDescent="0.3">
      <c r="B4" s="50"/>
    </row>
    <row r="5" spans="1:73" ht="13" x14ac:dyDescent="0.3">
      <c r="C5" s="51" t="s">
        <v>111</v>
      </c>
      <c r="D5" s="51" t="s">
        <v>112</v>
      </c>
      <c r="E5" s="51" t="s">
        <v>113</v>
      </c>
      <c r="F5" s="51" t="s">
        <v>171</v>
      </c>
      <c r="G5" s="51" t="s">
        <v>115</v>
      </c>
      <c r="H5" s="51" t="s">
        <v>172</v>
      </c>
      <c r="I5" s="51" t="s">
        <v>117</v>
      </c>
      <c r="J5" s="51" t="s">
        <v>25</v>
      </c>
      <c r="K5" s="51" t="s">
        <v>118</v>
      </c>
      <c r="L5" s="51" t="s">
        <v>119</v>
      </c>
      <c r="M5" s="51" t="s">
        <v>120</v>
      </c>
      <c r="N5" s="51" t="s">
        <v>173</v>
      </c>
      <c r="O5" s="51" t="s">
        <v>122</v>
      </c>
      <c r="P5" s="51" t="s">
        <v>123</v>
      </c>
      <c r="Q5" s="51" t="s">
        <v>174</v>
      </c>
      <c r="R5" s="51" t="s">
        <v>125</v>
      </c>
      <c r="S5" s="51" t="s">
        <v>175</v>
      </c>
      <c r="T5" s="51" t="s">
        <v>159</v>
      </c>
      <c r="U5" s="51" t="s">
        <v>177</v>
      </c>
      <c r="V5" s="18" t="s">
        <v>23</v>
      </c>
      <c r="X5" s="20"/>
    </row>
    <row r="6" spans="1:73" ht="13" x14ac:dyDescent="0.3">
      <c r="C6" s="18">
        <v>1</v>
      </c>
      <c r="D6" s="18">
        <v>3</v>
      </c>
      <c r="E6" s="18">
        <v>4</v>
      </c>
      <c r="F6" s="18">
        <v>6</v>
      </c>
      <c r="G6" s="18">
        <v>7</v>
      </c>
      <c r="H6" s="18">
        <v>8</v>
      </c>
      <c r="I6" s="18">
        <v>9</v>
      </c>
      <c r="J6" s="18">
        <v>10</v>
      </c>
      <c r="K6" s="18">
        <v>11</v>
      </c>
      <c r="L6" s="18">
        <v>12</v>
      </c>
      <c r="M6" s="18">
        <v>13</v>
      </c>
      <c r="N6" s="18">
        <v>14</v>
      </c>
      <c r="O6" s="18">
        <v>15</v>
      </c>
      <c r="P6" s="18">
        <v>16</v>
      </c>
      <c r="Q6" s="18">
        <v>17</v>
      </c>
      <c r="R6" s="18">
        <v>18</v>
      </c>
      <c r="S6" s="18">
        <v>19</v>
      </c>
      <c r="T6" s="18">
        <v>78</v>
      </c>
      <c r="U6" s="18">
        <v>999</v>
      </c>
      <c r="V6" s="18" t="s">
        <v>2</v>
      </c>
      <c r="X6" s="20"/>
      <c r="Y6" s="51" t="s">
        <v>111</v>
      </c>
      <c r="Z6" s="51" t="s">
        <v>112</v>
      </c>
      <c r="AA6" s="51" t="s">
        <v>113</v>
      </c>
      <c r="AB6" s="51" t="s">
        <v>171</v>
      </c>
      <c r="AC6" s="51" t="s">
        <v>115</v>
      </c>
      <c r="AD6" s="51" t="s">
        <v>172</v>
      </c>
      <c r="AE6" s="51" t="s">
        <v>117</v>
      </c>
      <c r="AF6" s="51" t="s">
        <v>25</v>
      </c>
      <c r="AG6" s="51" t="s">
        <v>118</v>
      </c>
      <c r="AH6" s="51" t="s">
        <v>119</v>
      </c>
      <c r="AI6" s="51" t="s">
        <v>120</v>
      </c>
      <c r="AJ6" s="51" t="s">
        <v>173</v>
      </c>
      <c r="AK6" s="51" t="s">
        <v>122</v>
      </c>
      <c r="AL6" s="51" t="s">
        <v>123</v>
      </c>
      <c r="AM6" s="51" t="s">
        <v>174</v>
      </c>
      <c r="AN6" s="51" t="s">
        <v>125</v>
      </c>
      <c r="AO6" s="51" t="s">
        <v>175</v>
      </c>
      <c r="AP6" s="51" t="s">
        <v>159</v>
      </c>
      <c r="AQ6" s="48"/>
      <c r="AY6" s="24"/>
      <c r="AZ6" s="28"/>
      <c r="BA6" s="25"/>
      <c r="BB6" s="25"/>
      <c r="BC6" s="25"/>
      <c r="BD6" s="25"/>
      <c r="BE6" s="25"/>
      <c r="BF6" s="25"/>
      <c r="BG6" s="25"/>
      <c r="BH6" s="25"/>
      <c r="BI6" s="25"/>
      <c r="BJ6" s="25"/>
      <c r="BK6" s="25"/>
      <c r="BL6" s="25"/>
      <c r="BM6" s="25"/>
      <c r="BN6" s="25"/>
      <c r="BO6" s="25"/>
      <c r="BP6" s="25"/>
      <c r="BQ6" s="25"/>
      <c r="BR6" s="25"/>
      <c r="BS6" s="25"/>
      <c r="BT6" s="24"/>
      <c r="BU6" s="24"/>
    </row>
    <row r="7" spans="1:73" ht="13" x14ac:dyDescent="0.3">
      <c r="X7" s="29"/>
      <c r="Y7" s="53" t="s">
        <v>129</v>
      </c>
      <c r="Z7" s="53" t="s">
        <v>130</v>
      </c>
      <c r="AA7" s="53" t="s">
        <v>131</v>
      </c>
      <c r="AB7" s="53" t="s">
        <v>132</v>
      </c>
      <c r="AC7" s="53" t="s">
        <v>133</v>
      </c>
      <c r="AD7" s="53" t="s">
        <v>134</v>
      </c>
      <c r="AE7" s="53" t="s">
        <v>135</v>
      </c>
      <c r="AF7" s="53" t="s">
        <v>136</v>
      </c>
      <c r="AG7" s="53" t="s">
        <v>137</v>
      </c>
      <c r="AH7" s="53" t="s">
        <v>138</v>
      </c>
      <c r="AI7" s="53" t="s">
        <v>139</v>
      </c>
      <c r="AJ7" s="53" t="s">
        <v>140</v>
      </c>
      <c r="AK7" s="53" t="s">
        <v>141</v>
      </c>
      <c r="AL7" s="53" t="s">
        <v>142</v>
      </c>
      <c r="AM7" s="53" t="s">
        <v>143</v>
      </c>
      <c r="AN7" s="53" t="s">
        <v>144</v>
      </c>
      <c r="AO7" s="53" t="s">
        <v>145</v>
      </c>
      <c r="AP7" s="53">
        <v>78</v>
      </c>
      <c r="AQ7" s="53" t="s">
        <v>128</v>
      </c>
      <c r="AR7" s="53" t="s">
        <v>2</v>
      </c>
      <c r="AX7" s="22"/>
      <c r="AY7" s="26"/>
      <c r="AZ7" s="31"/>
      <c r="BA7" s="32" t="s">
        <v>129</v>
      </c>
      <c r="BB7" s="32" t="s">
        <v>178</v>
      </c>
      <c r="BC7" s="32" t="s">
        <v>179</v>
      </c>
      <c r="BD7" s="32" t="s">
        <v>132</v>
      </c>
      <c r="BE7" s="32" t="s">
        <v>133</v>
      </c>
      <c r="BF7" s="32" t="s">
        <v>134</v>
      </c>
      <c r="BG7" s="32" t="s">
        <v>135</v>
      </c>
      <c r="BH7" s="32" t="s">
        <v>136</v>
      </c>
      <c r="BI7" s="32" t="s">
        <v>137</v>
      </c>
      <c r="BJ7" s="32" t="s">
        <v>138</v>
      </c>
      <c r="BK7" s="32" t="s">
        <v>139</v>
      </c>
      <c r="BL7" s="32" t="s">
        <v>140</v>
      </c>
      <c r="BM7" s="32" t="s">
        <v>141</v>
      </c>
      <c r="BN7" s="32" t="s">
        <v>142</v>
      </c>
      <c r="BO7" s="32" t="s">
        <v>143</v>
      </c>
      <c r="BP7" s="32" t="s">
        <v>144</v>
      </c>
      <c r="BQ7" s="32" t="s">
        <v>145</v>
      </c>
      <c r="BR7" s="32">
        <v>78</v>
      </c>
      <c r="BS7" s="32" t="s">
        <v>128</v>
      </c>
      <c r="BT7" s="33" t="s">
        <v>31</v>
      </c>
      <c r="BU7" s="26"/>
    </row>
    <row r="8" spans="1:73" ht="13" x14ac:dyDescent="0.3">
      <c r="A8" s="51" t="s">
        <v>111</v>
      </c>
      <c r="B8" s="18">
        <v>1</v>
      </c>
      <c r="C8" s="18">
        <v>4964</v>
      </c>
      <c r="D8" s="18">
        <v>758</v>
      </c>
      <c r="E8" s="18">
        <v>88</v>
      </c>
      <c r="F8" s="18">
        <v>707</v>
      </c>
      <c r="G8" s="18">
        <v>2260</v>
      </c>
      <c r="H8" s="18">
        <v>435</v>
      </c>
      <c r="I8" s="18">
        <v>552</v>
      </c>
      <c r="J8" s="18">
        <v>97</v>
      </c>
      <c r="K8" s="18">
        <v>64</v>
      </c>
      <c r="L8" s="18">
        <v>43</v>
      </c>
      <c r="M8" s="18">
        <v>596</v>
      </c>
      <c r="N8" s="18">
        <v>505</v>
      </c>
      <c r="O8" s="18">
        <v>291</v>
      </c>
      <c r="P8" s="18">
        <v>231</v>
      </c>
      <c r="Q8" s="18">
        <v>815</v>
      </c>
      <c r="R8" s="18">
        <v>180</v>
      </c>
      <c r="S8" s="18">
        <v>92</v>
      </c>
      <c r="T8" s="18">
        <v>2307</v>
      </c>
      <c r="U8" s="18">
        <v>16446</v>
      </c>
      <c r="V8" s="18">
        <v>31431</v>
      </c>
      <c r="X8" s="29" t="s">
        <v>111</v>
      </c>
      <c r="Y8" s="56">
        <f t="shared" ref="Y8:AN23" si="0">IFERROR(C8/1000,"")</f>
        <v>4.9640000000000004</v>
      </c>
      <c r="Z8" s="56">
        <f t="shared" si="0"/>
        <v>0.75800000000000001</v>
      </c>
      <c r="AA8" s="56">
        <f t="shared" si="0"/>
        <v>8.7999999999999995E-2</v>
      </c>
      <c r="AB8" s="56">
        <f t="shared" si="0"/>
        <v>0.70699999999999996</v>
      </c>
      <c r="AC8" s="56">
        <f t="shared" si="0"/>
        <v>2.2599999999999998</v>
      </c>
      <c r="AD8" s="56">
        <f t="shared" si="0"/>
        <v>0.435</v>
      </c>
      <c r="AE8" s="56">
        <f t="shared" si="0"/>
        <v>0.55200000000000005</v>
      </c>
      <c r="AF8" s="56">
        <f t="shared" si="0"/>
        <v>9.7000000000000003E-2</v>
      </c>
      <c r="AG8" s="56">
        <f t="shared" si="0"/>
        <v>6.4000000000000001E-2</v>
      </c>
      <c r="AH8" s="56">
        <f t="shared" si="0"/>
        <v>4.2999999999999997E-2</v>
      </c>
      <c r="AI8" s="56">
        <f t="shared" si="0"/>
        <v>0.59599999999999997</v>
      </c>
      <c r="AJ8" s="56">
        <f t="shared" si="0"/>
        <v>0.505</v>
      </c>
      <c r="AK8" s="56">
        <f t="shared" si="0"/>
        <v>0.29099999999999998</v>
      </c>
      <c r="AL8" s="56">
        <f t="shared" si="0"/>
        <v>0.23100000000000001</v>
      </c>
      <c r="AM8" s="56">
        <f t="shared" si="0"/>
        <v>0.81499999999999995</v>
      </c>
      <c r="AN8" s="56">
        <f t="shared" si="0"/>
        <v>0.18</v>
      </c>
      <c r="AO8" s="56">
        <f t="shared" ref="AO8:AR23" si="1">IFERROR(S8/1000,"")</f>
        <v>9.1999999999999998E-2</v>
      </c>
      <c r="AP8" s="56">
        <f t="shared" si="1"/>
        <v>2.3069999999999999</v>
      </c>
      <c r="AQ8" s="56">
        <f t="shared" si="1"/>
        <v>16.446000000000002</v>
      </c>
      <c r="AR8" s="56">
        <f t="shared" si="1"/>
        <v>31.431000000000001</v>
      </c>
      <c r="AX8" s="21"/>
      <c r="AY8" s="26"/>
      <c r="AZ8" s="31" t="s">
        <v>111</v>
      </c>
      <c r="BA8" s="77">
        <f>IFERROR(IF(Y8&gt;0,Y8,"x")/$AR8,"")*100</f>
        <v>15.793325061245266</v>
      </c>
      <c r="BB8" s="77">
        <f t="shared" ref="BB8:BR22" si="2">IFERROR(IF(Z8&gt;0,Z8,"x")/$AR8,"")*100</f>
        <v>2.4116318284496199</v>
      </c>
      <c r="BC8" s="77">
        <f t="shared" si="2"/>
        <v>0.27997836530813525</v>
      </c>
      <c r="BD8" s="77">
        <f t="shared" si="2"/>
        <v>2.2493716394642229</v>
      </c>
      <c r="BE8" s="77">
        <f t="shared" si="2"/>
        <v>7.1903534726862004</v>
      </c>
      <c r="BF8" s="77">
        <f t="shared" si="2"/>
        <v>1.3839839648754415</v>
      </c>
      <c r="BG8" s="77">
        <f t="shared" si="2"/>
        <v>1.7562279278419395</v>
      </c>
      <c r="BH8" s="77">
        <f t="shared" si="2"/>
        <v>0.30861251630555819</v>
      </c>
      <c r="BI8" s="77">
        <f t="shared" si="2"/>
        <v>0.20362062931500746</v>
      </c>
      <c r="BJ8" s="77">
        <f t="shared" si="2"/>
        <v>0.13680761032102065</v>
      </c>
      <c r="BK8" s="77">
        <f t="shared" si="2"/>
        <v>1.8962171104960068</v>
      </c>
      <c r="BL8" s="77">
        <f t="shared" si="2"/>
        <v>1.6066940281887307</v>
      </c>
      <c r="BM8" s="77">
        <f t="shared" si="2"/>
        <v>0.92583754891667447</v>
      </c>
      <c r="BN8" s="77">
        <f t="shared" si="2"/>
        <v>0.73494320893385512</v>
      </c>
      <c r="BO8" s="77">
        <f t="shared" si="2"/>
        <v>2.5929814514332983</v>
      </c>
      <c r="BP8" s="77">
        <f t="shared" si="2"/>
        <v>0.57268301994845849</v>
      </c>
      <c r="BQ8" s="77">
        <f t="shared" si="2"/>
        <v>0.29270465464032325</v>
      </c>
      <c r="BR8" s="77">
        <f t="shared" si="2"/>
        <v>7.33988737233941</v>
      </c>
      <c r="BS8" s="78">
        <f>IFERROR(IF(AQ8&gt;0,AQ8,"x")/$AR8,"")*100</f>
        <v>52.32413858929084</v>
      </c>
      <c r="BT8" s="34">
        <f>SUM(BA8:BS8)</f>
        <v>100.00000000000001</v>
      </c>
      <c r="BU8" s="26"/>
    </row>
    <row r="9" spans="1:73" ht="13" x14ac:dyDescent="0.3">
      <c r="A9" s="51" t="s">
        <v>112</v>
      </c>
      <c r="B9" s="18">
        <v>3</v>
      </c>
      <c r="C9" s="18">
        <v>549</v>
      </c>
      <c r="D9" s="18">
        <v>27481</v>
      </c>
      <c r="E9" s="18">
        <v>1043</v>
      </c>
      <c r="F9" s="18">
        <v>3550</v>
      </c>
      <c r="G9" s="18">
        <v>10763</v>
      </c>
      <c r="H9" s="18">
        <v>2284</v>
      </c>
      <c r="I9" s="18">
        <v>1925</v>
      </c>
      <c r="J9" s="18">
        <v>1285</v>
      </c>
      <c r="K9" s="18">
        <v>572</v>
      </c>
      <c r="L9" s="18">
        <v>319</v>
      </c>
      <c r="M9" s="18">
        <v>5816</v>
      </c>
      <c r="N9" s="18">
        <v>1672</v>
      </c>
      <c r="O9" s="18">
        <v>1818</v>
      </c>
      <c r="P9" s="18">
        <v>1039</v>
      </c>
      <c r="Q9" s="18">
        <v>3262</v>
      </c>
      <c r="R9" s="18">
        <v>566</v>
      </c>
      <c r="S9" s="18">
        <v>464</v>
      </c>
      <c r="T9" s="18">
        <v>8680</v>
      </c>
      <c r="U9" s="18">
        <v>46856</v>
      </c>
      <c r="V9" s="18">
        <v>119944</v>
      </c>
      <c r="X9" s="29" t="s">
        <v>112</v>
      </c>
      <c r="Y9" s="56">
        <f t="shared" si="0"/>
        <v>0.54900000000000004</v>
      </c>
      <c r="Z9" s="56">
        <f t="shared" si="0"/>
        <v>27.481000000000002</v>
      </c>
      <c r="AA9" s="56">
        <f t="shared" si="0"/>
        <v>1.0429999999999999</v>
      </c>
      <c r="AB9" s="56">
        <f t="shared" si="0"/>
        <v>3.55</v>
      </c>
      <c r="AC9" s="56">
        <f t="shared" si="0"/>
        <v>10.763</v>
      </c>
      <c r="AD9" s="56">
        <f t="shared" si="0"/>
        <v>2.2839999999999998</v>
      </c>
      <c r="AE9" s="56">
        <f t="shared" si="0"/>
        <v>1.925</v>
      </c>
      <c r="AF9" s="56">
        <f t="shared" si="0"/>
        <v>1.2849999999999999</v>
      </c>
      <c r="AG9" s="56">
        <f t="shared" si="0"/>
        <v>0.57199999999999995</v>
      </c>
      <c r="AH9" s="56">
        <f t="shared" si="0"/>
        <v>0.31900000000000001</v>
      </c>
      <c r="AI9" s="56">
        <f t="shared" si="0"/>
        <v>5.8159999999999998</v>
      </c>
      <c r="AJ9" s="56">
        <f t="shared" si="0"/>
        <v>1.6719999999999999</v>
      </c>
      <c r="AK9" s="56">
        <f t="shared" si="0"/>
        <v>1.8180000000000001</v>
      </c>
      <c r="AL9" s="56">
        <f t="shared" si="0"/>
        <v>1.0389999999999999</v>
      </c>
      <c r="AM9" s="56">
        <f t="shared" si="0"/>
        <v>3.262</v>
      </c>
      <c r="AN9" s="56">
        <f t="shared" si="0"/>
        <v>0.56599999999999995</v>
      </c>
      <c r="AO9" s="56">
        <f t="shared" si="1"/>
        <v>0.46400000000000002</v>
      </c>
      <c r="AP9" s="56">
        <f t="shared" si="1"/>
        <v>8.68</v>
      </c>
      <c r="AQ9" s="56">
        <f t="shared" si="1"/>
        <v>46.856000000000002</v>
      </c>
      <c r="AR9" s="56">
        <f t="shared" si="1"/>
        <v>119.944</v>
      </c>
      <c r="AX9" s="21"/>
      <c r="AY9" s="26"/>
      <c r="AZ9" s="31" t="s">
        <v>180</v>
      </c>
      <c r="BA9" s="77">
        <f t="shared" ref="BA9:BP25" si="3">IFERROR(IF(Y9&gt;0,Y9,"x")/$AR9,"")*100</f>
        <v>0.45771359967985059</v>
      </c>
      <c r="BB9" s="77">
        <f t="shared" si="2"/>
        <v>22.911525378509971</v>
      </c>
      <c r="BC9" s="77">
        <f t="shared" si="2"/>
        <v>0.86957246715133729</v>
      </c>
      <c r="BD9" s="77">
        <f t="shared" si="2"/>
        <v>2.9597145334489428</v>
      </c>
      <c r="BE9" s="77">
        <f t="shared" si="2"/>
        <v>8.9733542319749215</v>
      </c>
      <c r="BF9" s="77">
        <f t="shared" si="2"/>
        <v>1.9042219702527845</v>
      </c>
      <c r="BG9" s="77">
        <f t="shared" si="2"/>
        <v>1.6049156272927367</v>
      </c>
      <c r="BH9" s="77">
        <f t="shared" si="2"/>
        <v>1.0713332888681384</v>
      </c>
      <c r="BI9" s="77">
        <f t="shared" si="2"/>
        <v>0.47688921496698455</v>
      </c>
      <c r="BJ9" s="77">
        <f t="shared" si="2"/>
        <v>0.26595744680851063</v>
      </c>
      <c r="BK9" s="77">
        <f t="shared" si="2"/>
        <v>4.8489295004335355</v>
      </c>
      <c r="BL9" s="77">
        <f t="shared" si="2"/>
        <v>1.3939838591342626</v>
      </c>
      <c r="BM9" s="77">
        <f t="shared" si="2"/>
        <v>1.515707330087374</v>
      </c>
      <c r="BN9" s="77">
        <f t="shared" si="2"/>
        <v>0.86623757753618358</v>
      </c>
      <c r="BO9" s="77">
        <f t="shared" si="2"/>
        <v>2.7196024811578736</v>
      </c>
      <c r="BP9" s="77">
        <f t="shared" si="2"/>
        <v>0.47188688054425393</v>
      </c>
      <c r="BQ9" s="77">
        <f t="shared" si="2"/>
        <v>0.38684719535783368</v>
      </c>
      <c r="BR9" s="77">
        <f t="shared" si="2"/>
        <v>7.2367104648836129</v>
      </c>
      <c r="BS9" s="78">
        <f t="shared" ref="BS9:BS25" si="4">IFERROR(IF(AQ9&gt;0,AQ9,"x")/$AR9,"")*100</f>
        <v>39.064896951910896</v>
      </c>
      <c r="BT9" s="34">
        <f t="shared" ref="BT9:BT25" si="5">SUM(BA9:BS9)</f>
        <v>100</v>
      </c>
      <c r="BU9" s="26"/>
    </row>
    <row r="10" spans="1:73" ht="13" x14ac:dyDescent="0.3">
      <c r="A10" s="51" t="s">
        <v>113</v>
      </c>
      <c r="B10" s="18">
        <v>4</v>
      </c>
      <c r="C10" s="18">
        <v>57</v>
      </c>
      <c r="D10" s="18">
        <v>471</v>
      </c>
      <c r="E10" s="18">
        <v>1428</v>
      </c>
      <c r="F10" s="18">
        <v>566</v>
      </c>
      <c r="G10" s="18">
        <v>625</v>
      </c>
      <c r="H10" s="18">
        <v>418</v>
      </c>
      <c r="I10" s="18">
        <v>84</v>
      </c>
      <c r="J10" s="18">
        <v>205</v>
      </c>
      <c r="K10" s="18">
        <v>122</v>
      </c>
      <c r="L10" s="18">
        <v>57</v>
      </c>
      <c r="M10" s="18">
        <v>1022</v>
      </c>
      <c r="N10" s="18">
        <v>251</v>
      </c>
      <c r="O10" s="18">
        <v>484</v>
      </c>
      <c r="P10" s="18">
        <v>96</v>
      </c>
      <c r="Q10" s="18">
        <v>262</v>
      </c>
      <c r="R10" s="18">
        <v>59</v>
      </c>
      <c r="S10" s="18">
        <v>81</v>
      </c>
      <c r="T10" s="18">
        <v>1237</v>
      </c>
      <c r="U10" s="18">
        <v>4266</v>
      </c>
      <c r="V10" s="18">
        <v>11791</v>
      </c>
      <c r="X10" s="29" t="s">
        <v>113</v>
      </c>
      <c r="Y10" s="56">
        <f t="shared" si="0"/>
        <v>5.7000000000000002E-2</v>
      </c>
      <c r="Z10" s="56">
        <f t="shared" si="0"/>
        <v>0.47099999999999997</v>
      </c>
      <c r="AA10" s="56">
        <f t="shared" si="0"/>
        <v>1.4279999999999999</v>
      </c>
      <c r="AB10" s="56">
        <f t="shared" si="0"/>
        <v>0.56599999999999995</v>
      </c>
      <c r="AC10" s="56">
        <f t="shared" si="0"/>
        <v>0.625</v>
      </c>
      <c r="AD10" s="56">
        <f t="shared" si="0"/>
        <v>0.41799999999999998</v>
      </c>
      <c r="AE10" s="56">
        <f t="shared" si="0"/>
        <v>8.4000000000000005E-2</v>
      </c>
      <c r="AF10" s="56">
        <f t="shared" si="0"/>
        <v>0.20499999999999999</v>
      </c>
      <c r="AG10" s="56">
        <f t="shared" si="0"/>
        <v>0.122</v>
      </c>
      <c r="AH10" s="56">
        <f t="shared" si="0"/>
        <v>5.7000000000000002E-2</v>
      </c>
      <c r="AI10" s="56">
        <f t="shared" si="0"/>
        <v>1.022</v>
      </c>
      <c r="AJ10" s="56">
        <f t="shared" si="0"/>
        <v>0.251</v>
      </c>
      <c r="AK10" s="56">
        <f t="shared" si="0"/>
        <v>0.48399999999999999</v>
      </c>
      <c r="AL10" s="56">
        <f t="shared" si="0"/>
        <v>9.6000000000000002E-2</v>
      </c>
      <c r="AM10" s="56">
        <f t="shared" si="0"/>
        <v>0.26200000000000001</v>
      </c>
      <c r="AN10" s="56">
        <f t="shared" si="0"/>
        <v>5.8999999999999997E-2</v>
      </c>
      <c r="AO10" s="56">
        <f t="shared" si="1"/>
        <v>8.1000000000000003E-2</v>
      </c>
      <c r="AP10" s="56">
        <f t="shared" si="1"/>
        <v>1.2370000000000001</v>
      </c>
      <c r="AQ10" s="56">
        <f t="shared" si="1"/>
        <v>4.266</v>
      </c>
      <c r="AR10" s="56">
        <f t="shared" si="1"/>
        <v>11.791</v>
      </c>
      <c r="AX10" s="21"/>
      <c r="AY10" s="26"/>
      <c r="AZ10" s="31" t="s">
        <v>181</v>
      </c>
      <c r="BA10" s="77">
        <f t="shared" si="3"/>
        <v>0.48341955728945812</v>
      </c>
      <c r="BB10" s="77">
        <f t="shared" si="2"/>
        <v>3.9945721312865743</v>
      </c>
      <c r="BC10" s="77">
        <f t="shared" si="2"/>
        <v>12.110932066830632</v>
      </c>
      <c r="BD10" s="77">
        <f t="shared" si="2"/>
        <v>4.8002713934356702</v>
      </c>
      <c r="BE10" s="77">
        <f t="shared" si="2"/>
        <v>5.3006530404545842</v>
      </c>
      <c r="BF10" s="77">
        <f t="shared" si="2"/>
        <v>3.5450767534560259</v>
      </c>
      <c r="BG10" s="77">
        <f t="shared" si="2"/>
        <v>0.71240776863709609</v>
      </c>
      <c r="BH10" s="77">
        <f t="shared" si="2"/>
        <v>1.7386141972691034</v>
      </c>
      <c r="BI10" s="77">
        <f t="shared" si="2"/>
        <v>1.0346874734967348</v>
      </c>
      <c r="BJ10" s="77">
        <f t="shared" si="2"/>
        <v>0.48341955728945812</v>
      </c>
      <c r="BK10" s="77">
        <f t="shared" si="2"/>
        <v>8.6676278517513357</v>
      </c>
      <c r="BL10" s="77">
        <f t="shared" si="2"/>
        <v>2.1287422610465607</v>
      </c>
      <c r="BM10" s="77">
        <f t="shared" si="2"/>
        <v>4.1048257145280296</v>
      </c>
      <c r="BN10" s="77">
        <f t="shared" si="2"/>
        <v>0.81418030701382405</v>
      </c>
      <c r="BO10" s="77">
        <f t="shared" si="2"/>
        <v>2.222033754558562</v>
      </c>
      <c r="BP10" s="77">
        <f t="shared" si="2"/>
        <v>0.50038164701891263</v>
      </c>
      <c r="BQ10" s="77">
        <f t="shared" si="2"/>
        <v>0.68696463404291408</v>
      </c>
      <c r="BR10" s="77">
        <f t="shared" si="2"/>
        <v>10.491052497667713</v>
      </c>
      <c r="BS10" s="78">
        <f t="shared" si="4"/>
        <v>36.18013739292681</v>
      </c>
      <c r="BT10" s="34">
        <f t="shared" si="5"/>
        <v>99.999999999999986</v>
      </c>
      <c r="BU10" s="26"/>
    </row>
    <row r="11" spans="1:73" ht="13" x14ac:dyDescent="0.3">
      <c r="A11" s="51" t="s">
        <v>171</v>
      </c>
      <c r="B11" s="18">
        <v>6</v>
      </c>
      <c r="C11" s="18">
        <v>450</v>
      </c>
      <c r="D11" s="18">
        <v>2718</v>
      </c>
      <c r="E11" s="18">
        <v>757</v>
      </c>
      <c r="F11" s="18">
        <v>20726</v>
      </c>
      <c r="G11" s="18">
        <v>3039</v>
      </c>
      <c r="H11" s="18">
        <v>1210</v>
      </c>
      <c r="I11" s="18">
        <v>485</v>
      </c>
      <c r="J11" s="18">
        <v>427</v>
      </c>
      <c r="K11" s="18">
        <v>210</v>
      </c>
      <c r="L11" s="18">
        <v>531</v>
      </c>
      <c r="M11" s="18">
        <v>2455</v>
      </c>
      <c r="N11" s="18">
        <v>1076</v>
      </c>
      <c r="O11" s="18">
        <v>1095</v>
      </c>
      <c r="P11" s="18">
        <v>609</v>
      </c>
      <c r="Q11" s="18">
        <v>987</v>
      </c>
      <c r="R11" s="18">
        <v>217</v>
      </c>
      <c r="S11" s="18">
        <v>212</v>
      </c>
      <c r="T11" s="18">
        <v>3696</v>
      </c>
      <c r="U11" s="18">
        <v>20519</v>
      </c>
      <c r="V11" s="18">
        <v>61419</v>
      </c>
      <c r="X11" s="29" t="s">
        <v>114</v>
      </c>
      <c r="Y11" s="56">
        <f t="shared" si="0"/>
        <v>0.45</v>
      </c>
      <c r="Z11" s="56">
        <f t="shared" si="0"/>
        <v>2.718</v>
      </c>
      <c r="AA11" s="56">
        <f t="shared" si="0"/>
        <v>0.75700000000000001</v>
      </c>
      <c r="AB11" s="56">
        <f t="shared" si="0"/>
        <v>20.725999999999999</v>
      </c>
      <c r="AC11" s="56">
        <f t="shared" si="0"/>
        <v>3.0390000000000001</v>
      </c>
      <c r="AD11" s="56">
        <f t="shared" si="0"/>
        <v>1.21</v>
      </c>
      <c r="AE11" s="56">
        <f t="shared" si="0"/>
        <v>0.48499999999999999</v>
      </c>
      <c r="AF11" s="56">
        <f t="shared" si="0"/>
        <v>0.42699999999999999</v>
      </c>
      <c r="AG11" s="56">
        <f t="shared" si="0"/>
        <v>0.21</v>
      </c>
      <c r="AH11" s="56">
        <f t="shared" si="0"/>
        <v>0.53100000000000003</v>
      </c>
      <c r="AI11" s="56">
        <f t="shared" si="0"/>
        <v>2.4550000000000001</v>
      </c>
      <c r="AJ11" s="56">
        <f t="shared" si="0"/>
        <v>1.0760000000000001</v>
      </c>
      <c r="AK11" s="56">
        <f t="shared" si="0"/>
        <v>1.095</v>
      </c>
      <c r="AL11" s="56">
        <f t="shared" si="0"/>
        <v>0.60899999999999999</v>
      </c>
      <c r="AM11" s="56">
        <f t="shared" si="0"/>
        <v>0.98699999999999999</v>
      </c>
      <c r="AN11" s="56">
        <f t="shared" si="0"/>
        <v>0.217</v>
      </c>
      <c r="AO11" s="56">
        <f t="shared" si="1"/>
        <v>0.21199999999999999</v>
      </c>
      <c r="AP11" s="56">
        <f t="shared" si="1"/>
        <v>3.6960000000000002</v>
      </c>
      <c r="AQ11" s="56">
        <f t="shared" si="1"/>
        <v>20.518999999999998</v>
      </c>
      <c r="AR11" s="56">
        <f t="shared" si="1"/>
        <v>61.418999999999997</v>
      </c>
      <c r="AX11" s="21"/>
      <c r="AY11" s="26"/>
      <c r="AZ11" s="31" t="s">
        <v>114</v>
      </c>
      <c r="BA11" s="77">
        <f t="shared" si="3"/>
        <v>0.73267230010257411</v>
      </c>
      <c r="BB11" s="77">
        <f t="shared" si="2"/>
        <v>4.4253406926195478</v>
      </c>
      <c r="BC11" s="77">
        <f t="shared" si="2"/>
        <v>1.2325176248392193</v>
      </c>
      <c r="BD11" s="77">
        <f t="shared" si="2"/>
        <v>33.745257982057666</v>
      </c>
      <c r="BE11" s="77">
        <f t="shared" si="2"/>
        <v>4.947980266692718</v>
      </c>
      <c r="BF11" s="77">
        <f t="shared" si="2"/>
        <v>1.9700744069424772</v>
      </c>
      <c r="BG11" s="77">
        <f t="shared" si="2"/>
        <v>0.78965792344388541</v>
      </c>
      <c r="BH11" s="77">
        <f t="shared" si="2"/>
        <v>0.69522460476399806</v>
      </c>
      <c r="BI11" s="77">
        <f t="shared" si="2"/>
        <v>0.34191374004786795</v>
      </c>
      <c r="BJ11" s="77">
        <f t="shared" si="2"/>
        <v>0.86455331412103753</v>
      </c>
      <c r="BK11" s="77">
        <f t="shared" si="2"/>
        <v>3.9971344372262658</v>
      </c>
      <c r="BL11" s="77">
        <f t="shared" si="2"/>
        <v>1.7519008775785998</v>
      </c>
      <c r="BM11" s="77">
        <f t="shared" si="2"/>
        <v>1.7828359302495971</v>
      </c>
      <c r="BN11" s="77">
        <f t="shared" si="2"/>
        <v>0.99154984613881703</v>
      </c>
      <c r="BO11" s="77">
        <f t="shared" si="2"/>
        <v>1.606994578224979</v>
      </c>
      <c r="BP11" s="77">
        <f t="shared" si="2"/>
        <v>0.35331086471613021</v>
      </c>
      <c r="BQ11" s="77">
        <f t="shared" si="2"/>
        <v>0.34517006138165718</v>
      </c>
      <c r="BR11" s="77">
        <f t="shared" si="2"/>
        <v>6.0176818248424757</v>
      </c>
      <c r="BS11" s="78">
        <f t="shared" si="4"/>
        <v>33.408228724010485</v>
      </c>
      <c r="BT11" s="34">
        <f t="shared" si="5"/>
        <v>99.999999999999986</v>
      </c>
      <c r="BU11" s="26"/>
    </row>
    <row r="12" spans="1:73" ht="13" x14ac:dyDescent="0.3">
      <c r="A12" s="51" t="s">
        <v>115</v>
      </c>
      <c r="B12" s="18">
        <v>7</v>
      </c>
      <c r="C12" s="18">
        <v>1882</v>
      </c>
      <c r="D12" s="18">
        <v>14611</v>
      </c>
      <c r="E12" s="18">
        <v>1426</v>
      </c>
      <c r="F12" s="18">
        <v>6042</v>
      </c>
      <c r="G12" s="18">
        <v>98090</v>
      </c>
      <c r="H12" s="18">
        <v>8053</v>
      </c>
      <c r="I12" s="18">
        <v>25630</v>
      </c>
      <c r="J12" s="18">
        <v>6017</v>
      </c>
      <c r="K12" s="18">
        <v>2089</v>
      </c>
      <c r="L12" s="18">
        <v>1448</v>
      </c>
      <c r="M12" s="18">
        <v>12257</v>
      </c>
      <c r="N12" s="18">
        <v>7339</v>
      </c>
      <c r="O12" s="18">
        <v>5282</v>
      </c>
      <c r="P12" s="18">
        <v>5656</v>
      </c>
      <c r="Q12" s="18">
        <v>26950</v>
      </c>
      <c r="R12" s="18">
        <v>5083</v>
      </c>
      <c r="S12" s="18">
        <v>3116</v>
      </c>
      <c r="T12" s="18">
        <v>25928</v>
      </c>
      <c r="U12" s="18">
        <v>138027</v>
      </c>
      <c r="V12" s="18">
        <v>394926</v>
      </c>
      <c r="X12" s="29" t="s">
        <v>115</v>
      </c>
      <c r="Y12" s="56">
        <f t="shared" si="0"/>
        <v>1.8819999999999999</v>
      </c>
      <c r="Z12" s="56">
        <f t="shared" si="0"/>
        <v>14.611000000000001</v>
      </c>
      <c r="AA12" s="56">
        <f t="shared" si="0"/>
        <v>1.4259999999999999</v>
      </c>
      <c r="AB12" s="56">
        <f t="shared" si="0"/>
        <v>6.0419999999999998</v>
      </c>
      <c r="AC12" s="56">
        <f t="shared" si="0"/>
        <v>98.09</v>
      </c>
      <c r="AD12" s="56">
        <f t="shared" si="0"/>
        <v>8.0530000000000008</v>
      </c>
      <c r="AE12" s="56">
        <f t="shared" si="0"/>
        <v>25.63</v>
      </c>
      <c r="AF12" s="56">
        <f t="shared" si="0"/>
        <v>6.0170000000000003</v>
      </c>
      <c r="AG12" s="56">
        <f t="shared" si="0"/>
        <v>2.089</v>
      </c>
      <c r="AH12" s="56">
        <f t="shared" si="0"/>
        <v>1.448</v>
      </c>
      <c r="AI12" s="56">
        <f t="shared" si="0"/>
        <v>12.257</v>
      </c>
      <c r="AJ12" s="56">
        <f t="shared" si="0"/>
        <v>7.3390000000000004</v>
      </c>
      <c r="AK12" s="56">
        <f t="shared" si="0"/>
        <v>5.282</v>
      </c>
      <c r="AL12" s="56">
        <f t="shared" si="0"/>
        <v>5.6559999999999997</v>
      </c>
      <c r="AM12" s="56">
        <f t="shared" si="0"/>
        <v>26.95</v>
      </c>
      <c r="AN12" s="56">
        <f t="shared" si="0"/>
        <v>5.0830000000000002</v>
      </c>
      <c r="AO12" s="56">
        <f t="shared" si="1"/>
        <v>3.1160000000000001</v>
      </c>
      <c r="AP12" s="56">
        <f t="shared" si="1"/>
        <v>25.928000000000001</v>
      </c>
      <c r="AQ12" s="56">
        <f t="shared" si="1"/>
        <v>138.02699999999999</v>
      </c>
      <c r="AR12" s="56">
        <f t="shared" si="1"/>
        <v>394.92599999999999</v>
      </c>
      <c r="AX12" s="21"/>
      <c r="AY12" s="26"/>
      <c r="AZ12" s="31" t="s">
        <v>115</v>
      </c>
      <c r="BA12" s="77">
        <f t="shared" si="3"/>
        <v>0.47654497298228016</v>
      </c>
      <c r="BB12" s="77">
        <f t="shared" si="2"/>
        <v>3.6996804464633879</v>
      </c>
      <c r="BC12" s="77">
        <f t="shared" si="2"/>
        <v>0.36108030365182336</v>
      </c>
      <c r="BD12" s="77">
        <f t="shared" si="2"/>
        <v>1.5299068686285533</v>
      </c>
      <c r="BE12" s="77">
        <f t="shared" si="2"/>
        <v>24.837564505755509</v>
      </c>
      <c r="BF12" s="77">
        <f t="shared" si="2"/>
        <v>2.0391161888556342</v>
      </c>
      <c r="BG12" s="77">
        <f t="shared" si="2"/>
        <v>6.4898234099552825</v>
      </c>
      <c r="BH12" s="77">
        <f t="shared" si="2"/>
        <v>1.5235765687749099</v>
      </c>
      <c r="BI12" s="77">
        <f t="shared" si="2"/>
        <v>0.52895985577044813</v>
      </c>
      <c r="BJ12" s="77">
        <f t="shared" si="2"/>
        <v>0.36665096752302961</v>
      </c>
      <c r="BK12" s="77">
        <f t="shared" si="2"/>
        <v>3.1036194122443193</v>
      </c>
      <c r="BL12" s="77">
        <f t="shared" si="2"/>
        <v>1.8583228250355763</v>
      </c>
      <c r="BM12" s="77">
        <f t="shared" si="2"/>
        <v>1.3374657530777918</v>
      </c>
      <c r="BN12" s="77">
        <f t="shared" si="2"/>
        <v>1.4321670388882979</v>
      </c>
      <c r="BO12" s="77">
        <f t="shared" si="2"/>
        <v>6.8240632422276581</v>
      </c>
      <c r="BP12" s="77">
        <f t="shared" si="2"/>
        <v>1.2870765662427899</v>
      </c>
      <c r="BQ12" s="77">
        <f t="shared" si="2"/>
        <v>0.78900857375812183</v>
      </c>
      <c r="BR12" s="77">
        <f t="shared" si="2"/>
        <v>6.5652805842107131</v>
      </c>
      <c r="BS12" s="78">
        <f t="shared" si="4"/>
        <v>34.950091915953877</v>
      </c>
      <c r="BT12" s="34">
        <f t="shared" si="5"/>
        <v>100</v>
      </c>
      <c r="BU12" s="26"/>
    </row>
    <row r="13" spans="1:73" ht="13" x14ac:dyDescent="0.3">
      <c r="A13" s="51" t="s">
        <v>172</v>
      </c>
      <c r="B13" s="18">
        <v>8</v>
      </c>
      <c r="C13" s="18">
        <v>461</v>
      </c>
      <c r="D13" s="18">
        <v>2407</v>
      </c>
      <c r="E13" s="18">
        <v>732</v>
      </c>
      <c r="F13" s="18">
        <v>1393</v>
      </c>
      <c r="G13" s="18">
        <v>6120</v>
      </c>
      <c r="H13" s="18">
        <v>19794</v>
      </c>
      <c r="I13" s="18">
        <v>1120</v>
      </c>
      <c r="J13" s="18">
        <v>718</v>
      </c>
      <c r="K13" s="18">
        <v>339</v>
      </c>
      <c r="L13" s="18">
        <v>282</v>
      </c>
      <c r="M13" s="18">
        <v>2069</v>
      </c>
      <c r="N13" s="18">
        <v>1608</v>
      </c>
      <c r="O13" s="18">
        <v>1382</v>
      </c>
      <c r="P13" s="18">
        <v>547</v>
      </c>
      <c r="Q13" s="18">
        <v>1802</v>
      </c>
      <c r="R13" s="18">
        <v>423</v>
      </c>
      <c r="S13" s="18">
        <v>313</v>
      </c>
      <c r="T13" s="18">
        <v>6356</v>
      </c>
      <c r="U13" s="18">
        <v>29777</v>
      </c>
      <c r="V13" s="18">
        <v>77643</v>
      </c>
      <c r="X13" s="29" t="s">
        <v>116</v>
      </c>
      <c r="Y13" s="56">
        <f t="shared" si="0"/>
        <v>0.46100000000000002</v>
      </c>
      <c r="Z13" s="56">
        <f t="shared" si="0"/>
        <v>2.407</v>
      </c>
      <c r="AA13" s="56">
        <f t="shared" si="0"/>
        <v>0.73199999999999998</v>
      </c>
      <c r="AB13" s="56">
        <f t="shared" si="0"/>
        <v>1.393</v>
      </c>
      <c r="AC13" s="56">
        <f t="shared" si="0"/>
        <v>6.12</v>
      </c>
      <c r="AD13" s="56">
        <f t="shared" si="0"/>
        <v>19.794</v>
      </c>
      <c r="AE13" s="56">
        <f t="shared" si="0"/>
        <v>1.1200000000000001</v>
      </c>
      <c r="AF13" s="56">
        <f t="shared" si="0"/>
        <v>0.71799999999999997</v>
      </c>
      <c r="AG13" s="56">
        <f t="shared" si="0"/>
        <v>0.33900000000000002</v>
      </c>
      <c r="AH13" s="56">
        <f t="shared" si="0"/>
        <v>0.28199999999999997</v>
      </c>
      <c r="AI13" s="56">
        <f t="shared" si="0"/>
        <v>2.069</v>
      </c>
      <c r="AJ13" s="56">
        <f t="shared" si="0"/>
        <v>1.6080000000000001</v>
      </c>
      <c r="AK13" s="56">
        <f t="shared" si="0"/>
        <v>1.3819999999999999</v>
      </c>
      <c r="AL13" s="56">
        <f t="shared" si="0"/>
        <v>0.54700000000000004</v>
      </c>
      <c r="AM13" s="56">
        <f t="shared" si="0"/>
        <v>1.802</v>
      </c>
      <c r="AN13" s="56">
        <f t="shared" si="0"/>
        <v>0.42299999999999999</v>
      </c>
      <c r="AO13" s="56">
        <f t="shared" si="1"/>
        <v>0.313</v>
      </c>
      <c r="AP13" s="56">
        <f t="shared" si="1"/>
        <v>6.3559999999999999</v>
      </c>
      <c r="AQ13" s="56">
        <f t="shared" si="1"/>
        <v>29.777000000000001</v>
      </c>
      <c r="AR13" s="56">
        <f t="shared" si="1"/>
        <v>77.643000000000001</v>
      </c>
      <c r="AX13" s="21"/>
      <c r="AY13" s="26"/>
      <c r="AZ13" s="31" t="s">
        <v>116</v>
      </c>
      <c r="BA13" s="77">
        <f t="shared" si="3"/>
        <v>0.59374315778627829</v>
      </c>
      <c r="BB13" s="77">
        <f t="shared" si="2"/>
        <v>3.1000862923895265</v>
      </c>
      <c r="BC13" s="77">
        <f t="shared" si="2"/>
        <v>0.94277655422897111</v>
      </c>
      <c r="BD13" s="77">
        <f t="shared" si="2"/>
        <v>1.7941089344821814</v>
      </c>
      <c r="BE13" s="77">
        <f t="shared" si="2"/>
        <v>7.8822302074881181</v>
      </c>
      <c r="BF13" s="77">
        <f t="shared" si="2"/>
        <v>25.493605347552258</v>
      </c>
      <c r="BG13" s="77">
        <f t="shared" si="2"/>
        <v>1.4424996458148192</v>
      </c>
      <c r="BH13" s="77">
        <f t="shared" si="2"/>
        <v>0.9247453086562859</v>
      </c>
      <c r="BI13" s="77">
        <f t="shared" si="2"/>
        <v>0.43661373208144971</v>
      </c>
      <c r="BJ13" s="77">
        <f t="shared" si="2"/>
        <v>0.36320080367837404</v>
      </c>
      <c r="BK13" s="77">
        <f t="shared" si="2"/>
        <v>2.6647605064204112</v>
      </c>
      <c r="BL13" s="77">
        <f t="shared" si="2"/>
        <v>2.0710173486341334</v>
      </c>
      <c r="BM13" s="77">
        <f t="shared" si="2"/>
        <v>1.7799415272464998</v>
      </c>
      <c r="BN13" s="77">
        <f t="shared" si="2"/>
        <v>0.704506523447059</v>
      </c>
      <c r="BO13" s="77">
        <f t="shared" si="2"/>
        <v>2.3208788944270573</v>
      </c>
      <c r="BP13" s="77">
        <f t="shared" si="2"/>
        <v>0.54480120551756106</v>
      </c>
      <c r="BQ13" s="77">
        <f t="shared" si="2"/>
        <v>0.40312713316074855</v>
      </c>
      <c r="BR13" s="77">
        <f t="shared" si="2"/>
        <v>8.1861854899990973</v>
      </c>
      <c r="BS13" s="78">
        <f t="shared" si="4"/>
        <v>38.351171386989172</v>
      </c>
      <c r="BT13" s="34">
        <f t="shared" si="5"/>
        <v>100</v>
      </c>
      <c r="BU13" s="26"/>
    </row>
    <row r="14" spans="1:73" ht="13" x14ac:dyDescent="0.3">
      <c r="A14" s="51" t="s">
        <v>117</v>
      </c>
      <c r="B14" s="18">
        <v>9</v>
      </c>
      <c r="C14" s="18">
        <v>553</v>
      </c>
      <c r="D14" s="18">
        <v>3396</v>
      </c>
      <c r="E14" s="18">
        <v>206</v>
      </c>
      <c r="F14" s="18">
        <v>1813</v>
      </c>
      <c r="G14" s="18">
        <v>20288</v>
      </c>
      <c r="H14" s="18">
        <v>3024</v>
      </c>
      <c r="I14" s="18">
        <v>55621</v>
      </c>
      <c r="J14" s="18">
        <v>1661</v>
      </c>
      <c r="K14" s="18">
        <v>735</v>
      </c>
      <c r="L14" s="18">
        <v>921</v>
      </c>
      <c r="M14" s="18">
        <v>4647</v>
      </c>
      <c r="N14" s="18">
        <v>4450</v>
      </c>
      <c r="O14" s="18">
        <v>2045</v>
      </c>
      <c r="P14" s="18">
        <v>2903</v>
      </c>
      <c r="Q14" s="18">
        <v>14153</v>
      </c>
      <c r="R14" s="18">
        <v>4070</v>
      </c>
      <c r="S14" s="18">
        <v>1691</v>
      </c>
      <c r="T14" s="18">
        <v>17379</v>
      </c>
      <c r="U14" s="18">
        <v>71359</v>
      </c>
      <c r="V14" s="18">
        <v>210915</v>
      </c>
      <c r="X14" s="29" t="s">
        <v>117</v>
      </c>
      <c r="Y14" s="56">
        <f t="shared" si="0"/>
        <v>0.55300000000000005</v>
      </c>
      <c r="Z14" s="56">
        <f t="shared" si="0"/>
        <v>3.3959999999999999</v>
      </c>
      <c r="AA14" s="56">
        <f t="shared" si="0"/>
        <v>0.20599999999999999</v>
      </c>
      <c r="AB14" s="56">
        <f t="shared" si="0"/>
        <v>1.8129999999999999</v>
      </c>
      <c r="AC14" s="56">
        <f t="shared" si="0"/>
        <v>20.288</v>
      </c>
      <c r="AD14" s="56">
        <f t="shared" si="0"/>
        <v>3.024</v>
      </c>
      <c r="AE14" s="56">
        <f t="shared" si="0"/>
        <v>55.621000000000002</v>
      </c>
      <c r="AF14" s="56">
        <f t="shared" si="0"/>
        <v>1.661</v>
      </c>
      <c r="AG14" s="56">
        <f t="shared" si="0"/>
        <v>0.73499999999999999</v>
      </c>
      <c r="AH14" s="56">
        <f t="shared" si="0"/>
        <v>0.92100000000000004</v>
      </c>
      <c r="AI14" s="56">
        <f t="shared" si="0"/>
        <v>4.6470000000000002</v>
      </c>
      <c r="AJ14" s="56">
        <f t="shared" si="0"/>
        <v>4.45</v>
      </c>
      <c r="AK14" s="56">
        <f t="shared" si="0"/>
        <v>2.0449999999999999</v>
      </c>
      <c r="AL14" s="56">
        <f t="shared" si="0"/>
        <v>2.903</v>
      </c>
      <c r="AM14" s="56">
        <f t="shared" si="0"/>
        <v>14.153</v>
      </c>
      <c r="AN14" s="56">
        <f t="shared" si="0"/>
        <v>4.07</v>
      </c>
      <c r="AO14" s="56">
        <f t="shared" si="1"/>
        <v>1.6910000000000001</v>
      </c>
      <c r="AP14" s="56">
        <f t="shared" si="1"/>
        <v>17.379000000000001</v>
      </c>
      <c r="AQ14" s="56">
        <f t="shared" si="1"/>
        <v>71.358999999999995</v>
      </c>
      <c r="AR14" s="56">
        <f t="shared" si="1"/>
        <v>210.91499999999999</v>
      </c>
      <c r="AX14" s="21"/>
      <c r="AY14" s="26"/>
      <c r="AZ14" s="31" t="s">
        <v>117</v>
      </c>
      <c r="BA14" s="77">
        <f t="shared" si="3"/>
        <v>0.26219092999549581</v>
      </c>
      <c r="BB14" s="77">
        <f t="shared" si="2"/>
        <v>1.6101273024678189</v>
      </c>
      <c r="BC14" s="77">
        <f t="shared" si="2"/>
        <v>9.7669677358177456E-2</v>
      </c>
      <c r="BD14" s="77">
        <f t="shared" si="2"/>
        <v>0.85958798568143568</v>
      </c>
      <c r="BE14" s="77">
        <f t="shared" si="2"/>
        <v>9.6190408458383718</v>
      </c>
      <c r="BF14" s="77">
        <f t="shared" si="2"/>
        <v>1.4337529336462558</v>
      </c>
      <c r="BG14" s="77">
        <f t="shared" si="2"/>
        <v>26.371287011355289</v>
      </c>
      <c r="BH14" s="77">
        <f t="shared" si="2"/>
        <v>0.78752103928122708</v>
      </c>
      <c r="BI14" s="77">
        <f t="shared" si="2"/>
        <v>0.34848161581679826</v>
      </c>
      <c r="BJ14" s="77">
        <f t="shared" si="2"/>
        <v>0.43666880022757992</v>
      </c>
      <c r="BK14" s="77">
        <f t="shared" si="2"/>
        <v>2.2032572363274308</v>
      </c>
      <c r="BL14" s="77">
        <f t="shared" si="2"/>
        <v>2.1098546807955811</v>
      </c>
      <c r="BM14" s="77">
        <f t="shared" si="2"/>
        <v>0.96958490387122775</v>
      </c>
      <c r="BN14" s="77">
        <f t="shared" si="2"/>
        <v>1.3763838513145106</v>
      </c>
      <c r="BO14" s="77">
        <f t="shared" si="2"/>
        <v>6.7102861342246882</v>
      </c>
      <c r="BP14" s="77">
        <f t="shared" si="2"/>
        <v>1.9296873147950599</v>
      </c>
      <c r="BQ14" s="77">
        <f t="shared" si="2"/>
        <v>0.80174477870232097</v>
      </c>
      <c r="BR14" s="77">
        <f t="shared" si="2"/>
        <v>8.2398122466396426</v>
      </c>
      <c r="BS14" s="78">
        <f t="shared" si="4"/>
        <v>33.833060711661098</v>
      </c>
      <c r="BT14" s="34">
        <f t="shared" si="5"/>
        <v>100</v>
      </c>
      <c r="BU14" s="26"/>
    </row>
    <row r="15" spans="1:73" ht="13" x14ac:dyDescent="0.3">
      <c r="A15" s="51" t="s">
        <v>25</v>
      </c>
      <c r="B15" s="18">
        <v>10</v>
      </c>
      <c r="C15" s="18">
        <v>77</v>
      </c>
      <c r="D15" s="18">
        <v>1738</v>
      </c>
      <c r="E15" s="18">
        <v>770</v>
      </c>
      <c r="F15" s="18">
        <v>819</v>
      </c>
      <c r="G15" s="18">
        <v>4297</v>
      </c>
      <c r="H15" s="18">
        <v>1024</v>
      </c>
      <c r="I15" s="18">
        <v>755</v>
      </c>
      <c r="J15" s="18">
        <v>17351</v>
      </c>
      <c r="K15" s="18">
        <v>2241</v>
      </c>
      <c r="L15" s="18">
        <v>309</v>
      </c>
      <c r="M15" s="18">
        <v>5002</v>
      </c>
      <c r="N15" s="18">
        <v>1051</v>
      </c>
      <c r="O15" s="18">
        <v>2661</v>
      </c>
      <c r="P15" s="18">
        <v>1115</v>
      </c>
      <c r="Q15" s="18">
        <v>1966</v>
      </c>
      <c r="R15" s="18">
        <v>564</v>
      </c>
      <c r="S15" s="18">
        <v>642</v>
      </c>
      <c r="T15" s="18">
        <v>3629</v>
      </c>
      <c r="U15" s="18">
        <v>22916</v>
      </c>
      <c r="V15" s="18">
        <v>68927</v>
      </c>
      <c r="X15" s="29" t="s">
        <v>25</v>
      </c>
      <c r="Y15" s="56">
        <f t="shared" si="0"/>
        <v>7.6999999999999999E-2</v>
      </c>
      <c r="Z15" s="56">
        <f t="shared" si="0"/>
        <v>1.738</v>
      </c>
      <c r="AA15" s="56">
        <f t="shared" si="0"/>
        <v>0.77</v>
      </c>
      <c r="AB15" s="56">
        <f t="shared" si="0"/>
        <v>0.81899999999999995</v>
      </c>
      <c r="AC15" s="56">
        <f t="shared" si="0"/>
        <v>4.2969999999999997</v>
      </c>
      <c r="AD15" s="56">
        <f t="shared" si="0"/>
        <v>1.024</v>
      </c>
      <c r="AE15" s="56">
        <f t="shared" si="0"/>
        <v>0.755</v>
      </c>
      <c r="AF15" s="56">
        <f t="shared" si="0"/>
        <v>17.350999999999999</v>
      </c>
      <c r="AG15" s="56">
        <f t="shared" si="0"/>
        <v>2.2410000000000001</v>
      </c>
      <c r="AH15" s="56">
        <f t="shared" si="0"/>
        <v>0.309</v>
      </c>
      <c r="AI15" s="56">
        <f t="shared" si="0"/>
        <v>5.0019999999999998</v>
      </c>
      <c r="AJ15" s="56">
        <f t="shared" si="0"/>
        <v>1.0509999999999999</v>
      </c>
      <c r="AK15" s="56">
        <f t="shared" si="0"/>
        <v>2.661</v>
      </c>
      <c r="AL15" s="56">
        <f t="shared" si="0"/>
        <v>1.115</v>
      </c>
      <c r="AM15" s="56">
        <f t="shared" si="0"/>
        <v>1.966</v>
      </c>
      <c r="AN15" s="56">
        <f t="shared" si="0"/>
        <v>0.56399999999999995</v>
      </c>
      <c r="AO15" s="56">
        <f t="shared" si="1"/>
        <v>0.64200000000000002</v>
      </c>
      <c r="AP15" s="56">
        <f t="shared" si="1"/>
        <v>3.629</v>
      </c>
      <c r="AQ15" s="56">
        <f t="shared" si="1"/>
        <v>22.916</v>
      </c>
      <c r="AR15" s="56">
        <f t="shared" si="1"/>
        <v>68.927000000000007</v>
      </c>
      <c r="AX15" s="21"/>
      <c r="AY15" s="26"/>
      <c r="AZ15" s="31" t="s">
        <v>25</v>
      </c>
      <c r="BA15" s="77">
        <f t="shared" si="3"/>
        <v>0.11171239137058046</v>
      </c>
      <c r="BB15" s="77">
        <f t="shared" si="2"/>
        <v>2.52150826236453</v>
      </c>
      <c r="BC15" s="77">
        <f t="shared" si="2"/>
        <v>1.1171239137058047</v>
      </c>
      <c r="BD15" s="77">
        <f t="shared" si="2"/>
        <v>1.1882136173052649</v>
      </c>
      <c r="BE15" s="77">
        <f t="shared" si="2"/>
        <v>6.2341317625894055</v>
      </c>
      <c r="BF15" s="77">
        <f t="shared" si="2"/>
        <v>1.4856297242009662</v>
      </c>
      <c r="BG15" s="77">
        <f t="shared" si="2"/>
        <v>1.0953617595427045</v>
      </c>
      <c r="BH15" s="77">
        <f t="shared" si="2"/>
        <v>25.173009125596639</v>
      </c>
      <c r="BI15" s="77">
        <f t="shared" si="2"/>
        <v>3.251265831967153</v>
      </c>
      <c r="BJ15" s="77">
        <f t="shared" si="2"/>
        <v>0.44830037575986187</v>
      </c>
      <c r="BK15" s="77">
        <f t="shared" si="2"/>
        <v>7.2569530082551097</v>
      </c>
      <c r="BL15" s="77">
        <f t="shared" si="2"/>
        <v>1.5248016016945463</v>
      </c>
      <c r="BM15" s="77">
        <f t="shared" si="2"/>
        <v>3.8606061485339556</v>
      </c>
      <c r="BN15" s="77">
        <f t="shared" si="2"/>
        <v>1.6176534594571066</v>
      </c>
      <c r="BO15" s="77">
        <f t="shared" si="2"/>
        <v>2.8522930056436517</v>
      </c>
      <c r="BP15" s="77">
        <f t="shared" si="2"/>
        <v>0.81825699653256323</v>
      </c>
      <c r="BQ15" s="77">
        <f t="shared" si="2"/>
        <v>0.93142019818068378</v>
      </c>
      <c r="BR15" s="77">
        <f t="shared" si="2"/>
        <v>5.2649904971926818</v>
      </c>
      <c r="BS15" s="78">
        <f t="shared" si="4"/>
        <v>33.246768320106781</v>
      </c>
      <c r="BT15" s="34">
        <f t="shared" si="5"/>
        <v>99.999999999999986</v>
      </c>
      <c r="BU15" s="26"/>
    </row>
    <row r="16" spans="1:73" ht="13" x14ac:dyDescent="0.3">
      <c r="A16" s="51" t="s">
        <v>118</v>
      </c>
      <c r="B16" s="18">
        <v>11</v>
      </c>
      <c r="C16" s="18">
        <v>47</v>
      </c>
      <c r="D16" s="18">
        <v>415</v>
      </c>
      <c r="E16" s="18">
        <v>186</v>
      </c>
      <c r="F16" s="18">
        <v>200</v>
      </c>
      <c r="G16" s="18">
        <v>931</v>
      </c>
      <c r="H16" s="18">
        <v>256</v>
      </c>
      <c r="I16" s="18">
        <v>244</v>
      </c>
      <c r="J16" s="18">
        <v>873</v>
      </c>
      <c r="K16" s="18">
        <v>25263</v>
      </c>
      <c r="L16" s="18">
        <v>403</v>
      </c>
      <c r="M16" s="18">
        <v>2484</v>
      </c>
      <c r="N16" s="18">
        <v>395</v>
      </c>
      <c r="O16" s="18">
        <v>1293</v>
      </c>
      <c r="P16" s="18">
        <v>308</v>
      </c>
      <c r="Q16" s="18">
        <v>987</v>
      </c>
      <c r="R16" s="18">
        <v>141</v>
      </c>
      <c r="S16" s="18">
        <v>303</v>
      </c>
      <c r="T16" s="18">
        <v>1047</v>
      </c>
      <c r="U16" s="18">
        <v>11542</v>
      </c>
      <c r="V16" s="18">
        <v>47318</v>
      </c>
      <c r="X16" s="29" t="s">
        <v>118</v>
      </c>
      <c r="Y16" s="56">
        <f t="shared" si="0"/>
        <v>4.7E-2</v>
      </c>
      <c r="Z16" s="56">
        <f t="shared" si="0"/>
        <v>0.41499999999999998</v>
      </c>
      <c r="AA16" s="56">
        <f t="shared" si="0"/>
        <v>0.186</v>
      </c>
      <c r="AB16" s="56">
        <f t="shared" si="0"/>
        <v>0.2</v>
      </c>
      <c r="AC16" s="56">
        <f t="shared" si="0"/>
        <v>0.93100000000000005</v>
      </c>
      <c r="AD16" s="56">
        <f t="shared" si="0"/>
        <v>0.25600000000000001</v>
      </c>
      <c r="AE16" s="56">
        <f t="shared" si="0"/>
        <v>0.24399999999999999</v>
      </c>
      <c r="AF16" s="56">
        <f t="shared" si="0"/>
        <v>0.873</v>
      </c>
      <c r="AG16" s="56">
        <f t="shared" si="0"/>
        <v>25.263000000000002</v>
      </c>
      <c r="AH16" s="56">
        <f t="shared" si="0"/>
        <v>0.40300000000000002</v>
      </c>
      <c r="AI16" s="56">
        <f t="shared" si="0"/>
        <v>2.484</v>
      </c>
      <c r="AJ16" s="56">
        <f t="shared" si="0"/>
        <v>0.39500000000000002</v>
      </c>
      <c r="AK16" s="56">
        <f t="shared" si="0"/>
        <v>1.2929999999999999</v>
      </c>
      <c r="AL16" s="56">
        <f t="shared" si="0"/>
        <v>0.308</v>
      </c>
      <c r="AM16" s="56">
        <f t="shared" si="0"/>
        <v>0.98699999999999999</v>
      </c>
      <c r="AN16" s="56">
        <f t="shared" si="0"/>
        <v>0.14099999999999999</v>
      </c>
      <c r="AO16" s="56">
        <f t="shared" si="1"/>
        <v>0.30299999999999999</v>
      </c>
      <c r="AP16" s="56">
        <f t="shared" si="1"/>
        <v>1.0469999999999999</v>
      </c>
      <c r="AQ16" s="56">
        <f t="shared" si="1"/>
        <v>11.542</v>
      </c>
      <c r="AR16" s="56">
        <f t="shared" si="1"/>
        <v>47.317999999999998</v>
      </c>
      <c r="AX16" s="21"/>
      <c r="AY16" s="26"/>
      <c r="AZ16" s="31" t="s">
        <v>118</v>
      </c>
      <c r="BA16" s="77">
        <f t="shared" si="3"/>
        <v>9.9327951308170251E-2</v>
      </c>
      <c r="BB16" s="77">
        <f t="shared" si="2"/>
        <v>0.87704467644448192</v>
      </c>
      <c r="BC16" s="77">
        <f t="shared" si="2"/>
        <v>0.39308508390041841</v>
      </c>
      <c r="BD16" s="77">
        <f t="shared" si="2"/>
        <v>0.42267213322625641</v>
      </c>
      <c r="BE16" s="77">
        <f t="shared" si="2"/>
        <v>1.9675387801682236</v>
      </c>
      <c r="BF16" s="77">
        <f t="shared" si="2"/>
        <v>0.54102033052960818</v>
      </c>
      <c r="BG16" s="77">
        <f t="shared" si="2"/>
        <v>0.51566000253603284</v>
      </c>
      <c r="BH16" s="77">
        <f t="shared" si="2"/>
        <v>1.8449638615326094</v>
      </c>
      <c r="BI16" s="77">
        <f t="shared" si="2"/>
        <v>53.389830508474581</v>
      </c>
      <c r="BJ16" s="77">
        <f t="shared" si="2"/>
        <v>0.85168434845090679</v>
      </c>
      <c r="BK16" s="77">
        <f t="shared" si="2"/>
        <v>5.2495878946701051</v>
      </c>
      <c r="BL16" s="77">
        <f t="shared" si="2"/>
        <v>0.83477746312185641</v>
      </c>
      <c r="BM16" s="77">
        <f t="shared" si="2"/>
        <v>2.7325753413077476</v>
      </c>
      <c r="BN16" s="77">
        <f t="shared" si="2"/>
        <v>0.65091508516843488</v>
      </c>
      <c r="BO16" s="77">
        <f t="shared" si="2"/>
        <v>2.0858869774715751</v>
      </c>
      <c r="BP16" s="77">
        <f t="shared" si="2"/>
        <v>0.29798385392451077</v>
      </c>
      <c r="BQ16" s="77">
        <f t="shared" si="2"/>
        <v>0.64034828183777837</v>
      </c>
      <c r="BR16" s="77">
        <f t="shared" si="2"/>
        <v>2.212688617439452</v>
      </c>
      <c r="BS16" s="78">
        <f t="shared" si="4"/>
        <v>24.392408808487257</v>
      </c>
      <c r="BT16" s="34">
        <f t="shared" si="5"/>
        <v>100</v>
      </c>
      <c r="BU16" s="26"/>
    </row>
    <row r="17" spans="1:73" ht="13" x14ac:dyDescent="0.3">
      <c r="A17" s="51" t="s">
        <v>119</v>
      </c>
      <c r="B17" s="18">
        <v>12</v>
      </c>
      <c r="C17" s="18">
        <v>26</v>
      </c>
      <c r="D17" s="18">
        <v>215</v>
      </c>
      <c r="E17" s="18">
        <v>49</v>
      </c>
      <c r="F17" s="18">
        <v>421</v>
      </c>
      <c r="G17" s="18">
        <v>588</v>
      </c>
      <c r="H17" s="18">
        <v>133</v>
      </c>
      <c r="I17" s="18">
        <v>352</v>
      </c>
      <c r="J17" s="18">
        <v>223</v>
      </c>
      <c r="K17" s="18">
        <v>289</v>
      </c>
      <c r="L17" s="18">
        <v>2288</v>
      </c>
      <c r="M17" s="18">
        <v>878</v>
      </c>
      <c r="N17" s="18">
        <v>179</v>
      </c>
      <c r="O17" s="18">
        <v>534</v>
      </c>
      <c r="P17" s="18">
        <v>164</v>
      </c>
      <c r="Q17" s="18">
        <v>579</v>
      </c>
      <c r="R17" s="18">
        <v>170</v>
      </c>
      <c r="S17" s="18">
        <v>102</v>
      </c>
      <c r="T17" s="18">
        <v>672</v>
      </c>
      <c r="U17" s="18">
        <v>4134</v>
      </c>
      <c r="V17" s="18">
        <v>11996</v>
      </c>
      <c r="X17" s="29" t="s">
        <v>119</v>
      </c>
      <c r="Y17" s="56">
        <f t="shared" si="0"/>
        <v>2.5999999999999999E-2</v>
      </c>
      <c r="Z17" s="56">
        <f t="shared" si="0"/>
        <v>0.215</v>
      </c>
      <c r="AA17" s="56">
        <f t="shared" si="0"/>
        <v>4.9000000000000002E-2</v>
      </c>
      <c r="AB17" s="56">
        <f t="shared" si="0"/>
        <v>0.42099999999999999</v>
      </c>
      <c r="AC17" s="56">
        <f t="shared" si="0"/>
        <v>0.58799999999999997</v>
      </c>
      <c r="AD17" s="56">
        <f t="shared" si="0"/>
        <v>0.13300000000000001</v>
      </c>
      <c r="AE17" s="56">
        <f t="shared" si="0"/>
        <v>0.35199999999999998</v>
      </c>
      <c r="AF17" s="56">
        <f t="shared" si="0"/>
        <v>0.223</v>
      </c>
      <c r="AG17" s="56">
        <f t="shared" si="0"/>
        <v>0.28899999999999998</v>
      </c>
      <c r="AH17" s="56">
        <f t="shared" si="0"/>
        <v>2.2879999999999998</v>
      </c>
      <c r="AI17" s="56">
        <f t="shared" si="0"/>
        <v>0.878</v>
      </c>
      <c r="AJ17" s="56">
        <f t="shared" si="0"/>
        <v>0.17899999999999999</v>
      </c>
      <c r="AK17" s="56">
        <f t="shared" si="0"/>
        <v>0.53400000000000003</v>
      </c>
      <c r="AL17" s="56">
        <f t="shared" si="0"/>
        <v>0.16400000000000001</v>
      </c>
      <c r="AM17" s="56">
        <f t="shared" si="0"/>
        <v>0.57899999999999996</v>
      </c>
      <c r="AN17" s="56">
        <f t="shared" si="0"/>
        <v>0.17</v>
      </c>
      <c r="AO17" s="56">
        <f t="shared" si="1"/>
        <v>0.10199999999999999</v>
      </c>
      <c r="AP17" s="56">
        <f t="shared" si="1"/>
        <v>0.67200000000000004</v>
      </c>
      <c r="AQ17" s="56">
        <f t="shared" si="1"/>
        <v>4.1340000000000003</v>
      </c>
      <c r="AR17" s="56">
        <f t="shared" si="1"/>
        <v>11.996</v>
      </c>
      <c r="AX17" s="21"/>
      <c r="AY17" s="26"/>
      <c r="AZ17" s="31" t="s">
        <v>119</v>
      </c>
      <c r="BA17" s="77">
        <f t="shared" si="3"/>
        <v>0.21673891297099029</v>
      </c>
      <c r="BB17" s="77">
        <f t="shared" si="2"/>
        <v>1.7922640880293428</v>
      </c>
      <c r="BC17" s="77">
        <f t="shared" si="2"/>
        <v>0.4084694898299433</v>
      </c>
      <c r="BD17" s="77">
        <f t="shared" si="2"/>
        <v>3.5095031677225741</v>
      </c>
      <c r="BE17" s="77">
        <f t="shared" si="2"/>
        <v>4.9016338779593198</v>
      </c>
      <c r="BF17" s="77">
        <f t="shared" si="2"/>
        <v>1.1087029009669891</v>
      </c>
      <c r="BG17" s="77">
        <f t="shared" si="2"/>
        <v>2.9343114371457149</v>
      </c>
      <c r="BH17" s="77">
        <f t="shared" si="2"/>
        <v>1.8589529843281094</v>
      </c>
      <c r="BI17" s="77">
        <f t="shared" si="2"/>
        <v>2.4091363787929305</v>
      </c>
      <c r="BJ17" s="77">
        <f t="shared" si="2"/>
        <v>19.073024341447148</v>
      </c>
      <c r="BK17" s="77">
        <f t="shared" si="2"/>
        <v>7.3191063687895959</v>
      </c>
      <c r="BL17" s="77">
        <f t="shared" si="2"/>
        <v>1.4921640546848949</v>
      </c>
      <c r="BM17" s="77">
        <f t="shared" si="2"/>
        <v>4.4514838279426474</v>
      </c>
      <c r="BN17" s="77">
        <f t="shared" si="2"/>
        <v>1.3671223741247083</v>
      </c>
      <c r="BO17" s="77">
        <f t="shared" si="2"/>
        <v>4.8266088696232075</v>
      </c>
      <c r="BP17" s="77">
        <f t="shared" si="2"/>
        <v>1.417139046348783</v>
      </c>
      <c r="BQ17" s="77">
        <f t="shared" si="2"/>
        <v>0.85028342780926969</v>
      </c>
      <c r="BR17" s="77">
        <f t="shared" si="2"/>
        <v>5.6018672890963659</v>
      </c>
      <c r="BS17" s="78">
        <f t="shared" si="4"/>
        <v>34.461487162387463</v>
      </c>
      <c r="BT17" s="34">
        <f t="shared" si="5"/>
        <v>99.999999999999972</v>
      </c>
      <c r="BU17" s="26"/>
    </row>
    <row r="18" spans="1:73" ht="13" x14ac:dyDescent="0.3">
      <c r="A18" s="51" t="s">
        <v>120</v>
      </c>
      <c r="B18" s="18">
        <v>13</v>
      </c>
      <c r="C18" s="18">
        <v>396</v>
      </c>
      <c r="D18" s="18">
        <v>5997</v>
      </c>
      <c r="E18" s="18">
        <v>1608</v>
      </c>
      <c r="F18" s="18">
        <v>2798</v>
      </c>
      <c r="G18" s="18">
        <v>7172</v>
      </c>
      <c r="H18" s="18">
        <v>2304</v>
      </c>
      <c r="I18" s="18">
        <v>1680</v>
      </c>
      <c r="J18" s="18">
        <v>4932</v>
      </c>
      <c r="K18" s="18">
        <v>3667</v>
      </c>
      <c r="L18" s="18">
        <v>1016</v>
      </c>
      <c r="M18" s="18">
        <v>32197</v>
      </c>
      <c r="N18" s="18">
        <v>1679</v>
      </c>
      <c r="O18" s="18">
        <v>5678</v>
      </c>
      <c r="P18" s="18">
        <v>2064</v>
      </c>
      <c r="Q18" s="18">
        <v>4355</v>
      </c>
      <c r="R18" s="18">
        <v>924</v>
      </c>
      <c r="S18" s="18">
        <v>1112</v>
      </c>
      <c r="T18" s="18">
        <v>6004</v>
      </c>
      <c r="U18" s="18">
        <v>38679</v>
      </c>
      <c r="V18" s="18">
        <v>124262</v>
      </c>
      <c r="X18" s="29" t="s">
        <v>120</v>
      </c>
      <c r="Y18" s="56">
        <f t="shared" si="0"/>
        <v>0.39600000000000002</v>
      </c>
      <c r="Z18" s="56">
        <f t="shared" si="0"/>
        <v>5.9969999999999999</v>
      </c>
      <c r="AA18" s="56">
        <f t="shared" si="0"/>
        <v>1.6080000000000001</v>
      </c>
      <c r="AB18" s="56">
        <f t="shared" si="0"/>
        <v>2.798</v>
      </c>
      <c r="AC18" s="56">
        <f t="shared" si="0"/>
        <v>7.1719999999999997</v>
      </c>
      <c r="AD18" s="56">
        <f t="shared" si="0"/>
        <v>2.3039999999999998</v>
      </c>
      <c r="AE18" s="56">
        <f t="shared" si="0"/>
        <v>1.68</v>
      </c>
      <c r="AF18" s="56">
        <f t="shared" si="0"/>
        <v>4.9320000000000004</v>
      </c>
      <c r="AG18" s="56">
        <f t="shared" si="0"/>
        <v>3.6669999999999998</v>
      </c>
      <c r="AH18" s="56">
        <f t="shared" si="0"/>
        <v>1.016</v>
      </c>
      <c r="AI18" s="56">
        <f t="shared" si="0"/>
        <v>32.197000000000003</v>
      </c>
      <c r="AJ18" s="56">
        <f t="shared" si="0"/>
        <v>1.679</v>
      </c>
      <c r="AK18" s="56">
        <f t="shared" si="0"/>
        <v>5.6779999999999999</v>
      </c>
      <c r="AL18" s="56">
        <f t="shared" si="0"/>
        <v>2.0640000000000001</v>
      </c>
      <c r="AM18" s="56">
        <f t="shared" si="0"/>
        <v>4.3550000000000004</v>
      </c>
      <c r="AN18" s="56">
        <f t="shared" si="0"/>
        <v>0.92400000000000004</v>
      </c>
      <c r="AO18" s="56">
        <f t="shared" si="1"/>
        <v>1.1120000000000001</v>
      </c>
      <c r="AP18" s="56">
        <f t="shared" si="1"/>
        <v>6.0039999999999996</v>
      </c>
      <c r="AQ18" s="56">
        <f t="shared" si="1"/>
        <v>38.679000000000002</v>
      </c>
      <c r="AR18" s="56">
        <f t="shared" si="1"/>
        <v>124.262</v>
      </c>
      <c r="AX18" s="21"/>
      <c r="AY18" s="26"/>
      <c r="AZ18" s="31" t="s">
        <v>120</v>
      </c>
      <c r="BA18" s="77">
        <f t="shared" si="3"/>
        <v>0.31868149554972558</v>
      </c>
      <c r="BB18" s="77">
        <f t="shared" si="2"/>
        <v>4.8260932545750101</v>
      </c>
      <c r="BC18" s="77">
        <f t="shared" si="2"/>
        <v>1.2940400122322191</v>
      </c>
      <c r="BD18" s="77">
        <f t="shared" si="2"/>
        <v>2.2516940013841724</v>
      </c>
      <c r="BE18" s="77">
        <f t="shared" si="2"/>
        <v>5.7716759749561408</v>
      </c>
      <c r="BF18" s="77">
        <f t="shared" si="2"/>
        <v>1.8541468831984032</v>
      </c>
      <c r="BG18" s="77">
        <f t="shared" si="2"/>
        <v>1.3519821023321692</v>
      </c>
      <c r="BH18" s="77">
        <f t="shared" si="2"/>
        <v>3.9690331718465823</v>
      </c>
      <c r="BI18" s="77">
        <f t="shared" si="2"/>
        <v>2.951022838840514</v>
      </c>
      <c r="BJ18" s="77">
        <f t="shared" si="2"/>
        <v>0.81762727141040714</v>
      </c>
      <c r="BK18" s="77">
        <f t="shared" si="2"/>
        <v>25.910576040945742</v>
      </c>
      <c r="BL18" s="77">
        <f t="shared" si="2"/>
        <v>1.351177351080781</v>
      </c>
      <c r="BM18" s="77">
        <f t="shared" si="2"/>
        <v>4.5693776053821766</v>
      </c>
      <c r="BN18" s="77">
        <f t="shared" si="2"/>
        <v>1.6610065828652363</v>
      </c>
      <c r="BO18" s="77">
        <f t="shared" si="2"/>
        <v>3.5046916997955937</v>
      </c>
      <c r="BP18" s="77">
        <f t="shared" si="2"/>
        <v>0.74359015628269309</v>
      </c>
      <c r="BQ18" s="77">
        <f t="shared" si="2"/>
        <v>0.89488339154367402</v>
      </c>
      <c r="BR18" s="77">
        <f t="shared" si="2"/>
        <v>4.8317265133347274</v>
      </c>
      <c r="BS18" s="78">
        <f t="shared" si="4"/>
        <v>31.126973652444029</v>
      </c>
      <c r="BT18" s="34">
        <f t="shared" si="5"/>
        <v>100</v>
      </c>
      <c r="BU18" s="26"/>
    </row>
    <row r="19" spans="1:73" ht="13" x14ac:dyDescent="0.3">
      <c r="A19" s="51" t="s">
        <v>173</v>
      </c>
      <c r="B19" s="18">
        <v>14</v>
      </c>
      <c r="C19" s="18">
        <v>394</v>
      </c>
      <c r="D19" s="18">
        <v>1727</v>
      </c>
      <c r="E19" s="18">
        <v>418</v>
      </c>
      <c r="F19" s="18">
        <v>1796</v>
      </c>
      <c r="G19" s="18">
        <v>5193</v>
      </c>
      <c r="H19" s="18">
        <v>1664</v>
      </c>
      <c r="I19" s="18">
        <v>2466</v>
      </c>
      <c r="J19" s="18">
        <v>1037</v>
      </c>
      <c r="K19" s="18">
        <v>672</v>
      </c>
      <c r="L19" s="18">
        <v>403</v>
      </c>
      <c r="M19" s="18">
        <v>2114</v>
      </c>
      <c r="N19" s="18">
        <v>15353</v>
      </c>
      <c r="O19" s="18">
        <v>1820</v>
      </c>
      <c r="P19" s="18">
        <v>773</v>
      </c>
      <c r="Q19" s="18">
        <v>4290</v>
      </c>
      <c r="R19" s="18">
        <v>701</v>
      </c>
      <c r="S19" s="18">
        <v>469</v>
      </c>
      <c r="T19" s="18">
        <v>6370</v>
      </c>
      <c r="U19" s="18">
        <v>28714</v>
      </c>
      <c r="V19" s="18">
        <v>76374</v>
      </c>
      <c r="X19" s="29" t="s">
        <v>121</v>
      </c>
      <c r="Y19" s="56">
        <f t="shared" si="0"/>
        <v>0.39400000000000002</v>
      </c>
      <c r="Z19" s="56">
        <f t="shared" si="0"/>
        <v>1.7270000000000001</v>
      </c>
      <c r="AA19" s="56">
        <f t="shared" si="0"/>
        <v>0.41799999999999998</v>
      </c>
      <c r="AB19" s="56">
        <f t="shared" si="0"/>
        <v>1.796</v>
      </c>
      <c r="AC19" s="56">
        <f t="shared" si="0"/>
        <v>5.1929999999999996</v>
      </c>
      <c r="AD19" s="56">
        <f t="shared" si="0"/>
        <v>1.6639999999999999</v>
      </c>
      <c r="AE19" s="56">
        <f t="shared" si="0"/>
        <v>2.4660000000000002</v>
      </c>
      <c r="AF19" s="56">
        <f t="shared" si="0"/>
        <v>1.0369999999999999</v>
      </c>
      <c r="AG19" s="56">
        <f t="shared" si="0"/>
        <v>0.67200000000000004</v>
      </c>
      <c r="AH19" s="56">
        <f t="shared" si="0"/>
        <v>0.40300000000000002</v>
      </c>
      <c r="AI19" s="56">
        <f t="shared" si="0"/>
        <v>2.1139999999999999</v>
      </c>
      <c r="AJ19" s="56">
        <f t="shared" si="0"/>
        <v>15.353</v>
      </c>
      <c r="AK19" s="56">
        <f t="shared" si="0"/>
        <v>1.82</v>
      </c>
      <c r="AL19" s="56">
        <f t="shared" si="0"/>
        <v>0.77300000000000002</v>
      </c>
      <c r="AM19" s="56">
        <f t="shared" si="0"/>
        <v>4.29</v>
      </c>
      <c r="AN19" s="56">
        <f t="shared" si="0"/>
        <v>0.70099999999999996</v>
      </c>
      <c r="AO19" s="56">
        <f t="shared" si="1"/>
        <v>0.46899999999999997</v>
      </c>
      <c r="AP19" s="56">
        <f t="shared" si="1"/>
        <v>6.37</v>
      </c>
      <c r="AQ19" s="56">
        <f t="shared" si="1"/>
        <v>28.713999999999999</v>
      </c>
      <c r="AR19" s="56">
        <f t="shared" si="1"/>
        <v>76.373999999999995</v>
      </c>
      <c r="AX19" s="21"/>
      <c r="AY19" s="26"/>
      <c r="AZ19" s="31" t="s">
        <v>121</v>
      </c>
      <c r="BA19" s="77">
        <f t="shared" si="3"/>
        <v>0.51588236834524848</v>
      </c>
      <c r="BB19" s="77">
        <f t="shared" si="2"/>
        <v>2.2612407363762537</v>
      </c>
      <c r="BC19" s="77">
        <f t="shared" si="2"/>
        <v>0.54730667504648178</v>
      </c>
      <c r="BD19" s="77">
        <f t="shared" si="2"/>
        <v>2.3515856181423</v>
      </c>
      <c r="BE19" s="77">
        <f t="shared" si="2"/>
        <v>6.7994343624793769</v>
      </c>
      <c r="BF19" s="77">
        <f t="shared" si="2"/>
        <v>2.1787519312855159</v>
      </c>
      <c r="BG19" s="77">
        <f t="shared" si="2"/>
        <v>3.2288475135517332</v>
      </c>
      <c r="BH19" s="77">
        <f t="shared" si="2"/>
        <v>1.3577919187157932</v>
      </c>
      <c r="BI19" s="77">
        <f t="shared" si="2"/>
        <v>0.87988058763453536</v>
      </c>
      <c r="BJ19" s="77">
        <f t="shared" si="2"/>
        <v>0.52766648335821098</v>
      </c>
      <c r="BK19" s="77">
        <f t="shared" si="2"/>
        <v>2.7679576819336424</v>
      </c>
      <c r="BL19" s="77">
        <f t="shared" si="2"/>
        <v>20.102390866001521</v>
      </c>
      <c r="BM19" s="77">
        <f t="shared" si="2"/>
        <v>2.3830099248435337</v>
      </c>
      <c r="BN19" s="77">
        <f t="shared" si="2"/>
        <v>1.012124545002226</v>
      </c>
      <c r="BO19" s="77">
        <f t="shared" si="2"/>
        <v>5.6170948228454716</v>
      </c>
      <c r="BP19" s="77">
        <f t="shared" si="2"/>
        <v>0.91785162489852568</v>
      </c>
      <c r="BQ19" s="77">
        <f t="shared" si="2"/>
        <v>0.61408332678660282</v>
      </c>
      <c r="BR19" s="77">
        <f t="shared" si="2"/>
        <v>8.3405347369523675</v>
      </c>
      <c r="BS19" s="78">
        <f t="shared" si="4"/>
        <v>37.596564275800667</v>
      </c>
      <c r="BT19" s="34">
        <f t="shared" si="5"/>
        <v>100</v>
      </c>
      <c r="BU19" s="26"/>
    </row>
    <row r="20" spans="1:73" ht="13" x14ac:dyDescent="0.3">
      <c r="A20" s="51" t="s">
        <v>122</v>
      </c>
      <c r="B20" s="18">
        <v>15</v>
      </c>
      <c r="C20" s="18">
        <v>66</v>
      </c>
      <c r="D20" s="18">
        <v>499</v>
      </c>
      <c r="E20" s="18">
        <v>331</v>
      </c>
      <c r="F20" s="18">
        <v>309</v>
      </c>
      <c r="G20" s="18">
        <v>730</v>
      </c>
      <c r="H20" s="18">
        <v>517</v>
      </c>
      <c r="I20" s="18">
        <v>214</v>
      </c>
      <c r="J20" s="18">
        <v>435</v>
      </c>
      <c r="K20" s="18">
        <v>278</v>
      </c>
      <c r="L20" s="18">
        <v>271</v>
      </c>
      <c r="M20" s="18">
        <v>1376</v>
      </c>
      <c r="N20" s="18">
        <v>350</v>
      </c>
      <c r="O20" s="18">
        <v>13409</v>
      </c>
      <c r="P20" s="18">
        <v>961</v>
      </c>
      <c r="Q20" s="18">
        <v>2790</v>
      </c>
      <c r="R20" s="18">
        <v>324</v>
      </c>
      <c r="S20" s="18">
        <v>381</v>
      </c>
      <c r="T20" s="18">
        <v>1820</v>
      </c>
      <c r="U20" s="18">
        <v>25890</v>
      </c>
      <c r="V20" s="18">
        <v>50951</v>
      </c>
      <c r="X20" s="29" t="s">
        <v>122</v>
      </c>
      <c r="Y20" s="56">
        <f t="shared" si="0"/>
        <v>6.6000000000000003E-2</v>
      </c>
      <c r="Z20" s="56">
        <f t="shared" si="0"/>
        <v>0.499</v>
      </c>
      <c r="AA20" s="56">
        <f t="shared" si="0"/>
        <v>0.33100000000000002</v>
      </c>
      <c r="AB20" s="56">
        <f t="shared" si="0"/>
        <v>0.309</v>
      </c>
      <c r="AC20" s="56">
        <f t="shared" si="0"/>
        <v>0.73</v>
      </c>
      <c r="AD20" s="56">
        <f t="shared" si="0"/>
        <v>0.51700000000000002</v>
      </c>
      <c r="AE20" s="56">
        <f t="shared" si="0"/>
        <v>0.214</v>
      </c>
      <c r="AF20" s="56">
        <f t="shared" si="0"/>
        <v>0.435</v>
      </c>
      <c r="AG20" s="56">
        <f t="shared" si="0"/>
        <v>0.27800000000000002</v>
      </c>
      <c r="AH20" s="56">
        <f t="shared" si="0"/>
        <v>0.27100000000000002</v>
      </c>
      <c r="AI20" s="56">
        <f t="shared" si="0"/>
        <v>1.3759999999999999</v>
      </c>
      <c r="AJ20" s="56">
        <f t="shared" si="0"/>
        <v>0.35</v>
      </c>
      <c r="AK20" s="56">
        <f t="shared" si="0"/>
        <v>13.409000000000001</v>
      </c>
      <c r="AL20" s="56">
        <f t="shared" si="0"/>
        <v>0.96099999999999997</v>
      </c>
      <c r="AM20" s="56">
        <f t="shared" si="0"/>
        <v>2.79</v>
      </c>
      <c r="AN20" s="56">
        <f t="shared" si="0"/>
        <v>0.32400000000000001</v>
      </c>
      <c r="AO20" s="56">
        <f t="shared" si="1"/>
        <v>0.38100000000000001</v>
      </c>
      <c r="AP20" s="56">
        <f t="shared" si="1"/>
        <v>1.82</v>
      </c>
      <c r="AQ20" s="56">
        <f t="shared" si="1"/>
        <v>25.89</v>
      </c>
      <c r="AR20" s="56">
        <f t="shared" si="1"/>
        <v>50.951000000000001</v>
      </c>
      <c r="AX20" s="21"/>
      <c r="AY20" s="26"/>
      <c r="AZ20" s="31" t="s">
        <v>122</v>
      </c>
      <c r="BA20" s="77">
        <f t="shared" si="3"/>
        <v>0.12953622107515064</v>
      </c>
      <c r="BB20" s="77">
        <f t="shared" si="2"/>
        <v>0.97937233812879043</v>
      </c>
      <c r="BC20" s="77">
        <f t="shared" si="2"/>
        <v>0.64964377539204343</v>
      </c>
      <c r="BD20" s="77">
        <f t="shared" si="2"/>
        <v>0.60646503503365978</v>
      </c>
      <c r="BE20" s="77">
        <f t="shared" si="2"/>
        <v>1.4327491118918174</v>
      </c>
      <c r="BF20" s="77">
        <f t="shared" si="2"/>
        <v>1.0147003984220133</v>
      </c>
      <c r="BG20" s="77">
        <f t="shared" si="2"/>
        <v>0.42001138348609446</v>
      </c>
      <c r="BH20" s="77">
        <f t="shared" si="2"/>
        <v>0.85376145708621998</v>
      </c>
      <c r="BI20" s="77">
        <f t="shared" si="2"/>
        <v>0.5456222645286648</v>
      </c>
      <c r="BJ20" s="77">
        <f t="shared" si="2"/>
        <v>0.53188357441463363</v>
      </c>
      <c r="BK20" s="77">
        <f t="shared" si="2"/>
        <v>2.7006339424152612</v>
      </c>
      <c r="BL20" s="77">
        <f t="shared" si="2"/>
        <v>0.68693450570155634</v>
      </c>
      <c r="BM20" s="77">
        <f t="shared" si="2"/>
        <v>26.317442248434769</v>
      </c>
      <c r="BN20" s="77">
        <f t="shared" si="2"/>
        <v>1.8861258856548448</v>
      </c>
      <c r="BO20" s="77">
        <f t="shared" si="2"/>
        <v>5.4758493454495492</v>
      </c>
      <c r="BP20" s="77">
        <f t="shared" si="2"/>
        <v>0.63590508527801226</v>
      </c>
      <c r="BQ20" s="77">
        <f t="shared" si="2"/>
        <v>0.74777727620655132</v>
      </c>
      <c r="BR20" s="77">
        <f t="shared" si="2"/>
        <v>3.572059429648093</v>
      </c>
      <c r="BS20" s="78">
        <f t="shared" si="4"/>
        <v>50.813526721752275</v>
      </c>
      <c r="BT20" s="34">
        <f t="shared" si="5"/>
        <v>100</v>
      </c>
      <c r="BU20" s="26"/>
    </row>
    <row r="21" spans="1:73" ht="13" x14ac:dyDescent="0.3">
      <c r="A21" s="51" t="s">
        <v>123</v>
      </c>
      <c r="B21" s="18">
        <v>16</v>
      </c>
      <c r="C21" s="18">
        <v>122</v>
      </c>
      <c r="D21" s="18">
        <v>918</v>
      </c>
      <c r="E21" s="18">
        <v>203</v>
      </c>
      <c r="F21" s="18">
        <v>1973</v>
      </c>
      <c r="G21" s="18">
        <v>1907</v>
      </c>
      <c r="H21" s="18">
        <v>451</v>
      </c>
      <c r="I21" s="18">
        <v>836</v>
      </c>
      <c r="J21" s="18">
        <v>1023</v>
      </c>
      <c r="K21" s="18">
        <v>389</v>
      </c>
      <c r="L21" s="18">
        <v>223</v>
      </c>
      <c r="M21" s="18">
        <v>2309</v>
      </c>
      <c r="N21" s="18">
        <v>495</v>
      </c>
      <c r="O21" s="18">
        <v>2189</v>
      </c>
      <c r="P21" s="18">
        <v>25710</v>
      </c>
      <c r="Q21" s="18">
        <v>5100</v>
      </c>
      <c r="R21" s="18">
        <v>953</v>
      </c>
      <c r="S21" s="18">
        <v>838</v>
      </c>
      <c r="T21" s="18">
        <v>2401</v>
      </c>
      <c r="U21" s="18">
        <v>37546</v>
      </c>
      <c r="V21" s="18">
        <v>85586</v>
      </c>
      <c r="X21" s="29" t="s">
        <v>123</v>
      </c>
      <c r="Y21" s="56">
        <f t="shared" si="0"/>
        <v>0.122</v>
      </c>
      <c r="Z21" s="56">
        <f t="shared" si="0"/>
        <v>0.91800000000000004</v>
      </c>
      <c r="AA21" s="56">
        <f t="shared" si="0"/>
        <v>0.20300000000000001</v>
      </c>
      <c r="AB21" s="56">
        <f t="shared" si="0"/>
        <v>1.9730000000000001</v>
      </c>
      <c r="AC21" s="56">
        <f t="shared" si="0"/>
        <v>1.907</v>
      </c>
      <c r="AD21" s="56">
        <f t="shared" si="0"/>
        <v>0.45100000000000001</v>
      </c>
      <c r="AE21" s="56">
        <f t="shared" si="0"/>
        <v>0.83599999999999997</v>
      </c>
      <c r="AF21" s="56">
        <f t="shared" si="0"/>
        <v>1.0229999999999999</v>
      </c>
      <c r="AG21" s="56">
        <f t="shared" si="0"/>
        <v>0.38900000000000001</v>
      </c>
      <c r="AH21" s="56">
        <f t="shared" si="0"/>
        <v>0.223</v>
      </c>
      <c r="AI21" s="56">
        <f t="shared" si="0"/>
        <v>2.3090000000000002</v>
      </c>
      <c r="AJ21" s="56">
        <f t="shared" si="0"/>
        <v>0.495</v>
      </c>
      <c r="AK21" s="56">
        <f t="shared" si="0"/>
        <v>2.1890000000000001</v>
      </c>
      <c r="AL21" s="56">
        <f t="shared" si="0"/>
        <v>25.71</v>
      </c>
      <c r="AM21" s="56">
        <f t="shared" si="0"/>
        <v>5.0999999999999996</v>
      </c>
      <c r="AN21" s="56">
        <f t="shared" si="0"/>
        <v>0.95299999999999996</v>
      </c>
      <c r="AO21" s="56">
        <f t="shared" si="1"/>
        <v>0.83799999999999997</v>
      </c>
      <c r="AP21" s="56">
        <f t="shared" si="1"/>
        <v>2.4009999999999998</v>
      </c>
      <c r="AQ21" s="56">
        <f t="shared" si="1"/>
        <v>37.545999999999999</v>
      </c>
      <c r="AR21" s="56">
        <f t="shared" si="1"/>
        <v>85.585999999999999</v>
      </c>
      <c r="AX21" s="21"/>
      <c r="AY21" s="26"/>
      <c r="AZ21" s="31" t="s">
        <v>123</v>
      </c>
      <c r="BA21" s="77">
        <f t="shared" si="3"/>
        <v>0.14254667819503189</v>
      </c>
      <c r="BB21" s="77">
        <f t="shared" si="2"/>
        <v>1.0726053326478631</v>
      </c>
      <c r="BC21" s="77">
        <f t="shared" si="2"/>
        <v>0.23718832519337277</v>
      </c>
      <c r="BD21" s="77">
        <f t="shared" si="2"/>
        <v>2.3052835744163764</v>
      </c>
      <c r="BE21" s="77">
        <f t="shared" si="2"/>
        <v>2.2281681583436543</v>
      </c>
      <c r="BF21" s="77">
        <f t="shared" si="2"/>
        <v>0.5269553431636016</v>
      </c>
      <c r="BG21" s="77">
        <f t="shared" si="2"/>
        <v>0.97679527025448087</v>
      </c>
      <c r="BH21" s="77">
        <f t="shared" si="2"/>
        <v>1.1952889491271936</v>
      </c>
      <c r="BI21" s="77">
        <f t="shared" si="2"/>
        <v>0.45451358867104436</v>
      </c>
      <c r="BJ21" s="77">
        <f t="shared" si="2"/>
        <v>0.26055663309419769</v>
      </c>
      <c r="BK21" s="77">
        <f t="shared" si="2"/>
        <v>2.6978711471502348</v>
      </c>
      <c r="BL21" s="77">
        <f t="shared" si="2"/>
        <v>0.57836562054541629</v>
      </c>
      <c r="BM21" s="77">
        <f t="shared" si="2"/>
        <v>2.5576612997452854</v>
      </c>
      <c r="BN21" s="77">
        <f t="shared" si="2"/>
        <v>30.039959806510414</v>
      </c>
      <c r="BO21" s="77">
        <f t="shared" si="2"/>
        <v>5.9589185147103496</v>
      </c>
      <c r="BP21" s="77">
        <f t="shared" si="2"/>
        <v>1.1134998714743065</v>
      </c>
      <c r="BQ21" s="77">
        <f t="shared" si="2"/>
        <v>0.97913210104456327</v>
      </c>
      <c r="BR21" s="77">
        <f t="shared" si="2"/>
        <v>2.8053653634940292</v>
      </c>
      <c r="BS21" s="78">
        <f t="shared" si="4"/>
        <v>43.86932442221859</v>
      </c>
      <c r="BT21" s="34">
        <f t="shared" si="5"/>
        <v>100</v>
      </c>
      <c r="BU21" s="26"/>
    </row>
    <row r="22" spans="1:73" ht="13" x14ac:dyDescent="0.3">
      <c r="A22" s="51" t="s">
        <v>174</v>
      </c>
      <c r="B22" s="18">
        <v>17</v>
      </c>
      <c r="C22" s="18">
        <v>391</v>
      </c>
      <c r="D22" s="18">
        <v>1581</v>
      </c>
      <c r="E22" s="18">
        <v>220</v>
      </c>
      <c r="F22" s="18">
        <v>826</v>
      </c>
      <c r="G22" s="18">
        <v>7186</v>
      </c>
      <c r="H22" s="18">
        <v>1179</v>
      </c>
      <c r="I22" s="18">
        <v>3291</v>
      </c>
      <c r="J22" s="18">
        <v>1020</v>
      </c>
      <c r="K22" s="18">
        <v>771</v>
      </c>
      <c r="L22" s="18">
        <v>791</v>
      </c>
      <c r="M22" s="18">
        <v>4058</v>
      </c>
      <c r="N22" s="18">
        <v>2130</v>
      </c>
      <c r="O22" s="18">
        <v>6003</v>
      </c>
      <c r="P22" s="18">
        <v>5594</v>
      </c>
      <c r="Q22" s="18">
        <v>118047</v>
      </c>
      <c r="R22" s="18">
        <v>1538</v>
      </c>
      <c r="S22" s="18">
        <v>1806</v>
      </c>
      <c r="T22" s="18">
        <v>8399</v>
      </c>
      <c r="U22" s="18">
        <v>87849</v>
      </c>
      <c r="V22" s="18">
        <v>252680</v>
      </c>
      <c r="X22" s="29" t="s">
        <v>124</v>
      </c>
      <c r="Y22" s="56">
        <f t="shared" si="0"/>
        <v>0.39100000000000001</v>
      </c>
      <c r="Z22" s="56">
        <f t="shared" si="0"/>
        <v>1.581</v>
      </c>
      <c r="AA22" s="56">
        <f t="shared" si="0"/>
        <v>0.22</v>
      </c>
      <c r="AB22" s="56">
        <f t="shared" si="0"/>
        <v>0.82599999999999996</v>
      </c>
      <c r="AC22" s="56">
        <f t="shared" si="0"/>
        <v>7.1859999999999999</v>
      </c>
      <c r="AD22" s="56">
        <f t="shared" si="0"/>
        <v>1.179</v>
      </c>
      <c r="AE22" s="56">
        <f t="shared" si="0"/>
        <v>3.2909999999999999</v>
      </c>
      <c r="AF22" s="56">
        <f t="shared" si="0"/>
        <v>1.02</v>
      </c>
      <c r="AG22" s="56">
        <f t="shared" si="0"/>
        <v>0.77100000000000002</v>
      </c>
      <c r="AH22" s="56">
        <f t="shared" si="0"/>
        <v>0.79100000000000004</v>
      </c>
      <c r="AI22" s="56">
        <f t="shared" si="0"/>
        <v>4.0579999999999998</v>
      </c>
      <c r="AJ22" s="56">
        <f t="shared" si="0"/>
        <v>2.13</v>
      </c>
      <c r="AK22" s="56">
        <f t="shared" si="0"/>
        <v>6.0030000000000001</v>
      </c>
      <c r="AL22" s="56">
        <f t="shared" si="0"/>
        <v>5.5940000000000003</v>
      </c>
      <c r="AM22" s="56">
        <f t="shared" si="0"/>
        <v>118.047</v>
      </c>
      <c r="AN22" s="56">
        <f t="shared" si="0"/>
        <v>1.538</v>
      </c>
      <c r="AO22" s="56">
        <f t="shared" si="1"/>
        <v>1.806</v>
      </c>
      <c r="AP22" s="56">
        <f t="shared" si="1"/>
        <v>8.3989999999999991</v>
      </c>
      <c r="AQ22" s="56">
        <f t="shared" si="1"/>
        <v>87.849000000000004</v>
      </c>
      <c r="AR22" s="56">
        <f t="shared" si="1"/>
        <v>252.68</v>
      </c>
      <c r="AX22" s="21"/>
      <c r="AY22" s="26"/>
      <c r="AZ22" s="31" t="s">
        <v>124</v>
      </c>
      <c r="BA22" s="77">
        <f t="shared" si="3"/>
        <v>0.15474117460820008</v>
      </c>
      <c r="BB22" s="77">
        <f t="shared" si="2"/>
        <v>0.62569257558967861</v>
      </c>
      <c r="BC22" s="77">
        <f t="shared" si="2"/>
        <v>8.7066645559601072E-2</v>
      </c>
      <c r="BD22" s="77">
        <f t="shared" si="2"/>
        <v>0.32689567832832039</v>
      </c>
      <c r="BE22" s="77">
        <f t="shared" si="2"/>
        <v>2.8439132499604241</v>
      </c>
      <c r="BF22" s="77">
        <f t="shared" si="2"/>
        <v>0.46659806870349857</v>
      </c>
      <c r="BG22" s="77">
        <f t="shared" si="2"/>
        <v>1.3024378660756686</v>
      </c>
      <c r="BH22" s="77">
        <f t="shared" si="2"/>
        <v>0.40367262941269588</v>
      </c>
      <c r="BI22" s="77">
        <f t="shared" si="2"/>
        <v>0.30512901693842015</v>
      </c>
      <c r="BJ22" s="77">
        <f t="shared" si="2"/>
        <v>0.31304416653474754</v>
      </c>
      <c r="BK22" s="77">
        <f t="shared" si="2"/>
        <v>1.6059838530948234</v>
      </c>
      <c r="BL22" s="77">
        <f t="shared" si="2"/>
        <v>0.84296343200886481</v>
      </c>
      <c r="BM22" s="77">
        <f t="shared" si="2"/>
        <v>2.3757321513376604</v>
      </c>
      <c r="BN22" s="77">
        <f t="shared" si="2"/>
        <v>2.2138673420927657</v>
      </c>
      <c r="BO22" s="77">
        <f t="shared" si="2"/>
        <v>46.717983219882854</v>
      </c>
      <c r="BP22" s="77">
        <f t="shared" si="2"/>
        <v>0.60867500395757479</v>
      </c>
      <c r="BQ22" s="77">
        <f t="shared" si="2"/>
        <v>0.71473800854836156</v>
      </c>
      <c r="BR22" s="77">
        <f t="shared" si="2"/>
        <v>3.3239670729776787</v>
      </c>
      <c r="BS22" s="78">
        <f t="shared" si="4"/>
        <v>34.766898844388159</v>
      </c>
      <c r="BT22" s="34">
        <f t="shared" si="5"/>
        <v>100</v>
      </c>
      <c r="BU22" s="26"/>
    </row>
    <row r="23" spans="1:73" ht="13" x14ac:dyDescent="0.3">
      <c r="A23" s="51" t="s">
        <v>125</v>
      </c>
      <c r="B23" s="18">
        <v>18</v>
      </c>
      <c r="C23" s="18">
        <v>144</v>
      </c>
      <c r="D23" s="18">
        <v>567</v>
      </c>
      <c r="E23" s="18">
        <v>67</v>
      </c>
      <c r="F23" s="18">
        <v>338</v>
      </c>
      <c r="G23" s="18">
        <v>3339</v>
      </c>
      <c r="H23" s="18">
        <v>549</v>
      </c>
      <c r="I23" s="18">
        <v>2914</v>
      </c>
      <c r="J23" s="18">
        <v>661</v>
      </c>
      <c r="K23" s="18">
        <v>211</v>
      </c>
      <c r="L23" s="18">
        <v>200</v>
      </c>
      <c r="M23" s="18">
        <v>1243</v>
      </c>
      <c r="N23" s="18">
        <v>1033</v>
      </c>
      <c r="O23" s="18">
        <v>1275</v>
      </c>
      <c r="P23" s="18">
        <v>1378</v>
      </c>
      <c r="Q23" s="18">
        <v>3050</v>
      </c>
      <c r="R23" s="18">
        <v>4861</v>
      </c>
      <c r="S23" s="18">
        <v>515</v>
      </c>
      <c r="T23" s="18">
        <v>2604</v>
      </c>
      <c r="U23" s="18">
        <v>15343</v>
      </c>
      <c r="V23" s="18">
        <v>40292</v>
      </c>
      <c r="X23" s="29" t="s">
        <v>125</v>
      </c>
      <c r="Y23" s="56">
        <f t="shared" si="0"/>
        <v>0.14399999999999999</v>
      </c>
      <c r="Z23" s="56">
        <f t="shared" si="0"/>
        <v>0.56699999999999995</v>
      </c>
      <c r="AA23" s="56">
        <f t="shared" si="0"/>
        <v>6.7000000000000004E-2</v>
      </c>
      <c r="AB23" s="56">
        <f t="shared" si="0"/>
        <v>0.33800000000000002</v>
      </c>
      <c r="AC23" s="56">
        <f t="shared" si="0"/>
        <v>3.339</v>
      </c>
      <c r="AD23" s="56">
        <f t="shared" si="0"/>
        <v>0.54900000000000004</v>
      </c>
      <c r="AE23" s="56">
        <f t="shared" si="0"/>
        <v>2.9140000000000001</v>
      </c>
      <c r="AF23" s="56">
        <f t="shared" si="0"/>
        <v>0.66100000000000003</v>
      </c>
      <c r="AG23" s="56">
        <f t="shared" si="0"/>
        <v>0.21099999999999999</v>
      </c>
      <c r="AH23" s="56">
        <f t="shared" si="0"/>
        <v>0.2</v>
      </c>
      <c r="AI23" s="56">
        <f t="shared" si="0"/>
        <v>1.2430000000000001</v>
      </c>
      <c r="AJ23" s="56">
        <f t="shared" si="0"/>
        <v>1.0329999999999999</v>
      </c>
      <c r="AK23" s="56">
        <f t="shared" si="0"/>
        <v>1.2749999999999999</v>
      </c>
      <c r="AL23" s="56">
        <f t="shared" si="0"/>
        <v>1.3779999999999999</v>
      </c>
      <c r="AM23" s="56">
        <f t="shared" si="0"/>
        <v>3.05</v>
      </c>
      <c r="AN23" s="56">
        <f t="shared" ref="AN23:AR25" si="6">IFERROR(R23/1000,"")</f>
        <v>4.8609999999999998</v>
      </c>
      <c r="AO23" s="56">
        <f t="shared" si="1"/>
        <v>0.51500000000000001</v>
      </c>
      <c r="AP23" s="56">
        <f t="shared" si="1"/>
        <v>2.6040000000000001</v>
      </c>
      <c r="AQ23" s="56">
        <f t="shared" si="1"/>
        <v>15.343</v>
      </c>
      <c r="AR23" s="56">
        <f t="shared" si="1"/>
        <v>40.292000000000002</v>
      </c>
      <c r="AX23" s="21"/>
      <c r="AY23" s="26"/>
      <c r="AZ23" s="31" t="s">
        <v>125</v>
      </c>
      <c r="BA23" s="77">
        <f t="shared" si="3"/>
        <v>0.35739104536880767</v>
      </c>
      <c r="BB23" s="77">
        <f t="shared" si="3"/>
        <v>1.4072272411396802</v>
      </c>
      <c r="BC23" s="77">
        <f t="shared" si="3"/>
        <v>0.1662861113868758</v>
      </c>
      <c r="BD23" s="77">
        <f t="shared" si="3"/>
        <v>0.83887620371289584</v>
      </c>
      <c r="BE23" s="77">
        <f t="shared" si="3"/>
        <v>8.2870048644892282</v>
      </c>
      <c r="BF23" s="77">
        <f t="shared" si="3"/>
        <v>1.3625533604685796</v>
      </c>
      <c r="BG23" s="77">
        <f t="shared" si="3"/>
        <v>7.232204904199345</v>
      </c>
      <c r="BH23" s="77">
        <f t="shared" si="3"/>
        <v>1.6405241735332077</v>
      </c>
      <c r="BI23" s="77">
        <f t="shared" si="3"/>
        <v>0.52367715675568338</v>
      </c>
      <c r="BJ23" s="77">
        <f t="shared" si="3"/>
        <v>0.49637645190112184</v>
      </c>
      <c r="BK23" s="77">
        <f t="shared" si="3"/>
        <v>3.0849796485654721</v>
      </c>
      <c r="BL23" s="77">
        <f t="shared" si="3"/>
        <v>2.5637843740692938</v>
      </c>
      <c r="BM23" s="77">
        <f t="shared" si="3"/>
        <v>3.1643998808696514</v>
      </c>
      <c r="BN23" s="77">
        <f t="shared" si="3"/>
        <v>3.4200337535987289</v>
      </c>
      <c r="BO23" s="77">
        <f t="shared" si="3"/>
        <v>7.5697408914921063</v>
      </c>
      <c r="BP23" s="77">
        <f t="shared" si="3"/>
        <v>12.064429663456764</v>
      </c>
      <c r="BQ23" s="77">
        <f t="shared" ref="BQ23:BR25" si="7">IFERROR(IF(AO23&gt;0,AO23,"x")/$AR23,"")*100</f>
        <v>1.2781693636453886</v>
      </c>
      <c r="BR23" s="77">
        <f t="shared" si="7"/>
        <v>6.4628214037526055</v>
      </c>
      <c r="BS23" s="78">
        <f t="shared" si="4"/>
        <v>38.079519507594554</v>
      </c>
      <c r="BT23" s="34">
        <f t="shared" si="5"/>
        <v>100</v>
      </c>
      <c r="BU23" s="26"/>
    </row>
    <row r="24" spans="1:73" ht="13" x14ac:dyDescent="0.3">
      <c r="A24" s="51" t="s">
        <v>175</v>
      </c>
      <c r="B24" s="18">
        <v>19</v>
      </c>
      <c r="C24" s="18">
        <v>75</v>
      </c>
      <c r="D24" s="18">
        <v>545</v>
      </c>
      <c r="E24" s="18">
        <v>85</v>
      </c>
      <c r="F24" s="18">
        <v>475</v>
      </c>
      <c r="G24" s="18">
        <v>1763</v>
      </c>
      <c r="H24" s="18">
        <v>446</v>
      </c>
      <c r="I24" s="18">
        <v>740</v>
      </c>
      <c r="J24" s="18">
        <v>343</v>
      </c>
      <c r="K24" s="18">
        <v>222</v>
      </c>
      <c r="L24" s="18">
        <v>165</v>
      </c>
      <c r="M24" s="18">
        <v>812</v>
      </c>
      <c r="N24" s="18">
        <v>542</v>
      </c>
      <c r="O24" s="18">
        <v>906</v>
      </c>
      <c r="P24" s="18">
        <v>762</v>
      </c>
      <c r="Q24" s="18">
        <v>2372</v>
      </c>
      <c r="R24" s="18">
        <v>371</v>
      </c>
      <c r="S24" s="18">
        <v>3976</v>
      </c>
      <c r="T24" s="18">
        <v>1261</v>
      </c>
      <c r="U24" s="18">
        <v>11715</v>
      </c>
      <c r="V24" s="18">
        <v>27576</v>
      </c>
      <c r="X24" s="29" t="s">
        <v>126</v>
      </c>
      <c r="Y24" s="56">
        <f t="shared" ref="Y24:AM25" si="8">IFERROR(C24/1000,"")</f>
        <v>7.4999999999999997E-2</v>
      </c>
      <c r="Z24" s="56">
        <f t="shared" si="8"/>
        <v>0.54500000000000004</v>
      </c>
      <c r="AA24" s="56">
        <f t="shared" si="8"/>
        <v>8.5000000000000006E-2</v>
      </c>
      <c r="AB24" s="56">
        <f t="shared" si="8"/>
        <v>0.47499999999999998</v>
      </c>
      <c r="AC24" s="56">
        <f t="shared" si="8"/>
        <v>1.7629999999999999</v>
      </c>
      <c r="AD24" s="56">
        <f t="shared" si="8"/>
        <v>0.44600000000000001</v>
      </c>
      <c r="AE24" s="56">
        <f t="shared" si="8"/>
        <v>0.74</v>
      </c>
      <c r="AF24" s="56">
        <f t="shared" si="8"/>
        <v>0.34300000000000003</v>
      </c>
      <c r="AG24" s="56">
        <f t="shared" si="8"/>
        <v>0.222</v>
      </c>
      <c r="AH24" s="56">
        <f t="shared" si="8"/>
        <v>0.16500000000000001</v>
      </c>
      <c r="AI24" s="56">
        <f t="shared" si="8"/>
        <v>0.81200000000000006</v>
      </c>
      <c r="AJ24" s="56">
        <f t="shared" si="8"/>
        <v>0.54200000000000004</v>
      </c>
      <c r="AK24" s="56">
        <f t="shared" si="8"/>
        <v>0.90600000000000003</v>
      </c>
      <c r="AL24" s="56">
        <f t="shared" si="8"/>
        <v>0.76200000000000001</v>
      </c>
      <c r="AM24" s="56">
        <f t="shared" si="8"/>
        <v>2.3719999999999999</v>
      </c>
      <c r="AN24" s="56">
        <f t="shared" si="6"/>
        <v>0.371</v>
      </c>
      <c r="AO24" s="56">
        <f t="shared" si="6"/>
        <v>3.976</v>
      </c>
      <c r="AP24" s="56">
        <f t="shared" si="6"/>
        <v>1.2609999999999999</v>
      </c>
      <c r="AQ24" s="56">
        <f t="shared" si="6"/>
        <v>11.715</v>
      </c>
      <c r="AR24" s="56">
        <f t="shared" si="6"/>
        <v>27.576000000000001</v>
      </c>
      <c r="AX24" s="21"/>
      <c r="AY24" s="26"/>
      <c r="AZ24" s="31" t="s">
        <v>126</v>
      </c>
      <c r="BA24" s="77">
        <f t="shared" si="3"/>
        <v>0.27197563098346389</v>
      </c>
      <c r="BB24" s="77">
        <f t="shared" si="3"/>
        <v>1.976356251813171</v>
      </c>
      <c r="BC24" s="77">
        <f t="shared" si="3"/>
        <v>0.30823904844792577</v>
      </c>
      <c r="BD24" s="77">
        <f t="shared" si="3"/>
        <v>1.7225123295619378</v>
      </c>
      <c r="BE24" s="77">
        <f t="shared" si="3"/>
        <v>6.3932404989846248</v>
      </c>
      <c r="BF24" s="77">
        <f t="shared" si="3"/>
        <v>1.6173484189149985</v>
      </c>
      <c r="BG24" s="77">
        <f t="shared" si="3"/>
        <v>2.6834928923701771</v>
      </c>
      <c r="BH24" s="77">
        <f t="shared" si="3"/>
        <v>1.2438352190310416</v>
      </c>
      <c r="BI24" s="77">
        <f t="shared" si="3"/>
        <v>0.80504786771105308</v>
      </c>
      <c r="BJ24" s="77">
        <f t="shared" si="3"/>
        <v>0.59834638816362051</v>
      </c>
      <c r="BK24" s="77">
        <f t="shared" si="3"/>
        <v>2.9445894981143024</v>
      </c>
      <c r="BL24" s="77">
        <f t="shared" si="3"/>
        <v>1.9654772265738325</v>
      </c>
      <c r="BM24" s="77">
        <f t="shared" si="3"/>
        <v>3.2854656222802441</v>
      </c>
      <c r="BN24" s="77">
        <f t="shared" si="3"/>
        <v>2.763272410791993</v>
      </c>
      <c r="BO24" s="77">
        <f t="shared" si="3"/>
        <v>8.6016826225703511</v>
      </c>
      <c r="BP24" s="77">
        <f t="shared" si="3"/>
        <v>1.3453727879315347</v>
      </c>
      <c r="BQ24" s="77">
        <f t="shared" si="7"/>
        <v>14.418334783870032</v>
      </c>
      <c r="BR24" s="77">
        <f t="shared" si="7"/>
        <v>4.5728169422686396</v>
      </c>
      <c r="BS24" s="78">
        <f t="shared" si="4"/>
        <v>42.482593559617058</v>
      </c>
      <c r="BT24" s="34">
        <f t="shared" si="5"/>
        <v>100</v>
      </c>
      <c r="BU24" s="26"/>
    </row>
    <row r="25" spans="1:73" ht="13" x14ac:dyDescent="0.3">
      <c r="A25" s="51" t="s">
        <v>159</v>
      </c>
      <c r="B25" s="18">
        <v>78</v>
      </c>
      <c r="C25" s="18">
        <v>3063</v>
      </c>
      <c r="D25" s="18">
        <v>21068</v>
      </c>
      <c r="E25" s="18">
        <v>2532</v>
      </c>
      <c r="F25" s="18">
        <v>8165</v>
      </c>
      <c r="G25" s="18">
        <v>25999</v>
      </c>
      <c r="H25" s="18">
        <v>13321</v>
      </c>
      <c r="I25" s="18">
        <v>12373</v>
      </c>
      <c r="J25" s="18">
        <v>4993</v>
      </c>
      <c r="K25" s="18">
        <v>3924</v>
      </c>
      <c r="L25" s="18">
        <v>1420</v>
      </c>
      <c r="M25" s="18">
        <v>10086</v>
      </c>
      <c r="N25" s="18">
        <v>9083</v>
      </c>
      <c r="O25" s="18">
        <v>10293</v>
      </c>
      <c r="P25" s="18">
        <v>3921</v>
      </c>
      <c r="Q25" s="18">
        <v>12778</v>
      </c>
      <c r="R25" s="18">
        <v>2870</v>
      </c>
      <c r="S25" s="18">
        <v>2085</v>
      </c>
      <c r="T25" s="18">
        <v>86048</v>
      </c>
      <c r="U25" s="18">
        <v>157140</v>
      </c>
      <c r="V25" s="18">
        <v>391162</v>
      </c>
      <c r="X25" s="29" t="s">
        <v>159</v>
      </c>
      <c r="Y25" s="56">
        <f t="shared" si="8"/>
        <v>3.0630000000000002</v>
      </c>
      <c r="Z25" s="56">
        <f t="shared" si="8"/>
        <v>21.068000000000001</v>
      </c>
      <c r="AA25" s="56">
        <f t="shared" si="8"/>
        <v>2.532</v>
      </c>
      <c r="AB25" s="56">
        <f t="shared" si="8"/>
        <v>8.1649999999999991</v>
      </c>
      <c r="AC25" s="56">
        <f t="shared" si="8"/>
        <v>25.998999999999999</v>
      </c>
      <c r="AD25" s="56">
        <f t="shared" si="8"/>
        <v>13.321</v>
      </c>
      <c r="AE25" s="56">
        <f t="shared" si="8"/>
        <v>12.372999999999999</v>
      </c>
      <c r="AF25" s="56">
        <f t="shared" si="8"/>
        <v>4.9930000000000003</v>
      </c>
      <c r="AG25" s="56">
        <f t="shared" si="8"/>
        <v>3.9239999999999999</v>
      </c>
      <c r="AH25" s="56">
        <f t="shared" si="8"/>
        <v>1.42</v>
      </c>
      <c r="AI25" s="56">
        <f t="shared" si="8"/>
        <v>10.086</v>
      </c>
      <c r="AJ25" s="56">
        <f t="shared" si="8"/>
        <v>9.0830000000000002</v>
      </c>
      <c r="AK25" s="56">
        <f t="shared" si="8"/>
        <v>10.292999999999999</v>
      </c>
      <c r="AL25" s="56">
        <f t="shared" si="8"/>
        <v>3.9209999999999998</v>
      </c>
      <c r="AM25" s="56">
        <f t="shared" si="8"/>
        <v>12.778</v>
      </c>
      <c r="AN25" s="56">
        <f t="shared" si="6"/>
        <v>2.87</v>
      </c>
      <c r="AO25" s="56">
        <f t="shared" si="6"/>
        <v>2.085</v>
      </c>
      <c r="AP25" s="56">
        <f t="shared" si="6"/>
        <v>86.048000000000002</v>
      </c>
      <c r="AQ25" s="56">
        <f t="shared" si="6"/>
        <v>157.13999999999999</v>
      </c>
      <c r="AR25" s="56">
        <f t="shared" si="6"/>
        <v>391.16199999999998</v>
      </c>
      <c r="AX25" s="21"/>
      <c r="AY25" s="26"/>
      <c r="AZ25" s="31" t="s">
        <v>159</v>
      </c>
      <c r="BA25" s="77">
        <f t="shared" si="3"/>
        <v>0.78305152340973816</v>
      </c>
      <c r="BB25" s="77">
        <f t="shared" si="3"/>
        <v>5.3860037529207849</v>
      </c>
      <c r="BC25" s="77">
        <f t="shared" si="3"/>
        <v>0.64730214080099802</v>
      </c>
      <c r="BD25" s="77">
        <f t="shared" si="3"/>
        <v>2.0873704500948458</v>
      </c>
      <c r="BE25" s="77">
        <f t="shared" si="3"/>
        <v>6.6466067767318906</v>
      </c>
      <c r="BF25" s="77">
        <f t="shared" si="3"/>
        <v>3.4054943987401645</v>
      </c>
      <c r="BG25" s="77">
        <f t="shared" si="3"/>
        <v>3.1631395687720181</v>
      </c>
      <c r="BH25" s="77">
        <f t="shared" si="3"/>
        <v>1.2764532342098671</v>
      </c>
      <c r="BI25" s="77">
        <f t="shared" si="3"/>
        <v>1.0031649291086557</v>
      </c>
      <c r="BJ25" s="77">
        <f t="shared" si="3"/>
        <v>0.36302094784258188</v>
      </c>
      <c r="BK25" s="77">
        <f t="shared" si="3"/>
        <v>2.5784713239016059</v>
      </c>
      <c r="BL25" s="77">
        <f t="shared" si="3"/>
        <v>2.3220558234184301</v>
      </c>
      <c r="BM25" s="77">
        <f t="shared" si="3"/>
        <v>2.6313905747490809</v>
      </c>
      <c r="BN25" s="77">
        <f t="shared" si="3"/>
        <v>1.0023979834441996</v>
      </c>
      <c r="BO25" s="77">
        <f t="shared" si="3"/>
        <v>3.2666772334735992</v>
      </c>
      <c r="BP25" s="77">
        <f t="shared" si="3"/>
        <v>0.7337113523297254</v>
      </c>
      <c r="BQ25" s="77">
        <f t="shared" si="7"/>
        <v>0.53302723679703035</v>
      </c>
      <c r="BR25" s="77">
        <f t="shared" si="7"/>
        <v>21.998046845041188</v>
      </c>
      <c r="BS25" s="78">
        <f t="shared" si="4"/>
        <v>40.172613904213598</v>
      </c>
      <c r="BT25" s="34">
        <f t="shared" si="5"/>
        <v>100</v>
      </c>
      <c r="BU25" s="26"/>
    </row>
    <row r="26" spans="1:73" ht="13" x14ac:dyDescent="0.3">
      <c r="X26" s="29"/>
      <c r="Y26" s="56"/>
      <c r="Z26" s="56"/>
      <c r="AA26" s="56"/>
      <c r="AB26" s="56"/>
      <c r="AC26" s="56"/>
      <c r="AD26" s="56"/>
      <c r="AE26" s="56"/>
      <c r="AF26" s="56"/>
      <c r="AG26" s="56"/>
      <c r="AH26" s="56"/>
      <c r="AI26" s="56"/>
      <c r="AJ26" s="56"/>
      <c r="AK26" s="56"/>
      <c r="AL26" s="56"/>
      <c r="AM26" s="56"/>
      <c r="AN26" s="56"/>
      <c r="AO26" s="56"/>
      <c r="AP26" s="56"/>
      <c r="AQ26" s="56"/>
      <c r="AR26" s="56"/>
      <c r="AX26" s="21"/>
      <c r="AY26" s="26"/>
      <c r="AZ26" s="28"/>
      <c r="BA26" s="28"/>
      <c r="BB26" s="28"/>
      <c r="BC26" s="28"/>
      <c r="BD26" s="28"/>
      <c r="BE26" s="28"/>
      <c r="BF26" s="28"/>
      <c r="BG26" s="28"/>
      <c r="BH26" s="28"/>
      <c r="BI26" s="28"/>
      <c r="BJ26" s="28"/>
      <c r="BK26" s="28"/>
      <c r="BL26" s="28"/>
      <c r="BM26" s="28"/>
      <c r="BN26" s="28"/>
      <c r="BO26" s="28"/>
      <c r="BP26" s="28"/>
      <c r="BQ26" s="28"/>
      <c r="BR26" s="28"/>
      <c r="BS26" s="28"/>
      <c r="BT26" s="34"/>
      <c r="BU26" s="26"/>
    </row>
    <row r="27" spans="1:73" ht="12.5" x14ac:dyDescent="0.25">
      <c r="B27" s="18" t="s">
        <v>2</v>
      </c>
      <c r="C27" s="18">
        <v>13717</v>
      </c>
      <c r="D27" s="18">
        <v>87112</v>
      </c>
      <c r="E27" s="18">
        <v>12149</v>
      </c>
      <c r="F27" s="18">
        <v>52917</v>
      </c>
      <c r="G27" s="18">
        <v>200290</v>
      </c>
      <c r="H27" s="18">
        <v>57062</v>
      </c>
      <c r="I27" s="18">
        <v>111282</v>
      </c>
      <c r="J27" s="18">
        <v>43301</v>
      </c>
      <c r="K27" s="18">
        <v>42058</v>
      </c>
      <c r="L27" s="18">
        <v>11090</v>
      </c>
      <c r="M27" s="18">
        <v>91421</v>
      </c>
      <c r="N27" s="18">
        <v>49191</v>
      </c>
      <c r="O27" s="18">
        <v>58458</v>
      </c>
      <c r="P27" s="18">
        <v>53831</v>
      </c>
      <c r="Q27" s="18">
        <v>204545</v>
      </c>
      <c r="R27" s="18">
        <v>24015</v>
      </c>
      <c r="S27" s="18">
        <v>18198</v>
      </c>
      <c r="T27" s="18">
        <v>185838</v>
      </c>
      <c r="U27" s="18">
        <v>768718</v>
      </c>
      <c r="V27" s="18">
        <v>2085193</v>
      </c>
      <c r="X27" s="29" t="s">
        <v>2</v>
      </c>
      <c r="Y27" s="56">
        <f t="shared" ref="Y27:AR27" si="9">IFERROR(C27/1000,"")</f>
        <v>13.717000000000001</v>
      </c>
      <c r="Z27" s="56">
        <f t="shared" si="9"/>
        <v>87.111999999999995</v>
      </c>
      <c r="AA27" s="56">
        <f t="shared" si="9"/>
        <v>12.148999999999999</v>
      </c>
      <c r="AB27" s="56">
        <f t="shared" si="9"/>
        <v>52.917000000000002</v>
      </c>
      <c r="AC27" s="56">
        <f t="shared" si="9"/>
        <v>200.29</v>
      </c>
      <c r="AD27" s="56">
        <f t="shared" si="9"/>
        <v>57.061999999999998</v>
      </c>
      <c r="AE27" s="56">
        <f t="shared" si="9"/>
        <v>111.282</v>
      </c>
      <c r="AF27" s="56">
        <f t="shared" si="9"/>
        <v>43.301000000000002</v>
      </c>
      <c r="AG27" s="56">
        <f t="shared" si="9"/>
        <v>42.058</v>
      </c>
      <c r="AH27" s="56">
        <f t="shared" si="9"/>
        <v>11.09</v>
      </c>
      <c r="AI27" s="56">
        <f t="shared" si="9"/>
        <v>91.421000000000006</v>
      </c>
      <c r="AJ27" s="56">
        <f t="shared" si="9"/>
        <v>49.191000000000003</v>
      </c>
      <c r="AK27" s="56">
        <f t="shared" si="9"/>
        <v>58.457999999999998</v>
      </c>
      <c r="AL27" s="56">
        <f t="shared" si="9"/>
        <v>53.831000000000003</v>
      </c>
      <c r="AM27" s="56">
        <f t="shared" si="9"/>
        <v>204.54499999999999</v>
      </c>
      <c r="AN27" s="56">
        <f t="shared" si="9"/>
        <v>24.015000000000001</v>
      </c>
      <c r="AO27" s="56">
        <f t="shared" si="9"/>
        <v>18.198</v>
      </c>
      <c r="AP27" s="56">
        <f t="shared" si="9"/>
        <v>185.83799999999999</v>
      </c>
      <c r="AQ27" s="56">
        <f t="shared" si="9"/>
        <v>768.71799999999996</v>
      </c>
      <c r="AR27" s="56">
        <f t="shared" si="9"/>
        <v>2085.1930000000002</v>
      </c>
      <c r="AX27" s="57"/>
      <c r="AY27" s="24"/>
      <c r="AZ27" s="28"/>
      <c r="BA27" s="58"/>
      <c r="BB27" s="58"/>
      <c r="BC27" s="58"/>
      <c r="BD27" s="58"/>
      <c r="BE27" s="58"/>
      <c r="BF27" s="58"/>
      <c r="BG27" s="58"/>
      <c r="BH27" s="58"/>
      <c r="BI27" s="58"/>
      <c r="BJ27" s="58"/>
      <c r="BK27" s="58"/>
      <c r="BL27" s="58"/>
      <c r="BM27" s="58"/>
      <c r="BN27" s="58"/>
      <c r="BO27" s="58"/>
      <c r="BP27" s="58"/>
      <c r="BQ27" s="58"/>
      <c r="BR27" s="58"/>
      <c r="BS27" s="58"/>
      <c r="BT27" s="59"/>
      <c r="BU27" s="59"/>
    </row>
    <row r="28" spans="1:73" ht="12.75" customHeight="1" x14ac:dyDescent="0.25">
      <c r="AR28" s="19"/>
      <c r="AY28" s="24"/>
      <c r="AZ28" s="28"/>
      <c r="BA28" s="25"/>
      <c r="BB28" s="25"/>
      <c r="BC28" s="25"/>
      <c r="BD28" s="25"/>
      <c r="BE28" s="25"/>
      <c r="BF28" s="25"/>
      <c r="BG28" s="25"/>
      <c r="BH28" s="25"/>
      <c r="BI28" s="25"/>
      <c r="BJ28" s="25"/>
      <c r="BK28" s="25"/>
      <c r="BL28" s="25"/>
      <c r="BM28" s="25"/>
      <c r="BN28" s="25"/>
      <c r="BO28" s="25"/>
      <c r="BP28" s="25"/>
      <c r="BQ28" s="25"/>
      <c r="BR28" s="25"/>
      <c r="BS28" s="25"/>
      <c r="BT28" s="24"/>
      <c r="BU28" s="24"/>
    </row>
    <row r="29" spans="1:73" ht="12.75" customHeight="1" x14ac:dyDescent="0.25">
      <c r="AR29" s="19"/>
    </row>
  </sheetData>
  <conditionalFormatting sqref="BA8:BR25">
    <cfRule type="cellIs" dxfId="4" priority="77" operator="greaterThan">
      <formula>20</formula>
    </cfRule>
    <cfRule type="colorScale" priority="78">
      <colorScale>
        <cfvo type="min"/>
        <cfvo type="max"/>
        <color rgb="FFFCFCFF"/>
        <color rgb="FF0070C0"/>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FF742-8D42-4D49-80B6-0DA155A79952}">
  <dimension ref="A1:AS107"/>
  <sheetViews>
    <sheetView topLeftCell="AB1" zoomScale="87" zoomScaleNormal="25" workbookViewId="0">
      <selection activeCell="AK4" sqref="AK4"/>
    </sheetView>
  </sheetViews>
  <sheetFormatPr defaultColWidth="11.54296875" defaultRowHeight="12.75" customHeight="1" x14ac:dyDescent="0.25"/>
  <cols>
    <col min="1" max="15" width="11.7265625" style="1" bestFit="1" customWidth="1"/>
    <col min="16" max="16" width="12.81640625" style="42" bestFit="1" customWidth="1"/>
    <col min="17" max="16384" width="11.54296875" style="1"/>
  </cols>
  <sheetData>
    <row r="1" spans="1:45" ht="13" x14ac:dyDescent="0.3">
      <c r="A1" s="1" t="s">
        <v>238</v>
      </c>
    </row>
    <row r="2" spans="1:45" ht="13" x14ac:dyDescent="0.3">
      <c r="AI2" s="17" t="s">
        <v>202</v>
      </c>
    </row>
    <row r="3" spans="1:45" ht="13" x14ac:dyDescent="0.3">
      <c r="B3" s="1">
        <v>2011</v>
      </c>
      <c r="C3" s="1">
        <v>2012</v>
      </c>
      <c r="D3" s="1">
        <v>2013</v>
      </c>
      <c r="E3" s="1">
        <v>2014</v>
      </c>
      <c r="F3" s="1">
        <v>2015</v>
      </c>
      <c r="G3" s="1">
        <v>2016</v>
      </c>
      <c r="H3" s="1">
        <v>2017</v>
      </c>
      <c r="I3" s="1">
        <v>2018</v>
      </c>
      <c r="J3" s="1">
        <v>2019</v>
      </c>
      <c r="K3" s="1">
        <v>2020</v>
      </c>
      <c r="L3" s="1">
        <v>2021</v>
      </c>
      <c r="M3" s="1">
        <v>2022</v>
      </c>
      <c r="N3" s="1">
        <v>2023</v>
      </c>
      <c r="O3" s="1">
        <v>2024</v>
      </c>
      <c r="P3" s="42" t="s">
        <v>2</v>
      </c>
      <c r="S3" s="93" t="s">
        <v>232</v>
      </c>
      <c r="T3" s="94"/>
      <c r="U3" s="94"/>
      <c r="V3" s="94"/>
      <c r="W3" s="94"/>
      <c r="X3" s="94"/>
      <c r="Y3" s="94"/>
      <c r="Z3" s="94"/>
      <c r="AA3" s="94"/>
      <c r="AB3" s="94"/>
      <c r="AC3" s="94"/>
      <c r="AD3" s="94"/>
      <c r="AE3" s="94"/>
      <c r="AF3" s="94"/>
      <c r="AG3" s="94"/>
      <c r="AJ3" s="5"/>
      <c r="AK3" s="4" t="s">
        <v>199</v>
      </c>
      <c r="AL3" s="4" t="s">
        <v>201</v>
      </c>
      <c r="AM3" s="4" t="s">
        <v>203</v>
      </c>
      <c r="AO3" s="5"/>
      <c r="AP3" s="4" t="s">
        <v>204</v>
      </c>
      <c r="AQ3" s="4" t="s">
        <v>205</v>
      </c>
      <c r="AR3" s="4" t="s">
        <v>203</v>
      </c>
    </row>
    <row r="4" spans="1:45" ht="13" x14ac:dyDescent="0.3">
      <c r="S4" s="94"/>
      <c r="T4" s="103">
        <v>2011</v>
      </c>
      <c r="U4" s="103">
        <v>2012</v>
      </c>
      <c r="V4" s="103">
        <v>2013</v>
      </c>
      <c r="W4" s="103">
        <v>2014</v>
      </c>
      <c r="X4" s="103">
        <v>2015</v>
      </c>
      <c r="Y4" s="103">
        <v>2016</v>
      </c>
      <c r="Z4" s="103">
        <v>2017</v>
      </c>
      <c r="AA4" s="103">
        <v>2018</v>
      </c>
      <c r="AB4" s="103">
        <v>2019</v>
      </c>
      <c r="AC4" s="103">
        <v>2020</v>
      </c>
      <c r="AD4" s="103">
        <v>2021</v>
      </c>
      <c r="AE4" s="103">
        <v>2022</v>
      </c>
      <c r="AF4" s="103">
        <v>2023</v>
      </c>
      <c r="AG4" s="103">
        <v>2024</v>
      </c>
      <c r="AJ4" s="29" t="s">
        <v>146</v>
      </c>
      <c r="AK4" s="63">
        <f>('T_C.3.1'!U8-'T_C.3.1'!T8)/1000</f>
        <v>7.968</v>
      </c>
      <c r="AL4" s="63">
        <f>'T_C.3.1'!T8/1000</f>
        <v>1.895</v>
      </c>
      <c r="AM4" s="75">
        <f>AG86</f>
        <v>72.332999999999998</v>
      </c>
      <c r="AN4" s="11"/>
      <c r="AO4" s="29" t="s">
        <v>146</v>
      </c>
      <c r="AP4" s="8">
        <f>AK4/AM4</f>
        <v>0.1101571896644685</v>
      </c>
      <c r="AQ4" s="8">
        <f>AL4/AM4</f>
        <v>2.6198277411416643E-2</v>
      </c>
      <c r="AR4" s="75"/>
      <c r="AS4" s="35"/>
    </row>
    <row r="5" spans="1:45" ht="12.5" x14ac:dyDescent="0.25">
      <c r="A5" s="1" t="s">
        <v>146</v>
      </c>
      <c r="B5" s="1">
        <v>62732</v>
      </c>
      <c r="C5" s="1">
        <v>61015</v>
      </c>
      <c r="D5" s="1">
        <v>59642</v>
      </c>
      <c r="E5" s="1">
        <v>59749</v>
      </c>
      <c r="F5" s="1">
        <v>59674</v>
      </c>
      <c r="G5" s="1">
        <v>59965</v>
      </c>
      <c r="H5" s="1">
        <v>60392</v>
      </c>
      <c r="I5" s="1">
        <v>62431</v>
      </c>
      <c r="J5" s="1">
        <v>64069</v>
      </c>
      <c r="K5" s="1">
        <v>63691</v>
      </c>
      <c r="L5" s="1">
        <v>64757</v>
      </c>
      <c r="M5" s="1">
        <v>68448</v>
      </c>
      <c r="N5" s="1">
        <v>71711</v>
      </c>
      <c r="O5" s="1">
        <v>73081</v>
      </c>
      <c r="P5" s="42">
        <v>891357</v>
      </c>
      <c r="S5" s="88" t="s">
        <v>146</v>
      </c>
      <c r="T5" s="104">
        <f t="shared" ref="T5:T13" si="0">B5/1000</f>
        <v>62.731999999999999</v>
      </c>
      <c r="U5" s="104">
        <f t="shared" ref="U5:U13" si="1">C5/1000</f>
        <v>61.015000000000001</v>
      </c>
      <c r="V5" s="104">
        <f t="shared" ref="V5:V13" si="2">D5/1000</f>
        <v>59.642000000000003</v>
      </c>
      <c r="W5" s="104">
        <f t="shared" ref="W5:W13" si="3">E5/1000</f>
        <v>59.749000000000002</v>
      </c>
      <c r="X5" s="104">
        <f t="shared" ref="X5:X13" si="4">F5/1000</f>
        <v>59.673999999999999</v>
      </c>
      <c r="Y5" s="104">
        <f t="shared" ref="Y5:Y13" si="5">G5/1000</f>
        <v>59.965000000000003</v>
      </c>
      <c r="Z5" s="104">
        <f t="shared" ref="Z5:Z13" si="6">H5/1000</f>
        <v>60.392000000000003</v>
      </c>
      <c r="AA5" s="104">
        <f t="shared" ref="AA5:AA13" si="7">I5/1000</f>
        <v>62.430999999999997</v>
      </c>
      <c r="AB5" s="104">
        <f t="shared" ref="AB5:AB13" si="8">J5/1000</f>
        <v>64.069000000000003</v>
      </c>
      <c r="AC5" s="104">
        <f t="shared" ref="AC5:AC13" si="9">K5/1000</f>
        <v>63.691000000000003</v>
      </c>
      <c r="AD5" s="104">
        <f t="shared" ref="AD5:AD13" si="10">L5/1000</f>
        <v>64.757000000000005</v>
      </c>
      <c r="AE5" s="104">
        <f t="shared" ref="AE5:AE13" si="11">M5/1000</f>
        <v>68.447999999999993</v>
      </c>
      <c r="AF5" s="104">
        <f t="shared" ref="AF5:AF13" si="12">N5/1000</f>
        <v>71.710999999999999</v>
      </c>
      <c r="AG5" s="104">
        <f t="shared" ref="AG5:AG13" si="13">O5/1000</f>
        <v>73.081000000000003</v>
      </c>
      <c r="AJ5" s="29" t="s">
        <v>147</v>
      </c>
      <c r="AK5" s="63">
        <f>('T_C.3.1'!U9-'T_C.3.1'!T9)/1000</f>
        <v>16.11</v>
      </c>
      <c r="AL5" s="63">
        <f>'T_C.3.1'!T9/1000</f>
        <v>4.7949999999999999</v>
      </c>
      <c r="AM5" s="75">
        <f t="shared" ref="AM5:AM23" si="14">AG87</f>
        <v>156.85599999999999</v>
      </c>
      <c r="AN5" s="11"/>
      <c r="AO5" s="29" t="s">
        <v>147</v>
      </c>
      <c r="AP5" s="8">
        <f t="shared" ref="AP5:AP23" si="15">AK5/AM5</f>
        <v>0.10270566634365277</v>
      </c>
      <c r="AQ5" s="8">
        <f t="shared" ref="AQ5:AQ23" si="16">AL5/AM5</f>
        <v>3.0569439485897895E-2</v>
      </c>
      <c r="AR5" s="75"/>
      <c r="AS5" s="35"/>
    </row>
    <row r="6" spans="1:45" ht="12.5" x14ac:dyDescent="0.25">
      <c r="A6" s="1" t="s">
        <v>147</v>
      </c>
      <c r="B6" s="1">
        <v>117405</v>
      </c>
      <c r="C6" s="1">
        <v>117040</v>
      </c>
      <c r="D6" s="1">
        <v>117470</v>
      </c>
      <c r="E6" s="1">
        <v>118765</v>
      </c>
      <c r="F6" s="1">
        <v>118888</v>
      </c>
      <c r="G6" s="1">
        <v>119593</v>
      </c>
      <c r="H6" s="1">
        <v>121921</v>
      </c>
      <c r="I6" s="1">
        <v>128035</v>
      </c>
      <c r="J6" s="1">
        <v>134233</v>
      </c>
      <c r="K6" s="1">
        <v>135442</v>
      </c>
      <c r="L6" s="1">
        <v>139391</v>
      </c>
      <c r="M6" s="1">
        <v>146249</v>
      </c>
      <c r="N6" s="1">
        <v>153733</v>
      </c>
      <c r="O6" s="1">
        <v>157111</v>
      </c>
      <c r="P6" s="42">
        <v>1825276</v>
      </c>
      <c r="S6" s="88" t="s">
        <v>147</v>
      </c>
      <c r="T6" s="104">
        <f t="shared" si="0"/>
        <v>117.405</v>
      </c>
      <c r="U6" s="104">
        <f t="shared" si="1"/>
        <v>117.04</v>
      </c>
      <c r="V6" s="104">
        <f t="shared" si="2"/>
        <v>117.47</v>
      </c>
      <c r="W6" s="104">
        <f t="shared" si="3"/>
        <v>118.765</v>
      </c>
      <c r="X6" s="104">
        <f t="shared" si="4"/>
        <v>118.88800000000001</v>
      </c>
      <c r="Y6" s="104">
        <f t="shared" si="5"/>
        <v>119.593</v>
      </c>
      <c r="Z6" s="104">
        <f t="shared" si="6"/>
        <v>121.92100000000001</v>
      </c>
      <c r="AA6" s="104">
        <f t="shared" si="7"/>
        <v>128.035</v>
      </c>
      <c r="AB6" s="104">
        <f t="shared" si="8"/>
        <v>134.233</v>
      </c>
      <c r="AC6" s="104">
        <f t="shared" si="9"/>
        <v>135.44200000000001</v>
      </c>
      <c r="AD6" s="104">
        <f t="shared" si="10"/>
        <v>139.39099999999999</v>
      </c>
      <c r="AE6" s="104">
        <f t="shared" si="11"/>
        <v>146.249</v>
      </c>
      <c r="AF6" s="104">
        <f t="shared" si="12"/>
        <v>153.733</v>
      </c>
      <c r="AG6" s="104">
        <f t="shared" si="13"/>
        <v>157.11099999999999</v>
      </c>
      <c r="AJ6" s="29" t="s">
        <v>148</v>
      </c>
      <c r="AK6" s="63">
        <f>('T_C.3.1'!U10-'T_C.3.1'!T10)/1000</f>
        <v>37.527999999999999</v>
      </c>
      <c r="AL6" s="63">
        <f>'T_C.3.1'!T10/1000</f>
        <v>16.216000000000001</v>
      </c>
      <c r="AM6" s="75">
        <f t="shared" si="14"/>
        <v>255.03100000000001</v>
      </c>
      <c r="AN6" s="11"/>
      <c r="AO6" s="29" t="s">
        <v>148</v>
      </c>
      <c r="AP6" s="8">
        <f t="shared" si="15"/>
        <v>0.14715073853766797</v>
      </c>
      <c r="AQ6" s="8">
        <f t="shared" si="16"/>
        <v>6.3584426991228515E-2</v>
      </c>
      <c r="AR6" s="75"/>
      <c r="AS6" s="35"/>
    </row>
    <row r="7" spans="1:45" ht="12.5" x14ac:dyDescent="0.25">
      <c r="A7" s="1" t="s">
        <v>148</v>
      </c>
      <c r="B7" s="1">
        <v>164250</v>
      </c>
      <c r="C7" s="1">
        <v>165654</v>
      </c>
      <c r="D7" s="1">
        <v>163103</v>
      </c>
      <c r="E7" s="1">
        <v>172378</v>
      </c>
      <c r="F7" s="1">
        <v>178940</v>
      </c>
      <c r="G7" s="1">
        <v>189122</v>
      </c>
      <c r="H7" s="1">
        <v>200834</v>
      </c>
      <c r="I7" s="1">
        <v>211811</v>
      </c>
      <c r="J7" s="1">
        <v>220798</v>
      </c>
      <c r="K7" s="1">
        <v>227781</v>
      </c>
      <c r="L7" s="1">
        <v>241593</v>
      </c>
      <c r="M7" s="1">
        <v>258307</v>
      </c>
      <c r="N7" s="1">
        <v>263445</v>
      </c>
      <c r="O7" s="1">
        <v>259207</v>
      </c>
      <c r="P7" s="42">
        <v>2917223</v>
      </c>
      <c r="S7" s="88" t="s">
        <v>148</v>
      </c>
      <c r="T7" s="104">
        <f t="shared" si="0"/>
        <v>164.25</v>
      </c>
      <c r="U7" s="104">
        <f t="shared" si="1"/>
        <v>165.654</v>
      </c>
      <c r="V7" s="104">
        <f t="shared" si="2"/>
        <v>163.10300000000001</v>
      </c>
      <c r="W7" s="104">
        <f t="shared" si="3"/>
        <v>172.37799999999999</v>
      </c>
      <c r="X7" s="104">
        <f t="shared" si="4"/>
        <v>178.94</v>
      </c>
      <c r="Y7" s="104">
        <f t="shared" si="5"/>
        <v>189.12200000000001</v>
      </c>
      <c r="Z7" s="104">
        <f t="shared" si="6"/>
        <v>200.834</v>
      </c>
      <c r="AA7" s="104">
        <f t="shared" si="7"/>
        <v>211.81100000000001</v>
      </c>
      <c r="AB7" s="104">
        <f t="shared" si="8"/>
        <v>220.798</v>
      </c>
      <c r="AC7" s="104">
        <f t="shared" si="9"/>
        <v>227.78100000000001</v>
      </c>
      <c r="AD7" s="104">
        <f t="shared" si="10"/>
        <v>241.59299999999999</v>
      </c>
      <c r="AE7" s="104">
        <f t="shared" si="11"/>
        <v>258.30700000000002</v>
      </c>
      <c r="AF7" s="104">
        <f t="shared" si="12"/>
        <v>263.44499999999999</v>
      </c>
      <c r="AG7" s="104">
        <f t="shared" si="13"/>
        <v>259.20699999999999</v>
      </c>
      <c r="AJ7" s="29" t="s">
        <v>149</v>
      </c>
      <c r="AK7" s="63">
        <f>('T_C.3.1'!U11-'T_C.3.1'!T11)/1000</f>
        <v>16.497</v>
      </c>
      <c r="AL7" s="63">
        <f>'T_C.3.1'!T11/1000</f>
        <v>5.0750000000000002</v>
      </c>
      <c r="AM7" s="75">
        <f t="shared" si="14"/>
        <v>190.56800000000001</v>
      </c>
      <c r="AN7" s="11"/>
      <c r="AO7" s="29" t="s">
        <v>149</v>
      </c>
      <c r="AP7" s="8">
        <f t="shared" si="15"/>
        <v>8.6567524453213543E-2</v>
      </c>
      <c r="AQ7" s="8">
        <f t="shared" si="16"/>
        <v>2.6630913899500439E-2</v>
      </c>
      <c r="AR7" s="75"/>
      <c r="AS7" s="35"/>
    </row>
    <row r="8" spans="1:45" ht="12.5" x14ac:dyDescent="0.25">
      <c r="A8" s="1" t="s">
        <v>149</v>
      </c>
      <c r="B8" s="1">
        <v>178953</v>
      </c>
      <c r="C8" s="1">
        <v>174945</v>
      </c>
      <c r="D8" s="1">
        <v>172245</v>
      </c>
      <c r="E8" s="1">
        <v>169762</v>
      </c>
      <c r="F8" s="1">
        <v>166567</v>
      </c>
      <c r="G8" s="1">
        <v>165031</v>
      </c>
      <c r="H8" s="1">
        <v>165434</v>
      </c>
      <c r="I8" s="1">
        <v>169109</v>
      </c>
      <c r="J8" s="1">
        <v>173714</v>
      </c>
      <c r="K8" s="1">
        <v>176235</v>
      </c>
      <c r="L8" s="1">
        <v>180334</v>
      </c>
      <c r="M8" s="1">
        <v>184397</v>
      </c>
      <c r="N8" s="1">
        <v>187846</v>
      </c>
      <c r="O8" s="1">
        <v>189187</v>
      </c>
      <c r="P8" s="42">
        <v>2453759</v>
      </c>
      <c r="S8" s="88" t="s">
        <v>149</v>
      </c>
      <c r="T8" s="104">
        <f t="shared" si="0"/>
        <v>178.953</v>
      </c>
      <c r="U8" s="104">
        <f t="shared" si="1"/>
        <v>174.94499999999999</v>
      </c>
      <c r="V8" s="104">
        <f t="shared" si="2"/>
        <v>172.245</v>
      </c>
      <c r="W8" s="104">
        <f t="shared" si="3"/>
        <v>169.762</v>
      </c>
      <c r="X8" s="104">
        <f t="shared" si="4"/>
        <v>166.56700000000001</v>
      </c>
      <c r="Y8" s="104">
        <f t="shared" si="5"/>
        <v>165.03100000000001</v>
      </c>
      <c r="Z8" s="104">
        <f t="shared" si="6"/>
        <v>165.434</v>
      </c>
      <c r="AA8" s="104">
        <f t="shared" si="7"/>
        <v>169.10900000000001</v>
      </c>
      <c r="AB8" s="104">
        <f t="shared" si="8"/>
        <v>173.714</v>
      </c>
      <c r="AC8" s="104">
        <f t="shared" si="9"/>
        <v>176.23500000000001</v>
      </c>
      <c r="AD8" s="104">
        <f t="shared" si="10"/>
        <v>180.334</v>
      </c>
      <c r="AE8" s="104">
        <f t="shared" si="11"/>
        <v>184.39699999999999</v>
      </c>
      <c r="AF8" s="104">
        <f t="shared" si="12"/>
        <v>187.846</v>
      </c>
      <c r="AG8" s="104">
        <f t="shared" si="13"/>
        <v>189.18700000000001</v>
      </c>
      <c r="AJ8" s="29" t="s">
        <v>150</v>
      </c>
      <c r="AK8" s="63">
        <f>('T_C.3.1'!U12-'T_C.3.1'!T12)/1000</f>
        <v>21.169</v>
      </c>
      <c r="AL8" s="63">
        <f>'T_C.3.1'!T12/1000</f>
        <v>6.5179999999999998</v>
      </c>
      <c r="AM8" s="75">
        <f t="shared" si="14"/>
        <v>184.911</v>
      </c>
      <c r="AN8" s="11"/>
      <c r="AO8" s="29" t="s">
        <v>150</v>
      </c>
      <c r="AP8" s="8">
        <f t="shared" si="15"/>
        <v>0.11448210220051809</v>
      </c>
      <c r="AQ8" s="8">
        <f t="shared" si="16"/>
        <v>3.5249390247200002E-2</v>
      </c>
      <c r="AR8" s="75"/>
      <c r="AS8" s="35"/>
    </row>
    <row r="9" spans="1:45" ht="12.5" x14ac:dyDescent="0.25">
      <c r="A9" s="1" t="s">
        <v>150</v>
      </c>
      <c r="B9" s="1">
        <v>171705</v>
      </c>
      <c r="C9" s="1">
        <v>168916</v>
      </c>
      <c r="D9" s="1">
        <v>165560</v>
      </c>
      <c r="E9" s="1">
        <v>166202</v>
      </c>
      <c r="F9" s="1">
        <v>168566</v>
      </c>
      <c r="G9" s="1">
        <v>171121</v>
      </c>
      <c r="H9" s="1">
        <v>169805</v>
      </c>
      <c r="I9" s="1">
        <v>171382</v>
      </c>
      <c r="J9" s="1">
        <v>171679</v>
      </c>
      <c r="K9" s="1">
        <v>171760</v>
      </c>
      <c r="L9" s="1">
        <v>176522</v>
      </c>
      <c r="M9" s="1">
        <v>181932</v>
      </c>
      <c r="N9" s="1">
        <v>182905</v>
      </c>
      <c r="O9" s="1">
        <v>183951</v>
      </c>
      <c r="P9" s="42">
        <v>2422006</v>
      </c>
      <c r="S9" s="88" t="s">
        <v>150</v>
      </c>
      <c r="T9" s="104">
        <f t="shared" si="0"/>
        <v>171.70500000000001</v>
      </c>
      <c r="U9" s="104">
        <f t="shared" si="1"/>
        <v>168.916</v>
      </c>
      <c r="V9" s="104">
        <f t="shared" si="2"/>
        <v>165.56</v>
      </c>
      <c r="W9" s="104">
        <f t="shared" si="3"/>
        <v>166.202</v>
      </c>
      <c r="X9" s="104">
        <f t="shared" si="4"/>
        <v>168.566</v>
      </c>
      <c r="Y9" s="104">
        <f t="shared" si="5"/>
        <v>171.12100000000001</v>
      </c>
      <c r="Z9" s="104">
        <f t="shared" si="6"/>
        <v>169.80500000000001</v>
      </c>
      <c r="AA9" s="104">
        <f t="shared" si="7"/>
        <v>171.38200000000001</v>
      </c>
      <c r="AB9" s="104">
        <f t="shared" si="8"/>
        <v>171.679</v>
      </c>
      <c r="AC9" s="104">
        <f t="shared" si="9"/>
        <v>171.76</v>
      </c>
      <c r="AD9" s="104">
        <f t="shared" si="10"/>
        <v>176.52199999999999</v>
      </c>
      <c r="AE9" s="104">
        <f t="shared" si="11"/>
        <v>181.93199999999999</v>
      </c>
      <c r="AF9" s="104">
        <f t="shared" si="12"/>
        <v>182.905</v>
      </c>
      <c r="AG9" s="104">
        <f t="shared" si="13"/>
        <v>183.95099999999999</v>
      </c>
      <c r="AJ9" s="29" t="s">
        <v>151</v>
      </c>
      <c r="AK9" s="63">
        <f>('T_C.3.1'!U13-'T_C.3.1'!T13)/1000</f>
        <v>76.427999999999997</v>
      </c>
      <c r="AL9" s="63">
        <f>'T_C.3.1'!T13/1000</f>
        <v>29.050999999999998</v>
      </c>
      <c r="AM9" s="75">
        <f t="shared" si="14"/>
        <v>572.43299999999999</v>
      </c>
      <c r="AN9" s="11"/>
      <c r="AO9" s="29" t="s">
        <v>151</v>
      </c>
      <c r="AP9" s="8">
        <f t="shared" si="15"/>
        <v>0.13351431521243534</v>
      </c>
      <c r="AQ9" s="8">
        <f t="shared" si="16"/>
        <v>5.0750044109965704E-2</v>
      </c>
      <c r="AR9" s="75"/>
      <c r="AS9" s="35"/>
    </row>
    <row r="10" spans="1:45" ht="12.5" x14ac:dyDescent="0.25">
      <c r="A10" s="1" t="s">
        <v>151</v>
      </c>
      <c r="B10" s="1">
        <v>480276</v>
      </c>
      <c r="C10" s="1">
        <v>484746</v>
      </c>
      <c r="D10" s="1">
        <v>484765</v>
      </c>
      <c r="E10" s="1">
        <v>485378</v>
      </c>
      <c r="F10" s="1">
        <v>479189</v>
      </c>
      <c r="G10" s="1">
        <v>484225</v>
      </c>
      <c r="H10" s="1">
        <v>489989</v>
      </c>
      <c r="I10" s="1">
        <v>507599</v>
      </c>
      <c r="J10" s="1">
        <v>514073</v>
      </c>
      <c r="K10" s="1">
        <v>525096</v>
      </c>
      <c r="L10" s="1">
        <v>535553</v>
      </c>
      <c r="M10" s="1">
        <v>544383</v>
      </c>
      <c r="N10" s="1">
        <v>554634</v>
      </c>
      <c r="O10" s="1">
        <v>557311</v>
      </c>
      <c r="P10" s="42">
        <v>7127217</v>
      </c>
      <c r="S10" s="88" t="s">
        <v>151</v>
      </c>
      <c r="T10" s="104">
        <f t="shared" si="0"/>
        <v>480.27600000000001</v>
      </c>
      <c r="U10" s="104">
        <f t="shared" si="1"/>
        <v>484.74599999999998</v>
      </c>
      <c r="V10" s="104">
        <f t="shared" si="2"/>
        <v>484.76499999999999</v>
      </c>
      <c r="W10" s="104">
        <f t="shared" si="3"/>
        <v>485.37799999999999</v>
      </c>
      <c r="X10" s="104">
        <f t="shared" si="4"/>
        <v>479.18900000000002</v>
      </c>
      <c r="Y10" s="104">
        <f t="shared" si="5"/>
        <v>484.22500000000002</v>
      </c>
      <c r="Z10" s="104">
        <f t="shared" si="6"/>
        <v>489.98899999999998</v>
      </c>
      <c r="AA10" s="104">
        <f t="shared" si="7"/>
        <v>507.59899999999999</v>
      </c>
      <c r="AB10" s="104">
        <f t="shared" si="8"/>
        <v>514.07299999999998</v>
      </c>
      <c r="AC10" s="104">
        <f t="shared" si="9"/>
        <v>525.096</v>
      </c>
      <c r="AD10" s="104">
        <f t="shared" si="10"/>
        <v>535.553</v>
      </c>
      <c r="AE10" s="104">
        <f t="shared" si="11"/>
        <v>544.38300000000004</v>
      </c>
      <c r="AF10" s="104">
        <f t="shared" si="12"/>
        <v>554.63400000000001</v>
      </c>
      <c r="AG10" s="104">
        <f t="shared" si="13"/>
        <v>557.31100000000004</v>
      </c>
      <c r="AJ10" s="29" t="s">
        <v>153</v>
      </c>
      <c r="AK10" s="63">
        <f>('T_C.3.1'!U14-'T_C.3.1'!T14)/1000</f>
        <v>70.546999999999997</v>
      </c>
      <c r="AL10" s="63">
        <f>'T_C.3.1'!T14/1000</f>
        <v>31.431000000000001</v>
      </c>
      <c r="AM10" s="75">
        <f t="shared" si="14"/>
        <v>529.09900000000005</v>
      </c>
      <c r="AN10" s="11"/>
      <c r="AO10" s="29" t="s">
        <v>153</v>
      </c>
      <c r="AP10" s="8">
        <f t="shared" si="15"/>
        <v>0.1333342153358823</v>
      </c>
      <c r="AQ10" s="8">
        <f t="shared" si="16"/>
        <v>5.9404761679761248E-2</v>
      </c>
      <c r="AR10" s="75"/>
      <c r="AS10" s="35"/>
    </row>
    <row r="11" spans="1:45" ht="12.5" x14ac:dyDescent="0.25">
      <c r="A11" s="1" t="s">
        <v>153</v>
      </c>
      <c r="B11" s="1">
        <v>424100</v>
      </c>
      <c r="C11" s="1">
        <v>430080</v>
      </c>
      <c r="D11" s="1">
        <v>429619</v>
      </c>
      <c r="E11" s="1">
        <v>420723</v>
      </c>
      <c r="F11" s="1">
        <v>422714</v>
      </c>
      <c r="G11" s="1">
        <v>421207</v>
      </c>
      <c r="H11" s="1">
        <v>424311</v>
      </c>
      <c r="I11" s="1">
        <v>444083</v>
      </c>
      <c r="J11" s="1">
        <v>470180</v>
      </c>
      <c r="K11" s="1">
        <v>502862</v>
      </c>
      <c r="L11" s="1">
        <v>514207</v>
      </c>
      <c r="M11" s="1">
        <v>514216</v>
      </c>
      <c r="N11" s="1">
        <v>518519</v>
      </c>
      <c r="O11" s="1">
        <v>516190</v>
      </c>
      <c r="P11" s="42">
        <v>6453011</v>
      </c>
      <c r="S11" s="88" t="s">
        <v>153</v>
      </c>
      <c r="T11" s="104">
        <f t="shared" si="0"/>
        <v>424.1</v>
      </c>
      <c r="U11" s="104">
        <f t="shared" si="1"/>
        <v>430.08</v>
      </c>
      <c r="V11" s="104">
        <f t="shared" si="2"/>
        <v>429.61900000000003</v>
      </c>
      <c r="W11" s="104">
        <f t="shared" si="3"/>
        <v>420.72300000000001</v>
      </c>
      <c r="X11" s="104">
        <f t="shared" si="4"/>
        <v>422.714</v>
      </c>
      <c r="Y11" s="104">
        <f t="shared" si="5"/>
        <v>421.20699999999999</v>
      </c>
      <c r="Z11" s="104">
        <f t="shared" si="6"/>
        <v>424.31099999999998</v>
      </c>
      <c r="AA11" s="104">
        <f t="shared" si="7"/>
        <v>444.08300000000003</v>
      </c>
      <c r="AB11" s="104">
        <f t="shared" si="8"/>
        <v>470.18</v>
      </c>
      <c r="AC11" s="104">
        <f t="shared" si="9"/>
        <v>502.86200000000002</v>
      </c>
      <c r="AD11" s="104">
        <f t="shared" si="10"/>
        <v>514.20699999999999</v>
      </c>
      <c r="AE11" s="104">
        <f t="shared" si="11"/>
        <v>514.21600000000001</v>
      </c>
      <c r="AF11" s="104">
        <f t="shared" si="12"/>
        <v>518.51900000000001</v>
      </c>
      <c r="AG11" s="104">
        <f t="shared" si="13"/>
        <v>516.19000000000005</v>
      </c>
      <c r="AJ11" s="29" t="s">
        <v>152</v>
      </c>
      <c r="AK11" s="63">
        <f>('T_C.3.1'!U15-'T_C.3.1'!T15)/1000</f>
        <v>28.696000000000002</v>
      </c>
      <c r="AL11" s="63">
        <f>'T_C.3.1'!T15/1000</f>
        <v>13.763999999999999</v>
      </c>
      <c r="AM11" s="75">
        <f t="shared" si="14"/>
        <v>164.25899999999999</v>
      </c>
      <c r="AN11" s="11"/>
      <c r="AO11" s="29" t="s">
        <v>152</v>
      </c>
      <c r="AP11" s="8">
        <f t="shared" si="15"/>
        <v>0.17469971204013177</v>
      </c>
      <c r="AQ11" s="8">
        <f t="shared" si="16"/>
        <v>8.3794495278797509E-2</v>
      </c>
      <c r="AR11" s="75"/>
      <c r="AS11" s="35"/>
    </row>
    <row r="12" spans="1:45" ht="12.5" x14ac:dyDescent="0.25">
      <c r="A12" s="1" t="s">
        <v>152</v>
      </c>
      <c r="B12" s="1">
        <v>176014</v>
      </c>
      <c r="C12" s="1">
        <v>180561</v>
      </c>
      <c r="D12" s="1">
        <v>175433</v>
      </c>
      <c r="E12" s="1">
        <v>161910</v>
      </c>
      <c r="F12" s="1">
        <v>143376</v>
      </c>
      <c r="G12" s="1">
        <v>137551</v>
      </c>
      <c r="H12" s="1">
        <v>148899</v>
      </c>
      <c r="I12" s="1">
        <v>143375</v>
      </c>
      <c r="J12" s="1">
        <v>147987</v>
      </c>
      <c r="K12" s="1">
        <v>136518</v>
      </c>
      <c r="L12" s="1">
        <v>139508</v>
      </c>
      <c r="M12" s="1">
        <v>139078</v>
      </c>
      <c r="N12" s="1">
        <v>138201</v>
      </c>
      <c r="O12" s="1">
        <v>160708</v>
      </c>
      <c r="P12" s="42">
        <v>2129119</v>
      </c>
      <c r="S12" s="88" t="s">
        <v>152</v>
      </c>
      <c r="T12" s="104">
        <f t="shared" si="0"/>
        <v>176.01400000000001</v>
      </c>
      <c r="U12" s="104">
        <f t="shared" si="1"/>
        <v>180.56100000000001</v>
      </c>
      <c r="V12" s="104">
        <f t="shared" si="2"/>
        <v>175.43299999999999</v>
      </c>
      <c r="W12" s="104">
        <f t="shared" si="3"/>
        <v>161.91</v>
      </c>
      <c r="X12" s="104">
        <f t="shared" si="4"/>
        <v>143.376</v>
      </c>
      <c r="Y12" s="104">
        <f t="shared" si="5"/>
        <v>137.55099999999999</v>
      </c>
      <c r="Z12" s="104">
        <f t="shared" si="6"/>
        <v>148.899</v>
      </c>
      <c r="AA12" s="104">
        <f t="shared" si="7"/>
        <v>143.375</v>
      </c>
      <c r="AB12" s="104">
        <f t="shared" si="8"/>
        <v>147.98699999999999</v>
      </c>
      <c r="AC12" s="104">
        <f t="shared" si="9"/>
        <v>136.518</v>
      </c>
      <c r="AD12" s="104">
        <f t="shared" si="10"/>
        <v>139.50800000000001</v>
      </c>
      <c r="AE12" s="104">
        <f t="shared" si="11"/>
        <v>139.078</v>
      </c>
      <c r="AF12" s="104">
        <f t="shared" si="12"/>
        <v>138.20099999999999</v>
      </c>
      <c r="AG12" s="104">
        <f t="shared" si="13"/>
        <v>160.708</v>
      </c>
      <c r="AJ12" s="29" t="s">
        <v>154</v>
      </c>
      <c r="AK12" s="63">
        <f>('T_C.3.1'!U16-'T_C.3.1'!T16)/1000</f>
        <v>19.571000000000002</v>
      </c>
      <c r="AL12" s="63">
        <f>'T_C.3.1'!T16/1000</f>
        <v>7.4080000000000004</v>
      </c>
      <c r="AM12" s="75">
        <f t="shared" si="14"/>
        <v>124.095</v>
      </c>
      <c r="AN12" s="11"/>
      <c r="AO12" s="29" t="s">
        <v>154</v>
      </c>
      <c r="AP12" s="8">
        <f t="shared" si="15"/>
        <v>0.15770981909021314</v>
      </c>
      <c r="AQ12" s="8">
        <f t="shared" si="16"/>
        <v>5.9696200491558889E-2</v>
      </c>
      <c r="AR12" s="75"/>
      <c r="AS12" s="35"/>
    </row>
    <row r="13" spans="1:45" ht="12.5" x14ac:dyDescent="0.25">
      <c r="A13" s="1" t="s">
        <v>154</v>
      </c>
      <c r="B13" s="1">
        <v>96785</v>
      </c>
      <c r="C13" s="1">
        <v>89344</v>
      </c>
      <c r="D13" s="1">
        <v>79984</v>
      </c>
      <c r="E13" s="1">
        <v>75275</v>
      </c>
      <c r="F13" s="1">
        <v>74089</v>
      </c>
      <c r="G13" s="1">
        <v>76995</v>
      </c>
      <c r="H13" s="1">
        <v>82095</v>
      </c>
      <c r="I13" s="1">
        <v>88173</v>
      </c>
      <c r="J13" s="1">
        <v>95506</v>
      </c>
      <c r="K13" s="1">
        <v>99782</v>
      </c>
      <c r="L13" s="1">
        <v>103036</v>
      </c>
      <c r="M13" s="1">
        <v>110502</v>
      </c>
      <c r="N13" s="1">
        <v>117154</v>
      </c>
      <c r="O13" s="1">
        <v>119247</v>
      </c>
      <c r="P13" s="42">
        <v>1307967</v>
      </c>
      <c r="S13" s="88" t="s">
        <v>154</v>
      </c>
      <c r="T13" s="104">
        <f t="shared" si="0"/>
        <v>96.784999999999997</v>
      </c>
      <c r="U13" s="104">
        <f t="shared" si="1"/>
        <v>89.343999999999994</v>
      </c>
      <c r="V13" s="104">
        <f t="shared" si="2"/>
        <v>79.983999999999995</v>
      </c>
      <c r="W13" s="104">
        <f t="shared" si="3"/>
        <v>75.275000000000006</v>
      </c>
      <c r="X13" s="104">
        <f t="shared" si="4"/>
        <v>74.088999999999999</v>
      </c>
      <c r="Y13" s="104">
        <f t="shared" si="5"/>
        <v>76.995000000000005</v>
      </c>
      <c r="Z13" s="104">
        <f t="shared" si="6"/>
        <v>82.094999999999999</v>
      </c>
      <c r="AA13" s="104">
        <f t="shared" si="7"/>
        <v>88.173000000000002</v>
      </c>
      <c r="AB13" s="104">
        <f t="shared" si="8"/>
        <v>95.506</v>
      </c>
      <c r="AC13" s="104">
        <f t="shared" si="9"/>
        <v>99.781999999999996</v>
      </c>
      <c r="AD13" s="104">
        <f t="shared" si="10"/>
        <v>103.036</v>
      </c>
      <c r="AE13" s="104">
        <f t="shared" si="11"/>
        <v>110.502</v>
      </c>
      <c r="AF13" s="104">
        <f t="shared" si="12"/>
        <v>117.154</v>
      </c>
      <c r="AG13" s="104">
        <f t="shared" si="13"/>
        <v>119.247</v>
      </c>
      <c r="AJ13" s="29"/>
      <c r="AK13" s="63"/>
      <c r="AL13" s="63"/>
      <c r="AM13" s="75"/>
      <c r="AN13" s="11"/>
      <c r="AO13" s="29"/>
      <c r="AP13" s="8"/>
      <c r="AQ13" s="8"/>
      <c r="AR13" s="75"/>
      <c r="AS13" s="35"/>
    </row>
    <row r="14" spans="1:45" ht="12.5" x14ac:dyDescent="0.25">
      <c r="S14" s="88"/>
      <c r="T14" s="104"/>
      <c r="U14" s="104"/>
      <c r="V14" s="104"/>
      <c r="W14" s="104"/>
      <c r="X14" s="104"/>
      <c r="Y14" s="104"/>
      <c r="Z14" s="104"/>
      <c r="AA14" s="104"/>
      <c r="AB14" s="104"/>
      <c r="AC14" s="104"/>
      <c r="AD14" s="104"/>
      <c r="AE14" s="104"/>
      <c r="AF14" s="104"/>
      <c r="AG14" s="104"/>
      <c r="AJ14" s="29"/>
      <c r="AK14" s="63"/>
      <c r="AL14" s="63"/>
      <c r="AM14" s="75"/>
      <c r="AN14" s="11"/>
      <c r="AO14" s="29"/>
      <c r="AP14" s="8"/>
      <c r="AQ14" s="8"/>
      <c r="AR14" s="75"/>
      <c r="AS14" s="35"/>
    </row>
    <row r="15" spans="1:45" ht="12.5" x14ac:dyDescent="0.25">
      <c r="S15" s="88"/>
      <c r="T15" s="104"/>
      <c r="U15" s="104"/>
      <c r="V15" s="104"/>
      <c r="W15" s="104"/>
      <c r="X15" s="104"/>
      <c r="Y15" s="104"/>
      <c r="Z15" s="104"/>
      <c r="AA15" s="104"/>
      <c r="AB15" s="104"/>
      <c r="AC15" s="104"/>
      <c r="AD15" s="104"/>
      <c r="AE15" s="104"/>
      <c r="AF15" s="104"/>
      <c r="AG15" s="104"/>
      <c r="AJ15" s="29"/>
      <c r="AK15" s="63"/>
      <c r="AL15" s="63"/>
      <c r="AM15" s="75"/>
      <c r="AN15" s="11"/>
      <c r="AO15" s="29"/>
      <c r="AP15" s="8"/>
      <c r="AQ15" s="8"/>
      <c r="AR15" s="75"/>
      <c r="AS15" s="35"/>
    </row>
    <row r="16" spans="1:45" ht="12.5" x14ac:dyDescent="0.25">
      <c r="S16" s="88"/>
      <c r="T16" s="104"/>
      <c r="U16" s="104"/>
      <c r="V16" s="104"/>
      <c r="W16" s="104"/>
      <c r="X16" s="104"/>
      <c r="Y16" s="104"/>
      <c r="Z16" s="104"/>
      <c r="AA16" s="104"/>
      <c r="AB16" s="104"/>
      <c r="AC16" s="104"/>
      <c r="AD16" s="104"/>
      <c r="AE16" s="104"/>
      <c r="AF16" s="104"/>
      <c r="AG16" s="104"/>
      <c r="AJ16" s="29"/>
      <c r="AK16" s="63"/>
      <c r="AL16" s="63"/>
      <c r="AM16" s="75"/>
      <c r="AN16" s="11"/>
      <c r="AO16" s="29"/>
      <c r="AP16" s="8"/>
      <c r="AQ16" s="8"/>
      <c r="AR16" s="75"/>
      <c r="AS16" s="35"/>
    </row>
    <row r="17" spans="1:45" ht="12.5" x14ac:dyDescent="0.25">
      <c r="S17" s="88"/>
      <c r="T17" s="104"/>
      <c r="U17" s="104"/>
      <c r="V17" s="104"/>
      <c r="W17" s="104"/>
      <c r="X17" s="104"/>
      <c r="Y17" s="104"/>
      <c r="Z17" s="104"/>
      <c r="AA17" s="104"/>
      <c r="AB17" s="104"/>
      <c r="AC17" s="104"/>
      <c r="AD17" s="104"/>
      <c r="AE17" s="104"/>
      <c r="AF17" s="104"/>
      <c r="AG17" s="104"/>
      <c r="AJ17" s="29"/>
      <c r="AK17" s="63"/>
      <c r="AL17" s="63"/>
      <c r="AM17" s="75"/>
      <c r="AN17" s="11"/>
      <c r="AO17" s="29"/>
      <c r="AP17" s="8"/>
      <c r="AQ17" s="8"/>
      <c r="AR17" s="75"/>
      <c r="AS17" s="35"/>
    </row>
    <row r="18" spans="1:45" ht="12.5" x14ac:dyDescent="0.25">
      <c r="S18" s="88"/>
      <c r="T18" s="104"/>
      <c r="U18" s="104"/>
      <c r="V18" s="104"/>
      <c r="W18" s="104"/>
      <c r="X18" s="104"/>
      <c r="Y18" s="104"/>
      <c r="Z18" s="104"/>
      <c r="AA18" s="104"/>
      <c r="AB18" s="104"/>
      <c r="AC18" s="104"/>
      <c r="AD18" s="104"/>
      <c r="AE18" s="104"/>
      <c r="AF18" s="104"/>
      <c r="AG18" s="104"/>
      <c r="AJ18" s="29"/>
      <c r="AK18" s="63"/>
      <c r="AL18" s="63"/>
      <c r="AM18" s="75"/>
      <c r="AN18" s="11"/>
      <c r="AO18" s="29"/>
      <c r="AP18" s="8"/>
      <c r="AQ18" s="8"/>
      <c r="AR18" s="75"/>
      <c r="AS18" s="35"/>
    </row>
    <row r="19" spans="1:45" ht="12.5" x14ac:dyDescent="0.25">
      <c r="S19" s="88"/>
      <c r="T19" s="104"/>
      <c r="U19" s="104"/>
      <c r="V19" s="104"/>
      <c r="W19" s="104"/>
      <c r="X19" s="104"/>
      <c r="Y19" s="104"/>
      <c r="Z19" s="104"/>
      <c r="AA19" s="104"/>
      <c r="AB19" s="104"/>
      <c r="AC19" s="104"/>
      <c r="AD19" s="104"/>
      <c r="AE19" s="104"/>
      <c r="AF19" s="104"/>
      <c r="AG19" s="104"/>
      <c r="AJ19" s="29"/>
      <c r="AK19" s="63"/>
      <c r="AL19" s="63"/>
      <c r="AM19" s="75"/>
      <c r="AN19" s="11"/>
      <c r="AO19" s="29"/>
      <c r="AP19" s="8"/>
      <c r="AQ19" s="8"/>
      <c r="AR19" s="75"/>
      <c r="AS19" s="35"/>
    </row>
    <row r="20" spans="1:45" ht="12.5" x14ac:dyDescent="0.25">
      <c r="S20" s="88"/>
      <c r="T20" s="104"/>
      <c r="U20" s="104"/>
      <c r="V20" s="104"/>
      <c r="W20" s="104"/>
      <c r="X20" s="104"/>
      <c r="Y20" s="104"/>
      <c r="Z20" s="104"/>
      <c r="AA20" s="104"/>
      <c r="AB20" s="104"/>
      <c r="AC20" s="104"/>
      <c r="AD20" s="104"/>
      <c r="AE20" s="104"/>
      <c r="AF20" s="104"/>
      <c r="AG20" s="104"/>
      <c r="AJ20" s="29"/>
      <c r="AK20" s="63"/>
      <c r="AL20" s="63"/>
      <c r="AM20" s="75"/>
      <c r="AN20" s="11"/>
      <c r="AO20" s="29"/>
      <c r="AP20" s="8"/>
      <c r="AQ20" s="8"/>
      <c r="AR20" s="75"/>
      <c r="AS20" s="35"/>
    </row>
    <row r="21" spans="1:45" ht="12.5" x14ac:dyDescent="0.25">
      <c r="S21" s="88"/>
      <c r="T21" s="104"/>
      <c r="U21" s="104"/>
      <c r="V21" s="104"/>
      <c r="W21" s="104"/>
      <c r="X21" s="104"/>
      <c r="Y21" s="104"/>
      <c r="Z21" s="104"/>
      <c r="AA21" s="104"/>
      <c r="AB21" s="104"/>
      <c r="AC21" s="104"/>
      <c r="AD21" s="104"/>
      <c r="AE21" s="104"/>
      <c r="AF21" s="104"/>
      <c r="AG21" s="104"/>
      <c r="AJ21" s="29"/>
      <c r="AK21" s="63"/>
      <c r="AL21" s="63"/>
      <c r="AM21" s="75"/>
      <c r="AN21" s="11"/>
      <c r="AO21" s="29"/>
      <c r="AP21" s="8"/>
      <c r="AQ21" s="8"/>
      <c r="AR21" s="75"/>
      <c r="AS21" s="35"/>
    </row>
    <row r="22" spans="1:45" ht="12.5" x14ac:dyDescent="0.25">
      <c r="S22" s="88"/>
      <c r="T22" s="104"/>
      <c r="U22" s="104"/>
      <c r="V22" s="104"/>
      <c r="W22" s="104"/>
      <c r="X22" s="104"/>
      <c r="Y22" s="104"/>
      <c r="Z22" s="104"/>
      <c r="AA22" s="104"/>
      <c r="AB22" s="104"/>
      <c r="AC22" s="104"/>
      <c r="AD22" s="104"/>
      <c r="AE22" s="104"/>
      <c r="AF22" s="104"/>
      <c r="AG22" s="104"/>
      <c r="AJ22" s="29"/>
      <c r="AK22" s="63"/>
      <c r="AL22" s="63"/>
      <c r="AM22" s="75"/>
      <c r="AN22" s="11"/>
      <c r="AO22" s="29"/>
      <c r="AP22" s="8"/>
      <c r="AQ22" s="8"/>
      <c r="AR22" s="75"/>
      <c r="AS22" s="35"/>
    </row>
    <row r="23" spans="1:45" ht="12.5" x14ac:dyDescent="0.25">
      <c r="S23" s="88"/>
      <c r="T23" s="104"/>
      <c r="U23" s="104"/>
      <c r="V23" s="104"/>
      <c r="W23" s="104"/>
      <c r="X23" s="104"/>
      <c r="Y23" s="104"/>
      <c r="Z23" s="104"/>
      <c r="AA23" s="104"/>
      <c r="AB23" s="104"/>
      <c r="AC23" s="104"/>
      <c r="AD23" s="104"/>
      <c r="AE23" s="104"/>
      <c r="AF23" s="104"/>
      <c r="AG23" s="104"/>
      <c r="AJ23" s="29" t="s">
        <v>212</v>
      </c>
      <c r="AK23" s="63">
        <f>('T_B.3.1'!V27-'T_B.3.1'!U27)/1000</f>
        <v>1316.4749999999999</v>
      </c>
      <c r="AL23" s="63">
        <f>'T_B.3.1'!U27/1000</f>
        <v>704.34699999999998</v>
      </c>
      <c r="AM23" s="75">
        <f t="shared" si="14"/>
        <v>8197.42</v>
      </c>
      <c r="AN23" s="11"/>
      <c r="AO23" s="29" t="s">
        <v>212</v>
      </c>
      <c r="AP23" s="8">
        <f t="shared" si="15"/>
        <v>0.16059626077473155</v>
      </c>
      <c r="AQ23" s="8">
        <f t="shared" si="16"/>
        <v>8.5923009922634186E-2</v>
      </c>
      <c r="AR23" s="75"/>
      <c r="AS23" s="69"/>
    </row>
    <row r="24" spans="1:45" ht="12.5" x14ac:dyDescent="0.25">
      <c r="S24" s="88" t="s">
        <v>212</v>
      </c>
      <c r="T24" s="104">
        <f t="shared" ref="T24:AG24" si="17">B26/1000</f>
        <v>7092.3590000000004</v>
      </c>
      <c r="U24" s="104">
        <f t="shared" si="17"/>
        <v>7019.0720000000001</v>
      </c>
      <c r="V24" s="104">
        <f t="shared" si="17"/>
        <v>6908.9650000000001</v>
      </c>
      <c r="W24" s="104">
        <f t="shared" si="17"/>
        <v>6893.5439999999999</v>
      </c>
      <c r="X24" s="104">
        <f t="shared" si="17"/>
        <v>6953.9610000000002</v>
      </c>
      <c r="Y24" s="104">
        <f t="shared" si="17"/>
        <v>7074.5349999999999</v>
      </c>
      <c r="Z24" s="104">
        <f t="shared" si="17"/>
        <v>7255.8760000000002</v>
      </c>
      <c r="AA24" s="104">
        <f t="shared" si="17"/>
        <v>7670.4369999999999</v>
      </c>
      <c r="AB24" s="104">
        <f t="shared" si="17"/>
        <v>7765.9269999999997</v>
      </c>
      <c r="AC24" s="104">
        <f t="shared" si="17"/>
        <v>7666.0649999999996</v>
      </c>
      <c r="AD24" s="104">
        <f t="shared" si="17"/>
        <v>7938.2849999999999</v>
      </c>
      <c r="AE24" s="104">
        <f t="shared" si="17"/>
        <v>8143.8370000000004</v>
      </c>
      <c r="AF24" s="104">
        <f t="shared" si="17"/>
        <v>8219.2150000000001</v>
      </c>
      <c r="AG24" s="104">
        <f t="shared" si="17"/>
        <v>8261.7909999999993</v>
      </c>
      <c r="AJ24" s="5"/>
      <c r="AK24" s="39"/>
      <c r="AL24" s="39"/>
      <c r="AM24" s="5"/>
      <c r="AO24" s="5"/>
      <c r="AP24" s="113"/>
      <c r="AQ24" s="113"/>
      <c r="AR24" s="5"/>
      <c r="AS24" s="35"/>
    </row>
    <row r="25" spans="1:45" ht="12.5" x14ac:dyDescent="0.25">
      <c r="AJ25" s="5"/>
      <c r="AK25" s="8"/>
      <c r="AL25" s="8"/>
      <c r="AM25" s="5"/>
      <c r="AO25" s="5"/>
      <c r="AP25" s="8"/>
      <c r="AQ25" s="8"/>
      <c r="AR25" s="5"/>
    </row>
    <row r="26" spans="1:45" ht="12.5" x14ac:dyDescent="0.25">
      <c r="A26" s="60" t="s">
        <v>212</v>
      </c>
      <c r="B26" s="1">
        <v>7092359</v>
      </c>
      <c r="C26" s="1">
        <v>7019072</v>
      </c>
      <c r="D26" s="1">
        <v>6908965</v>
      </c>
      <c r="E26" s="1">
        <v>6893544</v>
      </c>
      <c r="F26" s="1">
        <v>6953961</v>
      </c>
      <c r="G26" s="1">
        <v>7074535</v>
      </c>
      <c r="H26" s="1">
        <v>7255876</v>
      </c>
      <c r="I26" s="1">
        <v>7670437</v>
      </c>
      <c r="J26" s="1">
        <v>7765927</v>
      </c>
      <c r="K26" s="1">
        <v>7666065</v>
      </c>
      <c r="L26" s="1">
        <v>7938285</v>
      </c>
      <c r="M26" s="1">
        <v>8143837</v>
      </c>
      <c r="N26" s="1">
        <v>8219215</v>
      </c>
      <c r="O26" s="1">
        <v>8261791</v>
      </c>
      <c r="P26" s="42">
        <v>104863869</v>
      </c>
    </row>
    <row r="28" spans="1:45" ht="13" x14ac:dyDescent="0.3">
      <c r="A28" s="1" t="s">
        <v>169</v>
      </c>
    </row>
    <row r="29" spans="1:45" ht="13" x14ac:dyDescent="0.3">
      <c r="AI29" s="17" t="s">
        <v>216</v>
      </c>
    </row>
    <row r="30" spans="1:45" ht="13" x14ac:dyDescent="0.3">
      <c r="B30" s="1">
        <v>2011</v>
      </c>
      <c r="C30" s="1">
        <v>2012</v>
      </c>
      <c r="D30" s="1">
        <v>2013</v>
      </c>
      <c r="E30" s="1">
        <v>2014</v>
      </c>
      <c r="F30" s="1">
        <v>2015</v>
      </c>
      <c r="G30" s="1">
        <v>2016</v>
      </c>
      <c r="H30" s="1">
        <v>2017</v>
      </c>
      <c r="I30" s="1">
        <v>2018</v>
      </c>
      <c r="J30" s="1">
        <v>2019</v>
      </c>
      <c r="K30" s="1">
        <v>2020</v>
      </c>
      <c r="L30" s="1">
        <v>2021</v>
      </c>
      <c r="M30" s="1">
        <v>2022</v>
      </c>
      <c r="N30" s="1">
        <v>2023</v>
      </c>
      <c r="O30" s="1">
        <v>2024</v>
      </c>
      <c r="P30" s="42" t="s">
        <v>2</v>
      </c>
      <c r="S30" s="93" t="s">
        <v>233</v>
      </c>
      <c r="T30" s="94"/>
      <c r="U30" s="94"/>
      <c r="V30" s="94"/>
      <c r="W30" s="94"/>
      <c r="X30" s="94"/>
      <c r="Y30" s="94"/>
      <c r="Z30" s="94"/>
      <c r="AA30" s="94"/>
      <c r="AB30" s="94"/>
      <c r="AC30" s="94"/>
      <c r="AD30" s="94"/>
      <c r="AE30" s="94"/>
      <c r="AF30" s="94"/>
      <c r="AG30" s="94"/>
      <c r="AJ30" s="5"/>
      <c r="AK30" s="4" t="s">
        <v>207</v>
      </c>
      <c r="AL30" s="4" t="s">
        <v>208</v>
      </c>
      <c r="AM30" s="4" t="s">
        <v>206</v>
      </c>
      <c r="AO30" s="5"/>
      <c r="AP30" s="4" t="s">
        <v>207</v>
      </c>
      <c r="AQ30" s="4" t="s">
        <v>208</v>
      </c>
      <c r="AR30" s="4" t="s">
        <v>203</v>
      </c>
    </row>
    <row r="31" spans="1:45" ht="13" x14ac:dyDescent="0.3">
      <c r="S31" s="94"/>
      <c r="T31" s="103">
        <v>2011</v>
      </c>
      <c r="U31" s="103">
        <v>2012</v>
      </c>
      <c r="V31" s="103">
        <v>2013</v>
      </c>
      <c r="W31" s="103">
        <v>2014</v>
      </c>
      <c r="X31" s="103">
        <v>2015</v>
      </c>
      <c r="Y31" s="103">
        <v>2016</v>
      </c>
      <c r="Z31" s="103">
        <v>2017</v>
      </c>
      <c r="AA31" s="103">
        <v>2018</v>
      </c>
      <c r="AB31" s="103">
        <v>2019</v>
      </c>
      <c r="AC31" s="103">
        <v>2020</v>
      </c>
      <c r="AD31" s="103">
        <v>2021</v>
      </c>
      <c r="AE31" s="103">
        <v>2022</v>
      </c>
      <c r="AF31" s="103">
        <v>2023</v>
      </c>
      <c r="AG31" s="103">
        <v>2024</v>
      </c>
      <c r="AJ31" s="29" t="s">
        <v>146</v>
      </c>
      <c r="AK31" s="63">
        <f>AG32</f>
        <v>6.5789999999999997</v>
      </c>
      <c r="AL31" s="63">
        <f>AG59</f>
        <v>4.2279999999999998</v>
      </c>
      <c r="AM31" s="75">
        <f>AG5</f>
        <v>73.081000000000003</v>
      </c>
      <c r="AO31" s="29" t="s">
        <v>146</v>
      </c>
      <c r="AP31" s="8">
        <f>AK31/AM31</f>
        <v>9.0023398694599133E-2</v>
      </c>
      <c r="AQ31" s="8">
        <f>AL31/AM31</f>
        <v>5.7853614482560441E-2</v>
      </c>
      <c r="AR31" s="75"/>
    </row>
    <row r="32" spans="1:45" ht="12.5" x14ac:dyDescent="0.25">
      <c r="A32" s="1" t="s">
        <v>146</v>
      </c>
      <c r="B32" s="1">
        <v>8626</v>
      </c>
      <c r="C32" s="1">
        <v>6947</v>
      </c>
      <c r="D32" s="1">
        <v>6111</v>
      </c>
      <c r="E32" s="1">
        <v>6367</v>
      </c>
      <c r="F32" s="1">
        <v>5644</v>
      </c>
      <c r="G32" s="1">
        <v>5103</v>
      </c>
      <c r="H32" s="1">
        <v>5016</v>
      </c>
      <c r="I32" s="1">
        <v>4396</v>
      </c>
      <c r="J32" s="1">
        <v>4503</v>
      </c>
      <c r="K32" s="1">
        <v>5589</v>
      </c>
      <c r="L32" s="1">
        <v>5464</v>
      </c>
      <c r="M32" s="1">
        <v>6826</v>
      </c>
      <c r="N32" s="1">
        <v>5471</v>
      </c>
      <c r="O32" s="1">
        <v>6579</v>
      </c>
      <c r="P32" s="42">
        <v>82642</v>
      </c>
      <c r="S32" s="88" t="s">
        <v>146</v>
      </c>
      <c r="T32" s="104">
        <f t="shared" ref="T32:T40" si="18">B32/1000</f>
        <v>8.6259999999999994</v>
      </c>
      <c r="U32" s="104">
        <f t="shared" ref="U32:U40" si="19">C32/1000</f>
        <v>6.9470000000000001</v>
      </c>
      <c r="V32" s="104">
        <f t="shared" ref="V32:V40" si="20">D32/1000</f>
        <v>6.1109999999999998</v>
      </c>
      <c r="W32" s="104">
        <f t="shared" ref="W32:W40" si="21">E32/1000</f>
        <v>6.367</v>
      </c>
      <c r="X32" s="104">
        <f t="shared" ref="X32:X40" si="22">F32/1000</f>
        <v>5.6440000000000001</v>
      </c>
      <c r="Y32" s="104">
        <f t="shared" ref="Y32:Y40" si="23">G32/1000</f>
        <v>5.1029999999999998</v>
      </c>
      <c r="Z32" s="104">
        <f t="shared" ref="Z32:Z40" si="24">H32/1000</f>
        <v>5.016</v>
      </c>
      <c r="AA32" s="104">
        <f t="shared" ref="AA32:AA40" si="25">I32/1000</f>
        <v>4.3959999999999999</v>
      </c>
      <c r="AB32" s="104">
        <f t="shared" ref="AB32:AB40" si="26">J32/1000</f>
        <v>4.5030000000000001</v>
      </c>
      <c r="AC32" s="104">
        <f t="shared" ref="AC32:AC40" si="27">K32/1000</f>
        <v>5.5890000000000004</v>
      </c>
      <c r="AD32" s="104">
        <f t="shared" ref="AD32:AD40" si="28">L32/1000</f>
        <v>5.4640000000000004</v>
      </c>
      <c r="AE32" s="104">
        <f t="shared" ref="AE32:AE40" si="29">M32/1000</f>
        <v>6.8259999999999996</v>
      </c>
      <c r="AF32" s="104">
        <f t="shared" ref="AF32:AF40" si="30">N32/1000</f>
        <v>5.4710000000000001</v>
      </c>
      <c r="AG32" s="104">
        <f t="shared" ref="AG32:AG40" si="31">O32/1000</f>
        <v>6.5789999999999997</v>
      </c>
      <c r="AJ32" s="29" t="s">
        <v>147</v>
      </c>
      <c r="AK32" s="63">
        <f t="shared" ref="AK32:AK50" si="32">AG33</f>
        <v>12.263999999999999</v>
      </c>
      <c r="AL32" s="63">
        <f t="shared" ref="AL32:AL50" si="33">AG60</f>
        <v>8.4320000000000004</v>
      </c>
      <c r="AM32" s="75">
        <f t="shared" ref="AM32:AM50" si="34">AG6</f>
        <v>157.11099999999999</v>
      </c>
      <c r="AO32" s="29" t="s">
        <v>147</v>
      </c>
      <c r="AP32" s="8">
        <f t="shared" ref="AP32:AP39" si="35">AK32/AM32</f>
        <v>7.8059461145304918E-2</v>
      </c>
      <c r="AQ32" s="8">
        <f t="shared" ref="AQ32:AQ39" si="36">AL32/AM32</f>
        <v>5.3669062000751069E-2</v>
      </c>
      <c r="AR32" s="75"/>
    </row>
    <row r="33" spans="1:44" ht="12.5" x14ac:dyDescent="0.25">
      <c r="A33" s="1" t="s">
        <v>147</v>
      </c>
      <c r="B33" s="1">
        <v>10708</v>
      </c>
      <c r="C33" s="1">
        <v>9115</v>
      </c>
      <c r="D33" s="1">
        <v>9785</v>
      </c>
      <c r="E33" s="1">
        <v>9359</v>
      </c>
      <c r="F33" s="1">
        <v>12742</v>
      </c>
      <c r="G33" s="1">
        <v>10108</v>
      </c>
      <c r="H33" s="1">
        <v>11228</v>
      </c>
      <c r="I33" s="1">
        <v>12715</v>
      </c>
      <c r="J33" s="1">
        <v>9929</v>
      </c>
      <c r="K33" s="1">
        <v>11761</v>
      </c>
      <c r="L33" s="1">
        <v>13463</v>
      </c>
      <c r="M33" s="1">
        <v>12690</v>
      </c>
      <c r="N33" s="1">
        <v>14413</v>
      </c>
      <c r="O33" s="1">
        <v>12264</v>
      </c>
      <c r="P33" s="42">
        <v>160280</v>
      </c>
      <c r="S33" s="88" t="s">
        <v>147</v>
      </c>
      <c r="T33" s="104">
        <f t="shared" si="18"/>
        <v>10.708</v>
      </c>
      <c r="U33" s="104">
        <f t="shared" si="19"/>
        <v>9.1150000000000002</v>
      </c>
      <c r="V33" s="104">
        <f t="shared" si="20"/>
        <v>9.7850000000000001</v>
      </c>
      <c r="W33" s="104">
        <f t="shared" si="21"/>
        <v>9.359</v>
      </c>
      <c r="X33" s="104">
        <f t="shared" si="22"/>
        <v>12.742000000000001</v>
      </c>
      <c r="Y33" s="104">
        <f t="shared" si="23"/>
        <v>10.108000000000001</v>
      </c>
      <c r="Z33" s="104">
        <f t="shared" si="24"/>
        <v>11.228</v>
      </c>
      <c r="AA33" s="104">
        <f t="shared" si="25"/>
        <v>12.715</v>
      </c>
      <c r="AB33" s="104">
        <f t="shared" si="26"/>
        <v>9.9290000000000003</v>
      </c>
      <c r="AC33" s="104">
        <f t="shared" si="27"/>
        <v>11.760999999999999</v>
      </c>
      <c r="AD33" s="104">
        <f t="shared" si="28"/>
        <v>13.462999999999999</v>
      </c>
      <c r="AE33" s="104">
        <f t="shared" si="29"/>
        <v>12.69</v>
      </c>
      <c r="AF33" s="104">
        <f t="shared" si="30"/>
        <v>14.413</v>
      </c>
      <c r="AG33" s="104">
        <f t="shared" si="31"/>
        <v>12.263999999999999</v>
      </c>
      <c r="AJ33" s="29" t="s">
        <v>148</v>
      </c>
      <c r="AK33" s="63">
        <f t="shared" si="32"/>
        <v>40.357999999999997</v>
      </c>
      <c r="AL33" s="63">
        <f t="shared" si="33"/>
        <v>19.54</v>
      </c>
      <c r="AM33" s="75">
        <f t="shared" si="34"/>
        <v>259.20699999999999</v>
      </c>
      <c r="AO33" s="29" t="s">
        <v>148</v>
      </c>
      <c r="AP33" s="8">
        <f t="shared" si="35"/>
        <v>0.15569795568792508</v>
      </c>
      <c r="AQ33" s="8">
        <f t="shared" si="36"/>
        <v>7.5383766642104569E-2</v>
      </c>
      <c r="AR33" s="75"/>
    </row>
    <row r="34" spans="1:44" ht="12.5" x14ac:dyDescent="0.25">
      <c r="A34" s="1" t="s">
        <v>148</v>
      </c>
      <c r="B34" s="1">
        <v>25593</v>
      </c>
      <c r="C34" s="1">
        <v>24391</v>
      </c>
      <c r="D34" s="1">
        <v>23024</v>
      </c>
      <c r="E34" s="1">
        <v>23985</v>
      </c>
      <c r="F34" s="1">
        <v>31275</v>
      </c>
      <c r="G34" s="1">
        <v>32087</v>
      </c>
      <c r="H34" s="1">
        <v>39498</v>
      </c>
      <c r="I34" s="1">
        <v>38337</v>
      </c>
      <c r="J34" s="1">
        <v>34004</v>
      </c>
      <c r="K34" s="1">
        <v>39679</v>
      </c>
      <c r="L34" s="1">
        <v>48010</v>
      </c>
      <c r="M34" s="1">
        <v>44777</v>
      </c>
      <c r="N34" s="1">
        <v>41049</v>
      </c>
      <c r="O34" s="1">
        <v>40358</v>
      </c>
      <c r="P34" s="42">
        <v>486067</v>
      </c>
      <c r="S34" s="88" t="s">
        <v>148</v>
      </c>
      <c r="T34" s="104">
        <f t="shared" si="18"/>
        <v>25.593</v>
      </c>
      <c r="U34" s="104">
        <f t="shared" si="19"/>
        <v>24.390999999999998</v>
      </c>
      <c r="V34" s="104">
        <f t="shared" si="20"/>
        <v>23.024000000000001</v>
      </c>
      <c r="W34" s="104">
        <f t="shared" si="21"/>
        <v>23.984999999999999</v>
      </c>
      <c r="X34" s="104">
        <f t="shared" si="22"/>
        <v>31.274999999999999</v>
      </c>
      <c r="Y34" s="104">
        <f t="shared" si="23"/>
        <v>32.087000000000003</v>
      </c>
      <c r="Z34" s="104">
        <f t="shared" si="24"/>
        <v>39.497999999999998</v>
      </c>
      <c r="AA34" s="104">
        <f t="shared" si="25"/>
        <v>38.337000000000003</v>
      </c>
      <c r="AB34" s="104">
        <f t="shared" si="26"/>
        <v>34.003999999999998</v>
      </c>
      <c r="AC34" s="104">
        <f t="shared" si="27"/>
        <v>39.679000000000002</v>
      </c>
      <c r="AD34" s="104">
        <f t="shared" si="28"/>
        <v>48.01</v>
      </c>
      <c r="AE34" s="104">
        <f t="shared" si="29"/>
        <v>44.777000000000001</v>
      </c>
      <c r="AF34" s="104">
        <f t="shared" si="30"/>
        <v>41.048999999999999</v>
      </c>
      <c r="AG34" s="104">
        <f t="shared" si="31"/>
        <v>40.357999999999997</v>
      </c>
      <c r="AJ34" s="29" t="s">
        <v>149</v>
      </c>
      <c r="AK34" s="63">
        <f t="shared" si="32"/>
        <v>13.109</v>
      </c>
      <c r="AL34" s="63">
        <f t="shared" si="33"/>
        <v>8.9930000000000003</v>
      </c>
      <c r="AM34" s="75">
        <f t="shared" si="34"/>
        <v>189.18700000000001</v>
      </c>
      <c r="AO34" s="29" t="s">
        <v>149</v>
      </c>
      <c r="AP34" s="8">
        <f t="shared" si="35"/>
        <v>6.9291230369951426E-2</v>
      </c>
      <c r="AQ34" s="8">
        <f t="shared" si="36"/>
        <v>4.7534978619038305E-2</v>
      </c>
      <c r="AR34" s="75"/>
    </row>
    <row r="35" spans="1:44" ht="12.5" x14ac:dyDescent="0.25">
      <c r="A35" s="1" t="s">
        <v>149</v>
      </c>
      <c r="B35" s="1">
        <v>10661</v>
      </c>
      <c r="C35" s="1">
        <v>9697</v>
      </c>
      <c r="D35" s="1">
        <v>10162</v>
      </c>
      <c r="E35" s="1">
        <v>12683</v>
      </c>
      <c r="F35" s="1">
        <v>13789</v>
      </c>
      <c r="G35" s="1">
        <v>12541</v>
      </c>
      <c r="H35" s="1">
        <v>16535</v>
      </c>
      <c r="I35" s="1">
        <v>15635</v>
      </c>
      <c r="J35" s="1">
        <v>13133</v>
      </c>
      <c r="K35" s="1">
        <v>13147</v>
      </c>
      <c r="L35" s="1">
        <v>18054</v>
      </c>
      <c r="M35" s="1">
        <v>15054</v>
      </c>
      <c r="N35" s="1">
        <v>15310</v>
      </c>
      <c r="O35" s="1">
        <v>13109</v>
      </c>
      <c r="P35" s="42">
        <v>189510</v>
      </c>
      <c r="S35" s="88" t="s">
        <v>149</v>
      </c>
      <c r="T35" s="104">
        <f t="shared" si="18"/>
        <v>10.661</v>
      </c>
      <c r="U35" s="104">
        <f t="shared" si="19"/>
        <v>9.6969999999999992</v>
      </c>
      <c r="V35" s="104">
        <f t="shared" si="20"/>
        <v>10.162000000000001</v>
      </c>
      <c r="W35" s="104">
        <f t="shared" si="21"/>
        <v>12.683</v>
      </c>
      <c r="X35" s="104">
        <f t="shared" si="22"/>
        <v>13.789</v>
      </c>
      <c r="Y35" s="104">
        <f t="shared" si="23"/>
        <v>12.541</v>
      </c>
      <c r="Z35" s="104">
        <f t="shared" si="24"/>
        <v>16.535</v>
      </c>
      <c r="AA35" s="104">
        <f t="shared" si="25"/>
        <v>15.635</v>
      </c>
      <c r="AB35" s="104">
        <f t="shared" si="26"/>
        <v>13.132999999999999</v>
      </c>
      <c r="AC35" s="104">
        <f t="shared" si="27"/>
        <v>13.147</v>
      </c>
      <c r="AD35" s="104">
        <f t="shared" si="28"/>
        <v>18.053999999999998</v>
      </c>
      <c r="AE35" s="104">
        <f t="shared" si="29"/>
        <v>15.054</v>
      </c>
      <c r="AF35" s="104">
        <f t="shared" si="30"/>
        <v>15.31</v>
      </c>
      <c r="AG35" s="104">
        <f t="shared" si="31"/>
        <v>13.109</v>
      </c>
      <c r="AJ35" s="29" t="s">
        <v>150</v>
      </c>
      <c r="AK35" s="63">
        <f t="shared" si="32"/>
        <v>16.696999999999999</v>
      </c>
      <c r="AL35" s="63">
        <f t="shared" si="33"/>
        <v>10.423</v>
      </c>
      <c r="AM35" s="75">
        <f t="shared" si="34"/>
        <v>183.95099999999999</v>
      </c>
      <c r="AO35" s="29" t="s">
        <v>150</v>
      </c>
      <c r="AP35" s="8">
        <f t="shared" si="35"/>
        <v>9.0768737326788113E-2</v>
      </c>
      <c r="AQ35" s="8">
        <f t="shared" si="36"/>
        <v>5.6661828421699256E-2</v>
      </c>
      <c r="AR35" s="75"/>
    </row>
    <row r="36" spans="1:44" ht="12.5" x14ac:dyDescent="0.25">
      <c r="A36" s="1" t="s">
        <v>150</v>
      </c>
      <c r="B36" s="1">
        <v>9748</v>
      </c>
      <c r="C36" s="1">
        <v>11721</v>
      </c>
      <c r="D36" s="1">
        <v>8992</v>
      </c>
      <c r="E36" s="1">
        <v>10492</v>
      </c>
      <c r="F36" s="1">
        <v>9581</v>
      </c>
      <c r="G36" s="1">
        <v>12561</v>
      </c>
      <c r="H36" s="1">
        <v>11830</v>
      </c>
      <c r="I36" s="1">
        <v>14159</v>
      </c>
      <c r="J36" s="1">
        <v>11660</v>
      </c>
      <c r="K36" s="1">
        <v>14576</v>
      </c>
      <c r="L36" s="1">
        <v>19343</v>
      </c>
      <c r="M36" s="1">
        <v>19202</v>
      </c>
      <c r="N36" s="1">
        <v>19981</v>
      </c>
      <c r="O36" s="1">
        <v>16697</v>
      </c>
      <c r="P36" s="42">
        <v>190543</v>
      </c>
      <c r="S36" s="88" t="s">
        <v>150</v>
      </c>
      <c r="T36" s="104">
        <f t="shared" si="18"/>
        <v>9.7479999999999993</v>
      </c>
      <c r="U36" s="104">
        <f t="shared" si="19"/>
        <v>11.721</v>
      </c>
      <c r="V36" s="104">
        <f t="shared" si="20"/>
        <v>8.9920000000000009</v>
      </c>
      <c r="W36" s="104">
        <f t="shared" si="21"/>
        <v>10.492000000000001</v>
      </c>
      <c r="X36" s="104">
        <f t="shared" si="22"/>
        <v>9.5809999999999995</v>
      </c>
      <c r="Y36" s="104">
        <f t="shared" si="23"/>
        <v>12.561</v>
      </c>
      <c r="Z36" s="104">
        <f t="shared" si="24"/>
        <v>11.83</v>
      </c>
      <c r="AA36" s="104">
        <f t="shared" si="25"/>
        <v>14.159000000000001</v>
      </c>
      <c r="AB36" s="104">
        <f t="shared" si="26"/>
        <v>11.66</v>
      </c>
      <c r="AC36" s="104">
        <f t="shared" si="27"/>
        <v>14.576000000000001</v>
      </c>
      <c r="AD36" s="104">
        <f t="shared" si="28"/>
        <v>19.343</v>
      </c>
      <c r="AE36" s="104">
        <f t="shared" si="29"/>
        <v>19.202000000000002</v>
      </c>
      <c r="AF36" s="104">
        <f t="shared" si="30"/>
        <v>19.981000000000002</v>
      </c>
      <c r="AG36" s="104">
        <f t="shared" si="31"/>
        <v>16.696999999999999</v>
      </c>
      <c r="AJ36" s="29" t="s">
        <v>151</v>
      </c>
      <c r="AK36" s="63">
        <f t="shared" si="32"/>
        <v>59.465000000000003</v>
      </c>
      <c r="AL36" s="63">
        <f t="shared" si="33"/>
        <v>31.52</v>
      </c>
      <c r="AM36" s="75">
        <f t="shared" si="34"/>
        <v>557.31100000000004</v>
      </c>
      <c r="AO36" s="29" t="s">
        <v>151</v>
      </c>
      <c r="AP36" s="8">
        <f t="shared" si="35"/>
        <v>0.10669984981455596</v>
      </c>
      <c r="AQ36" s="8">
        <f t="shared" si="36"/>
        <v>5.6557290274191603E-2</v>
      </c>
      <c r="AR36" s="75"/>
    </row>
    <row r="37" spans="1:44" ht="12.5" x14ac:dyDescent="0.25">
      <c r="A37" s="1" t="s">
        <v>151</v>
      </c>
      <c r="B37" s="1">
        <v>56655</v>
      </c>
      <c r="C37" s="1">
        <v>42317</v>
      </c>
      <c r="D37" s="1">
        <v>49088</v>
      </c>
      <c r="E37" s="1">
        <v>79787</v>
      </c>
      <c r="F37" s="1">
        <v>56261</v>
      </c>
      <c r="G37" s="1">
        <v>72414</v>
      </c>
      <c r="H37" s="1">
        <v>65207</v>
      </c>
      <c r="I37" s="1">
        <v>70068</v>
      </c>
      <c r="J37" s="1">
        <v>55653</v>
      </c>
      <c r="K37" s="1">
        <v>64641</v>
      </c>
      <c r="L37" s="1">
        <v>63910</v>
      </c>
      <c r="M37" s="1">
        <v>68915</v>
      </c>
      <c r="N37" s="1">
        <v>84899</v>
      </c>
      <c r="O37" s="1">
        <v>59465</v>
      </c>
      <c r="P37" s="42">
        <v>889280</v>
      </c>
      <c r="S37" s="88" t="s">
        <v>151</v>
      </c>
      <c r="T37" s="104">
        <f t="shared" si="18"/>
        <v>56.655000000000001</v>
      </c>
      <c r="U37" s="104">
        <f t="shared" si="19"/>
        <v>42.317</v>
      </c>
      <c r="V37" s="104">
        <f t="shared" si="20"/>
        <v>49.088000000000001</v>
      </c>
      <c r="W37" s="104">
        <f t="shared" si="21"/>
        <v>79.787000000000006</v>
      </c>
      <c r="X37" s="104">
        <f t="shared" si="22"/>
        <v>56.261000000000003</v>
      </c>
      <c r="Y37" s="104">
        <f t="shared" si="23"/>
        <v>72.414000000000001</v>
      </c>
      <c r="Z37" s="104">
        <f t="shared" si="24"/>
        <v>65.206999999999994</v>
      </c>
      <c r="AA37" s="104">
        <f t="shared" si="25"/>
        <v>70.067999999999998</v>
      </c>
      <c r="AB37" s="104">
        <f t="shared" si="26"/>
        <v>55.652999999999999</v>
      </c>
      <c r="AC37" s="104">
        <f t="shared" si="27"/>
        <v>64.641000000000005</v>
      </c>
      <c r="AD37" s="104">
        <f t="shared" si="28"/>
        <v>63.91</v>
      </c>
      <c r="AE37" s="104">
        <f t="shared" si="29"/>
        <v>68.915000000000006</v>
      </c>
      <c r="AF37" s="104">
        <f t="shared" si="30"/>
        <v>84.899000000000001</v>
      </c>
      <c r="AG37" s="104">
        <f t="shared" si="31"/>
        <v>59.465000000000003</v>
      </c>
      <c r="AJ37" s="29" t="s">
        <v>153</v>
      </c>
      <c r="AK37" s="63">
        <f t="shared" si="32"/>
        <v>59.335000000000001</v>
      </c>
      <c r="AL37" s="63">
        <f t="shared" si="33"/>
        <v>31.571999999999999</v>
      </c>
      <c r="AM37" s="75">
        <f t="shared" si="34"/>
        <v>516.19000000000005</v>
      </c>
      <c r="AO37" s="29" t="s">
        <v>153</v>
      </c>
      <c r="AP37" s="8">
        <f t="shared" si="35"/>
        <v>0.11494798426935818</v>
      </c>
      <c r="AQ37" s="8">
        <f t="shared" si="36"/>
        <v>6.1163525058602446E-2</v>
      </c>
      <c r="AR37" s="75"/>
    </row>
    <row r="38" spans="1:44" ht="12.5" x14ac:dyDescent="0.25">
      <c r="A38" s="1" t="s">
        <v>153</v>
      </c>
      <c r="B38" s="1">
        <v>49839</v>
      </c>
      <c r="C38" s="1">
        <v>42538</v>
      </c>
      <c r="D38" s="1">
        <v>39075</v>
      </c>
      <c r="E38" s="1">
        <v>43117</v>
      </c>
      <c r="F38" s="1">
        <v>58476</v>
      </c>
      <c r="G38" s="1">
        <v>47388</v>
      </c>
      <c r="H38" s="1">
        <v>51562</v>
      </c>
      <c r="I38" s="1">
        <v>54085</v>
      </c>
      <c r="J38" s="1">
        <v>49856</v>
      </c>
      <c r="K38" s="1">
        <v>58901</v>
      </c>
      <c r="L38" s="1">
        <v>62181</v>
      </c>
      <c r="M38" s="1">
        <v>64487</v>
      </c>
      <c r="N38" s="1">
        <v>77415</v>
      </c>
      <c r="O38" s="1">
        <v>59335</v>
      </c>
      <c r="P38" s="42">
        <v>758255</v>
      </c>
      <c r="S38" s="88" t="s">
        <v>153</v>
      </c>
      <c r="T38" s="104">
        <f t="shared" si="18"/>
        <v>49.838999999999999</v>
      </c>
      <c r="U38" s="104">
        <f t="shared" si="19"/>
        <v>42.537999999999997</v>
      </c>
      <c r="V38" s="104">
        <f t="shared" si="20"/>
        <v>39.075000000000003</v>
      </c>
      <c r="W38" s="104">
        <f t="shared" si="21"/>
        <v>43.116999999999997</v>
      </c>
      <c r="X38" s="104">
        <f t="shared" si="22"/>
        <v>58.475999999999999</v>
      </c>
      <c r="Y38" s="104">
        <f t="shared" si="23"/>
        <v>47.387999999999998</v>
      </c>
      <c r="Z38" s="104">
        <f t="shared" si="24"/>
        <v>51.561999999999998</v>
      </c>
      <c r="AA38" s="104">
        <f t="shared" si="25"/>
        <v>54.085000000000001</v>
      </c>
      <c r="AB38" s="104">
        <f t="shared" si="26"/>
        <v>49.856000000000002</v>
      </c>
      <c r="AC38" s="104">
        <f t="shared" si="27"/>
        <v>58.901000000000003</v>
      </c>
      <c r="AD38" s="104">
        <f t="shared" si="28"/>
        <v>62.180999999999997</v>
      </c>
      <c r="AE38" s="104">
        <f t="shared" si="29"/>
        <v>64.486999999999995</v>
      </c>
      <c r="AF38" s="104">
        <f t="shared" si="30"/>
        <v>77.415000000000006</v>
      </c>
      <c r="AG38" s="104">
        <f t="shared" si="31"/>
        <v>59.335000000000001</v>
      </c>
      <c r="AJ38" s="29" t="s">
        <v>152</v>
      </c>
      <c r="AK38" s="63">
        <f t="shared" si="32"/>
        <v>23.501999999999999</v>
      </c>
      <c r="AL38" s="63">
        <f t="shared" si="33"/>
        <v>13.96</v>
      </c>
      <c r="AM38" s="75">
        <f t="shared" si="34"/>
        <v>160.708</v>
      </c>
      <c r="AO38" s="29" t="s">
        <v>152</v>
      </c>
      <c r="AP38" s="8">
        <f t="shared" si="35"/>
        <v>0.1462403862906638</v>
      </c>
      <c r="AQ38" s="8">
        <f t="shared" si="36"/>
        <v>8.6865619633123434E-2</v>
      </c>
      <c r="AR38" s="75"/>
    </row>
    <row r="39" spans="1:44" ht="12.5" x14ac:dyDescent="0.25">
      <c r="A39" s="1" t="s">
        <v>152</v>
      </c>
      <c r="B39" s="1">
        <v>31982</v>
      </c>
      <c r="C39" s="1">
        <v>34647</v>
      </c>
      <c r="D39" s="1">
        <v>25787</v>
      </c>
      <c r="E39" s="1">
        <v>35783</v>
      </c>
      <c r="F39" s="1">
        <v>31125</v>
      </c>
      <c r="G39" s="1">
        <v>26586</v>
      </c>
      <c r="H39" s="1">
        <v>21952</v>
      </c>
      <c r="I39" s="1">
        <v>21804</v>
      </c>
      <c r="J39" s="1">
        <v>17246</v>
      </c>
      <c r="K39" s="1">
        <v>17466</v>
      </c>
      <c r="L39" s="1">
        <v>21421</v>
      </c>
      <c r="M39" s="1">
        <v>22383</v>
      </c>
      <c r="N39" s="1">
        <v>21945</v>
      </c>
      <c r="O39" s="1">
        <v>23502</v>
      </c>
      <c r="P39" s="42">
        <v>353629</v>
      </c>
      <c r="S39" s="88" t="s">
        <v>152</v>
      </c>
      <c r="T39" s="104">
        <f t="shared" si="18"/>
        <v>31.981999999999999</v>
      </c>
      <c r="U39" s="104">
        <f t="shared" si="19"/>
        <v>34.646999999999998</v>
      </c>
      <c r="V39" s="104">
        <f t="shared" si="20"/>
        <v>25.786999999999999</v>
      </c>
      <c r="W39" s="104">
        <f t="shared" si="21"/>
        <v>35.783000000000001</v>
      </c>
      <c r="X39" s="104">
        <f t="shared" si="22"/>
        <v>31.125</v>
      </c>
      <c r="Y39" s="104">
        <f t="shared" si="23"/>
        <v>26.585999999999999</v>
      </c>
      <c r="Z39" s="104">
        <f t="shared" si="24"/>
        <v>21.952000000000002</v>
      </c>
      <c r="AA39" s="104">
        <f t="shared" si="25"/>
        <v>21.803999999999998</v>
      </c>
      <c r="AB39" s="104">
        <f t="shared" si="26"/>
        <v>17.245999999999999</v>
      </c>
      <c r="AC39" s="104">
        <f t="shared" si="27"/>
        <v>17.466000000000001</v>
      </c>
      <c r="AD39" s="104">
        <f t="shared" si="28"/>
        <v>21.420999999999999</v>
      </c>
      <c r="AE39" s="104">
        <f t="shared" si="29"/>
        <v>22.382999999999999</v>
      </c>
      <c r="AF39" s="104">
        <f t="shared" si="30"/>
        <v>21.945</v>
      </c>
      <c r="AG39" s="104">
        <f t="shared" si="31"/>
        <v>23.501999999999999</v>
      </c>
      <c r="AJ39" s="29" t="s">
        <v>154</v>
      </c>
      <c r="AK39" s="63">
        <f t="shared" si="32"/>
        <v>15.853999999999999</v>
      </c>
      <c r="AL39" s="63">
        <f t="shared" si="33"/>
        <v>6.6379999999999999</v>
      </c>
      <c r="AM39" s="75">
        <f t="shared" si="34"/>
        <v>119.247</v>
      </c>
      <c r="AO39" s="29" t="s">
        <v>154</v>
      </c>
      <c r="AP39" s="8">
        <f t="shared" si="35"/>
        <v>0.13295093377611175</v>
      </c>
      <c r="AQ39" s="8">
        <f t="shared" si="36"/>
        <v>5.5665970632384883E-2</v>
      </c>
      <c r="AR39" s="75"/>
    </row>
    <row r="40" spans="1:44" ht="12.5" x14ac:dyDescent="0.25">
      <c r="A40" s="1" t="s">
        <v>154</v>
      </c>
      <c r="B40" s="1">
        <v>15768</v>
      </c>
      <c r="C40" s="1">
        <v>12272</v>
      </c>
      <c r="D40" s="1">
        <v>12013</v>
      </c>
      <c r="E40" s="1">
        <v>13542</v>
      </c>
      <c r="F40" s="1">
        <v>9831</v>
      </c>
      <c r="G40" s="1">
        <v>10354</v>
      </c>
      <c r="H40" s="1">
        <v>15162</v>
      </c>
      <c r="I40" s="1">
        <v>14471</v>
      </c>
      <c r="J40" s="1">
        <v>19913</v>
      </c>
      <c r="K40" s="1">
        <v>15240</v>
      </c>
      <c r="L40" s="1">
        <v>20697</v>
      </c>
      <c r="M40" s="1">
        <v>17315</v>
      </c>
      <c r="N40" s="1">
        <v>17411</v>
      </c>
      <c r="O40" s="1">
        <v>15854</v>
      </c>
      <c r="P40" s="42">
        <v>209843</v>
      </c>
      <c r="S40" s="88" t="s">
        <v>154</v>
      </c>
      <c r="T40" s="104">
        <f t="shared" si="18"/>
        <v>15.768000000000001</v>
      </c>
      <c r="U40" s="104">
        <f t="shared" si="19"/>
        <v>12.272</v>
      </c>
      <c r="V40" s="104">
        <f t="shared" si="20"/>
        <v>12.013</v>
      </c>
      <c r="W40" s="104">
        <f t="shared" si="21"/>
        <v>13.542</v>
      </c>
      <c r="X40" s="104">
        <f t="shared" si="22"/>
        <v>9.8309999999999995</v>
      </c>
      <c r="Y40" s="104">
        <f t="shared" si="23"/>
        <v>10.353999999999999</v>
      </c>
      <c r="Z40" s="104">
        <f t="shared" si="24"/>
        <v>15.162000000000001</v>
      </c>
      <c r="AA40" s="104">
        <f t="shared" si="25"/>
        <v>14.471</v>
      </c>
      <c r="AB40" s="104">
        <f t="shared" si="26"/>
        <v>19.913</v>
      </c>
      <c r="AC40" s="104">
        <f t="shared" si="27"/>
        <v>15.24</v>
      </c>
      <c r="AD40" s="104">
        <f t="shared" si="28"/>
        <v>20.696999999999999</v>
      </c>
      <c r="AE40" s="104">
        <f t="shared" si="29"/>
        <v>17.315000000000001</v>
      </c>
      <c r="AF40" s="104">
        <f t="shared" si="30"/>
        <v>17.411000000000001</v>
      </c>
      <c r="AG40" s="104">
        <f t="shared" si="31"/>
        <v>15.853999999999999</v>
      </c>
      <c r="AJ40" s="29"/>
      <c r="AK40" s="63"/>
      <c r="AL40" s="63"/>
      <c r="AM40" s="75"/>
      <c r="AO40" s="29"/>
      <c r="AP40" s="8"/>
      <c r="AQ40" s="8"/>
      <c r="AR40" s="75"/>
    </row>
    <row r="41" spans="1:44" ht="12.5" x14ac:dyDescent="0.25">
      <c r="S41" s="88"/>
      <c r="T41" s="104"/>
      <c r="U41" s="104"/>
      <c r="V41" s="104"/>
      <c r="W41" s="104"/>
      <c r="X41" s="104"/>
      <c r="Y41" s="104"/>
      <c r="Z41" s="104"/>
      <c r="AA41" s="104"/>
      <c r="AB41" s="104"/>
      <c r="AC41" s="104"/>
      <c r="AD41" s="104"/>
      <c r="AE41" s="104"/>
      <c r="AF41" s="104"/>
      <c r="AG41" s="104"/>
      <c r="AJ41" s="29"/>
      <c r="AK41" s="63"/>
      <c r="AL41" s="63"/>
      <c r="AM41" s="75"/>
      <c r="AO41" s="29"/>
      <c r="AP41" s="8"/>
      <c r="AQ41" s="8"/>
      <c r="AR41" s="75"/>
    </row>
    <row r="42" spans="1:44" ht="12.5" x14ac:dyDescent="0.25">
      <c r="S42" s="88"/>
      <c r="T42" s="104"/>
      <c r="U42" s="104"/>
      <c r="V42" s="104"/>
      <c r="W42" s="104"/>
      <c r="X42" s="104"/>
      <c r="Y42" s="104"/>
      <c r="Z42" s="104"/>
      <c r="AA42" s="104"/>
      <c r="AB42" s="104"/>
      <c r="AC42" s="104"/>
      <c r="AD42" s="104"/>
      <c r="AE42" s="104"/>
      <c r="AF42" s="104"/>
      <c r="AG42" s="104"/>
      <c r="AJ42" s="29"/>
      <c r="AK42" s="63"/>
      <c r="AL42" s="63"/>
      <c r="AM42" s="75"/>
      <c r="AO42" s="29"/>
      <c r="AP42" s="8"/>
      <c r="AQ42" s="8"/>
      <c r="AR42" s="75"/>
    </row>
    <row r="43" spans="1:44" ht="12.5" x14ac:dyDescent="0.25">
      <c r="S43" s="88"/>
      <c r="T43" s="104"/>
      <c r="U43" s="104"/>
      <c r="V43" s="104"/>
      <c r="W43" s="104"/>
      <c r="X43" s="104"/>
      <c r="Y43" s="104"/>
      <c r="Z43" s="104"/>
      <c r="AA43" s="104"/>
      <c r="AB43" s="104"/>
      <c r="AC43" s="104"/>
      <c r="AD43" s="104"/>
      <c r="AE43" s="104"/>
      <c r="AF43" s="104"/>
      <c r="AG43" s="104"/>
      <c r="AJ43" s="29"/>
      <c r="AK43" s="63"/>
      <c r="AL43" s="63"/>
      <c r="AM43" s="75"/>
      <c r="AO43" s="29"/>
      <c r="AP43" s="8"/>
      <c r="AQ43" s="8"/>
      <c r="AR43" s="75"/>
    </row>
    <row r="44" spans="1:44" ht="12.5" x14ac:dyDescent="0.25">
      <c r="S44" s="88"/>
      <c r="T44" s="104"/>
      <c r="U44" s="104"/>
      <c r="V44" s="104"/>
      <c r="W44" s="104"/>
      <c r="X44" s="104"/>
      <c r="Y44" s="104"/>
      <c r="Z44" s="104"/>
      <c r="AA44" s="104"/>
      <c r="AB44" s="104"/>
      <c r="AC44" s="104"/>
      <c r="AD44" s="104"/>
      <c r="AE44" s="104"/>
      <c r="AF44" s="104"/>
      <c r="AG44" s="104"/>
      <c r="AJ44" s="29"/>
      <c r="AK44" s="63"/>
      <c r="AL44" s="63"/>
      <c r="AM44" s="75"/>
      <c r="AO44" s="29"/>
      <c r="AP44" s="8"/>
      <c r="AQ44" s="8"/>
      <c r="AR44" s="75"/>
    </row>
    <row r="45" spans="1:44" ht="12.5" x14ac:dyDescent="0.25">
      <c r="S45" s="88"/>
      <c r="T45" s="104"/>
      <c r="U45" s="104"/>
      <c r="V45" s="104"/>
      <c r="W45" s="104"/>
      <c r="X45" s="104"/>
      <c r="Y45" s="104"/>
      <c r="Z45" s="104"/>
      <c r="AA45" s="104"/>
      <c r="AB45" s="104"/>
      <c r="AC45" s="104"/>
      <c r="AD45" s="104"/>
      <c r="AE45" s="104"/>
      <c r="AF45" s="104"/>
      <c r="AG45" s="104"/>
      <c r="AJ45" s="29"/>
      <c r="AK45" s="63"/>
      <c r="AL45" s="63"/>
      <c r="AM45" s="75"/>
      <c r="AO45" s="29"/>
      <c r="AP45" s="8"/>
      <c r="AQ45" s="8"/>
      <c r="AR45" s="75"/>
    </row>
    <row r="46" spans="1:44" ht="12.5" x14ac:dyDescent="0.25">
      <c r="S46" s="88"/>
      <c r="T46" s="104"/>
      <c r="U46" s="104"/>
      <c r="V46" s="104"/>
      <c r="W46" s="104"/>
      <c r="X46" s="104"/>
      <c r="Y46" s="104"/>
      <c r="Z46" s="104"/>
      <c r="AA46" s="104"/>
      <c r="AB46" s="104"/>
      <c r="AC46" s="104"/>
      <c r="AD46" s="104"/>
      <c r="AE46" s="104"/>
      <c r="AF46" s="104"/>
      <c r="AG46" s="104"/>
      <c r="AJ46" s="29"/>
      <c r="AK46" s="63"/>
      <c r="AL46" s="63"/>
      <c r="AM46" s="75"/>
      <c r="AO46" s="29"/>
      <c r="AP46" s="8"/>
      <c r="AQ46" s="8"/>
      <c r="AR46" s="75"/>
    </row>
    <row r="47" spans="1:44" ht="12.5" x14ac:dyDescent="0.25">
      <c r="S47" s="88"/>
      <c r="T47" s="104"/>
      <c r="U47" s="104"/>
      <c r="V47" s="104"/>
      <c r="W47" s="104"/>
      <c r="X47" s="104"/>
      <c r="Y47" s="104"/>
      <c r="Z47" s="104"/>
      <c r="AA47" s="104"/>
      <c r="AB47" s="104"/>
      <c r="AC47" s="104"/>
      <c r="AD47" s="104"/>
      <c r="AE47" s="104"/>
      <c r="AF47" s="104"/>
      <c r="AG47" s="104"/>
      <c r="AJ47" s="29"/>
      <c r="AK47" s="63"/>
      <c r="AL47" s="63"/>
      <c r="AM47" s="75"/>
      <c r="AO47" s="29"/>
      <c r="AP47" s="8"/>
      <c r="AQ47" s="8"/>
      <c r="AR47" s="75"/>
    </row>
    <row r="48" spans="1:44" ht="12.5" x14ac:dyDescent="0.25">
      <c r="S48" s="88"/>
      <c r="T48" s="104"/>
      <c r="U48" s="104"/>
      <c r="V48" s="104"/>
      <c r="W48" s="104"/>
      <c r="X48" s="104"/>
      <c r="Y48" s="104"/>
      <c r="Z48" s="104"/>
      <c r="AA48" s="104"/>
      <c r="AB48" s="104"/>
      <c r="AC48" s="104"/>
      <c r="AD48" s="104"/>
      <c r="AE48" s="104"/>
      <c r="AF48" s="104"/>
      <c r="AG48" s="104"/>
      <c r="AJ48" s="29"/>
      <c r="AK48" s="63"/>
      <c r="AL48" s="63"/>
      <c r="AM48" s="75"/>
      <c r="AO48" s="29"/>
      <c r="AP48" s="8"/>
      <c r="AQ48" s="8"/>
      <c r="AR48" s="75"/>
    </row>
    <row r="49" spans="1:44" ht="12.5" x14ac:dyDescent="0.25">
      <c r="S49" s="88"/>
      <c r="T49" s="104"/>
      <c r="U49" s="104"/>
      <c r="V49" s="104"/>
      <c r="W49" s="104"/>
      <c r="X49" s="104"/>
      <c r="Y49" s="104"/>
      <c r="Z49" s="104"/>
      <c r="AA49" s="104"/>
      <c r="AB49" s="104"/>
      <c r="AC49" s="104"/>
      <c r="AD49" s="104"/>
      <c r="AE49" s="104"/>
      <c r="AF49" s="104"/>
      <c r="AG49" s="104"/>
      <c r="AJ49" s="29"/>
      <c r="AK49" s="63"/>
      <c r="AL49" s="63"/>
      <c r="AM49" s="75"/>
      <c r="AO49" s="29"/>
      <c r="AP49" s="8"/>
      <c r="AQ49" s="8"/>
      <c r="AR49" s="75"/>
    </row>
    <row r="50" spans="1:44" ht="12.5" x14ac:dyDescent="0.25">
      <c r="S50" s="88"/>
      <c r="T50" s="104"/>
      <c r="U50" s="104"/>
      <c r="V50" s="104"/>
      <c r="W50" s="104"/>
      <c r="X50" s="104"/>
      <c r="Y50" s="104"/>
      <c r="Z50" s="104"/>
      <c r="AA50" s="104"/>
      <c r="AB50" s="104"/>
      <c r="AC50" s="104"/>
      <c r="AD50" s="104"/>
      <c r="AE50" s="104"/>
      <c r="AF50" s="104"/>
      <c r="AG50" s="104"/>
      <c r="AJ50" s="29" t="s">
        <v>212</v>
      </c>
      <c r="AK50" s="63">
        <f t="shared" si="32"/>
        <v>1316.4749999999999</v>
      </c>
      <c r="AL50" s="63">
        <f t="shared" si="33"/>
        <v>768.71799999999996</v>
      </c>
      <c r="AM50" s="75">
        <f t="shared" si="34"/>
        <v>8261.7909999999993</v>
      </c>
      <c r="AO50" s="29" t="s">
        <v>212</v>
      </c>
      <c r="AP50" s="8">
        <f t="shared" ref="AP50" si="37">AK50/AM50</f>
        <v>0.15934498948230474</v>
      </c>
      <c r="AQ50" s="8">
        <f t="shared" ref="AQ50" si="38">AL50/AM50</f>
        <v>9.3044958411559922E-2</v>
      </c>
      <c r="AR50" s="75"/>
    </row>
    <row r="51" spans="1:44" ht="12.5" x14ac:dyDescent="0.25">
      <c r="S51" s="88" t="s">
        <v>212</v>
      </c>
      <c r="T51" s="104">
        <f t="shared" ref="T51:AG51" si="39">B53/1000</f>
        <v>1122.9380000000001</v>
      </c>
      <c r="U51" s="104">
        <f t="shared" si="39"/>
        <v>1001.65</v>
      </c>
      <c r="V51" s="104">
        <f t="shared" si="39"/>
        <v>1037.5920000000001</v>
      </c>
      <c r="W51" s="104">
        <f t="shared" si="39"/>
        <v>1117.9649999999999</v>
      </c>
      <c r="X51" s="104">
        <f t="shared" si="39"/>
        <v>1175.5440000000001</v>
      </c>
      <c r="Y51" s="104">
        <f t="shared" si="39"/>
        <v>1250.0170000000001</v>
      </c>
      <c r="Z51" s="104">
        <f t="shared" si="39"/>
        <v>1305.9749999999999</v>
      </c>
      <c r="AA51" s="104">
        <f t="shared" si="39"/>
        <v>1415.0029999999999</v>
      </c>
      <c r="AB51" s="104">
        <f t="shared" si="39"/>
        <v>1241.338</v>
      </c>
      <c r="AC51" s="104">
        <f t="shared" si="39"/>
        <v>1263.509</v>
      </c>
      <c r="AD51" s="104">
        <f t="shared" si="39"/>
        <v>1452.932</v>
      </c>
      <c r="AE51" s="104">
        <f t="shared" si="39"/>
        <v>1432.567</v>
      </c>
      <c r="AF51" s="104">
        <f t="shared" si="39"/>
        <v>1386.164</v>
      </c>
      <c r="AG51" s="104">
        <f t="shared" si="39"/>
        <v>1316.4749999999999</v>
      </c>
      <c r="AJ51" s="5"/>
      <c r="AK51" s="39"/>
      <c r="AL51" s="39"/>
      <c r="AM51" s="5"/>
      <c r="AO51" s="5"/>
      <c r="AP51" s="76">
        <f>AP50</f>
        <v>0.15934498948230474</v>
      </c>
      <c r="AQ51" s="76">
        <f>AQ50</f>
        <v>9.3044958411559922E-2</v>
      </c>
      <c r="AR51" s="5"/>
    </row>
    <row r="52" spans="1:44" ht="12.5" x14ac:dyDescent="0.25">
      <c r="T52" s="14"/>
      <c r="U52" s="14"/>
      <c r="V52" s="14"/>
      <c r="W52" s="14"/>
      <c r="X52" s="14"/>
      <c r="Y52" s="14"/>
      <c r="Z52" s="14"/>
      <c r="AA52" s="14"/>
      <c r="AB52" s="14"/>
      <c r="AC52" s="14"/>
      <c r="AD52" s="14"/>
      <c r="AE52" s="14"/>
      <c r="AF52" s="14"/>
      <c r="AG52" s="14"/>
      <c r="AJ52" s="5"/>
      <c r="AK52" s="8"/>
      <c r="AL52" s="8"/>
      <c r="AM52" s="5"/>
      <c r="AO52" s="5"/>
      <c r="AP52" s="8"/>
      <c r="AQ52" s="8"/>
      <c r="AR52" s="5"/>
    </row>
    <row r="53" spans="1:44" ht="12.5" x14ac:dyDescent="0.25">
      <c r="A53" s="60" t="s">
        <v>212</v>
      </c>
      <c r="B53" s="1">
        <v>1122938</v>
      </c>
      <c r="C53" s="1">
        <v>1001650</v>
      </c>
      <c r="D53" s="1">
        <v>1037592</v>
      </c>
      <c r="E53" s="1">
        <v>1117965</v>
      </c>
      <c r="F53" s="1">
        <v>1175544</v>
      </c>
      <c r="G53" s="1">
        <v>1250017</v>
      </c>
      <c r="H53" s="1">
        <v>1305975</v>
      </c>
      <c r="I53" s="1">
        <v>1415003</v>
      </c>
      <c r="J53" s="1">
        <v>1241338</v>
      </c>
      <c r="K53" s="1">
        <v>1263509</v>
      </c>
      <c r="L53" s="1">
        <v>1452932</v>
      </c>
      <c r="M53" s="1">
        <v>1432567</v>
      </c>
      <c r="N53" s="1">
        <v>1386164</v>
      </c>
      <c r="O53" s="1">
        <v>1316475</v>
      </c>
      <c r="P53" s="42">
        <v>17519669</v>
      </c>
    </row>
    <row r="56" spans="1:44" ht="13" x14ac:dyDescent="0.3">
      <c r="A56" s="1" t="s">
        <v>170</v>
      </c>
    </row>
    <row r="57" spans="1:44" ht="13" x14ac:dyDescent="0.3">
      <c r="B57" s="1">
        <v>2011</v>
      </c>
      <c r="C57" s="1">
        <v>2012</v>
      </c>
      <c r="D57" s="1">
        <v>2013</v>
      </c>
      <c r="E57" s="1">
        <v>2014</v>
      </c>
      <c r="F57" s="1">
        <v>2015</v>
      </c>
      <c r="G57" s="1">
        <v>2016</v>
      </c>
      <c r="H57" s="1">
        <v>2017</v>
      </c>
      <c r="I57" s="1">
        <v>2018</v>
      </c>
      <c r="J57" s="1">
        <v>2019</v>
      </c>
      <c r="K57" s="1">
        <v>2020</v>
      </c>
      <c r="L57" s="1">
        <v>2021</v>
      </c>
      <c r="M57" s="1">
        <v>2022</v>
      </c>
      <c r="N57" s="1">
        <v>2023</v>
      </c>
      <c r="O57" s="1">
        <v>2024</v>
      </c>
      <c r="P57" s="42" t="s">
        <v>2</v>
      </c>
      <c r="S57" s="93" t="s">
        <v>234</v>
      </c>
      <c r="T57" s="94"/>
      <c r="U57" s="94"/>
      <c r="V57" s="94"/>
      <c r="W57" s="94"/>
      <c r="X57" s="94"/>
      <c r="Y57" s="94"/>
      <c r="Z57" s="94"/>
      <c r="AA57" s="94"/>
      <c r="AB57" s="94"/>
      <c r="AC57" s="94"/>
      <c r="AD57" s="94"/>
      <c r="AE57" s="94"/>
      <c r="AF57" s="94"/>
      <c r="AG57" s="94"/>
    </row>
    <row r="58" spans="1:44" ht="13" x14ac:dyDescent="0.3">
      <c r="S58" s="94"/>
      <c r="T58" s="103">
        <v>2011</v>
      </c>
      <c r="U58" s="103">
        <v>2012</v>
      </c>
      <c r="V58" s="103">
        <v>2013</v>
      </c>
      <c r="W58" s="103">
        <v>2014</v>
      </c>
      <c r="X58" s="103">
        <v>2015</v>
      </c>
      <c r="Y58" s="103">
        <v>2016</v>
      </c>
      <c r="Z58" s="103">
        <v>2017</v>
      </c>
      <c r="AA58" s="103">
        <v>2018</v>
      </c>
      <c r="AB58" s="103">
        <v>2019</v>
      </c>
      <c r="AC58" s="103">
        <v>2020</v>
      </c>
      <c r="AD58" s="103">
        <v>2021</v>
      </c>
      <c r="AE58" s="103">
        <v>2022</v>
      </c>
      <c r="AF58" s="103">
        <v>2023</v>
      </c>
      <c r="AG58" s="103">
        <v>2024</v>
      </c>
    </row>
    <row r="59" spans="1:44" ht="12.5" x14ac:dyDescent="0.25">
      <c r="A59" s="1" t="s">
        <v>146</v>
      </c>
      <c r="B59" s="1">
        <v>3101</v>
      </c>
      <c r="C59" s="1">
        <v>2760</v>
      </c>
      <c r="D59" s="1">
        <v>2746</v>
      </c>
      <c r="E59" s="1">
        <v>2660</v>
      </c>
      <c r="F59" s="1">
        <v>2471</v>
      </c>
      <c r="G59" s="1">
        <v>2520</v>
      </c>
      <c r="H59" s="1">
        <v>2497</v>
      </c>
      <c r="I59" s="1">
        <v>2780</v>
      </c>
      <c r="J59" s="1">
        <v>3083</v>
      </c>
      <c r="K59" s="1">
        <v>3017</v>
      </c>
      <c r="L59" s="1">
        <v>3075</v>
      </c>
      <c r="M59" s="1">
        <v>3230</v>
      </c>
      <c r="N59" s="1">
        <v>3812</v>
      </c>
      <c r="O59" s="1">
        <v>4228</v>
      </c>
      <c r="P59" s="42">
        <v>41980</v>
      </c>
      <c r="S59" s="88" t="s">
        <v>146</v>
      </c>
      <c r="T59" s="104">
        <f t="shared" ref="T59:T67" si="40">B59/1000</f>
        <v>3.101</v>
      </c>
      <c r="U59" s="104">
        <f t="shared" ref="U59:U67" si="41">C59/1000</f>
        <v>2.76</v>
      </c>
      <c r="V59" s="104">
        <f t="shared" ref="V59:V67" si="42">D59/1000</f>
        <v>2.746</v>
      </c>
      <c r="W59" s="104">
        <f t="shared" ref="W59:W67" si="43">E59/1000</f>
        <v>2.66</v>
      </c>
      <c r="X59" s="104">
        <f t="shared" ref="X59:X67" si="44">F59/1000</f>
        <v>2.4710000000000001</v>
      </c>
      <c r="Y59" s="104">
        <f t="shared" ref="Y59:Y67" si="45">G59/1000</f>
        <v>2.52</v>
      </c>
      <c r="Z59" s="104">
        <f t="shared" ref="Z59:Z67" si="46">H59/1000</f>
        <v>2.4969999999999999</v>
      </c>
      <c r="AA59" s="104">
        <f t="shared" ref="AA59:AA67" si="47">I59/1000</f>
        <v>2.78</v>
      </c>
      <c r="AB59" s="104">
        <f t="shared" ref="AB59:AB67" si="48">J59/1000</f>
        <v>3.0830000000000002</v>
      </c>
      <c r="AC59" s="104">
        <f t="shared" ref="AC59:AC67" si="49">K59/1000</f>
        <v>3.0169999999999999</v>
      </c>
      <c r="AD59" s="104">
        <f t="shared" ref="AD59:AD67" si="50">L59/1000</f>
        <v>3.0750000000000002</v>
      </c>
      <c r="AE59" s="104">
        <f t="shared" ref="AE59:AE67" si="51">M59/1000</f>
        <v>3.23</v>
      </c>
      <c r="AF59" s="104">
        <f t="shared" ref="AF59:AF67" si="52">N59/1000</f>
        <v>3.8119999999999998</v>
      </c>
      <c r="AG59" s="104">
        <f t="shared" ref="AG59:AG67" si="53">O59/1000</f>
        <v>4.2279999999999998</v>
      </c>
    </row>
    <row r="60" spans="1:44" ht="12.5" x14ac:dyDescent="0.25">
      <c r="A60" s="1" t="s">
        <v>147</v>
      </c>
      <c r="B60" s="1">
        <v>5809</v>
      </c>
      <c r="C60" s="1">
        <v>6179</v>
      </c>
      <c r="D60" s="1">
        <v>5875</v>
      </c>
      <c r="E60" s="1">
        <v>5879</v>
      </c>
      <c r="F60" s="1">
        <v>5381</v>
      </c>
      <c r="G60" s="1">
        <v>4881</v>
      </c>
      <c r="H60" s="1">
        <v>5081</v>
      </c>
      <c r="I60" s="1">
        <v>5960</v>
      </c>
      <c r="J60" s="1">
        <v>6782</v>
      </c>
      <c r="K60" s="1">
        <v>6230</v>
      </c>
      <c r="L60" s="1">
        <v>6500</v>
      </c>
      <c r="M60" s="1">
        <v>7014</v>
      </c>
      <c r="N60" s="1">
        <v>7838</v>
      </c>
      <c r="O60" s="1">
        <v>8432</v>
      </c>
      <c r="P60" s="42">
        <v>87841</v>
      </c>
      <c r="S60" s="88" t="s">
        <v>147</v>
      </c>
      <c r="T60" s="104">
        <f t="shared" si="40"/>
        <v>5.8090000000000002</v>
      </c>
      <c r="U60" s="104">
        <f t="shared" si="41"/>
        <v>6.1790000000000003</v>
      </c>
      <c r="V60" s="104">
        <f t="shared" si="42"/>
        <v>5.875</v>
      </c>
      <c r="W60" s="104">
        <f t="shared" si="43"/>
        <v>5.8789999999999996</v>
      </c>
      <c r="X60" s="104">
        <f t="shared" si="44"/>
        <v>5.3810000000000002</v>
      </c>
      <c r="Y60" s="104">
        <f t="shared" si="45"/>
        <v>4.8810000000000002</v>
      </c>
      <c r="Z60" s="104">
        <f t="shared" si="46"/>
        <v>5.0810000000000004</v>
      </c>
      <c r="AA60" s="104">
        <f t="shared" si="47"/>
        <v>5.96</v>
      </c>
      <c r="AB60" s="104">
        <f t="shared" si="48"/>
        <v>6.782</v>
      </c>
      <c r="AC60" s="104">
        <f t="shared" si="49"/>
        <v>6.23</v>
      </c>
      <c r="AD60" s="104">
        <f t="shared" si="50"/>
        <v>6.5</v>
      </c>
      <c r="AE60" s="104">
        <f t="shared" si="51"/>
        <v>7.0140000000000002</v>
      </c>
      <c r="AF60" s="104">
        <f t="shared" si="52"/>
        <v>7.8380000000000001</v>
      </c>
      <c r="AG60" s="104">
        <f t="shared" si="53"/>
        <v>8.4320000000000004</v>
      </c>
    </row>
    <row r="61" spans="1:44" ht="12.5" x14ac:dyDescent="0.25">
      <c r="A61" s="1" t="s">
        <v>148</v>
      </c>
      <c r="B61" s="1">
        <v>12858</v>
      </c>
      <c r="C61" s="1">
        <v>13420</v>
      </c>
      <c r="D61" s="1">
        <v>12411</v>
      </c>
      <c r="E61" s="1">
        <v>12082</v>
      </c>
      <c r="F61" s="1">
        <v>12204</v>
      </c>
      <c r="G61" s="1">
        <v>13210</v>
      </c>
      <c r="H61" s="1">
        <v>14676</v>
      </c>
      <c r="I61" s="1">
        <v>15921</v>
      </c>
      <c r="J61" s="1">
        <v>16973</v>
      </c>
      <c r="K61" s="1">
        <v>14334</v>
      </c>
      <c r="L61" s="1">
        <v>15879</v>
      </c>
      <c r="M61" s="1">
        <v>17835</v>
      </c>
      <c r="N61" s="1">
        <v>19415</v>
      </c>
      <c r="O61" s="1">
        <v>19540</v>
      </c>
      <c r="P61" s="42">
        <v>210758</v>
      </c>
      <c r="S61" s="88" t="s">
        <v>148</v>
      </c>
      <c r="T61" s="104">
        <f t="shared" si="40"/>
        <v>12.858000000000001</v>
      </c>
      <c r="U61" s="104">
        <f t="shared" si="41"/>
        <v>13.42</v>
      </c>
      <c r="V61" s="104">
        <f t="shared" si="42"/>
        <v>12.411</v>
      </c>
      <c r="W61" s="104">
        <f t="shared" si="43"/>
        <v>12.082000000000001</v>
      </c>
      <c r="X61" s="104">
        <f t="shared" si="44"/>
        <v>12.204000000000001</v>
      </c>
      <c r="Y61" s="104">
        <f t="shared" si="45"/>
        <v>13.21</v>
      </c>
      <c r="Z61" s="104">
        <f t="shared" si="46"/>
        <v>14.676</v>
      </c>
      <c r="AA61" s="104">
        <f t="shared" si="47"/>
        <v>15.920999999999999</v>
      </c>
      <c r="AB61" s="104">
        <f t="shared" si="48"/>
        <v>16.972999999999999</v>
      </c>
      <c r="AC61" s="104">
        <f t="shared" si="49"/>
        <v>14.334</v>
      </c>
      <c r="AD61" s="104">
        <f t="shared" si="50"/>
        <v>15.879</v>
      </c>
      <c r="AE61" s="104">
        <f t="shared" si="51"/>
        <v>17.835000000000001</v>
      </c>
      <c r="AF61" s="104">
        <f t="shared" si="52"/>
        <v>19.414999999999999</v>
      </c>
      <c r="AG61" s="104">
        <f t="shared" si="53"/>
        <v>19.54</v>
      </c>
    </row>
    <row r="62" spans="1:44" ht="12.5" x14ac:dyDescent="0.25">
      <c r="A62" s="1" t="s">
        <v>149</v>
      </c>
      <c r="B62" s="1">
        <v>9767</v>
      </c>
      <c r="C62" s="1">
        <v>8902</v>
      </c>
      <c r="D62" s="1">
        <v>8578</v>
      </c>
      <c r="E62" s="1">
        <v>9353</v>
      </c>
      <c r="F62" s="1">
        <v>8611</v>
      </c>
      <c r="G62" s="1">
        <v>8119</v>
      </c>
      <c r="H62" s="1">
        <v>7542</v>
      </c>
      <c r="I62" s="1">
        <v>7624</v>
      </c>
      <c r="J62" s="1">
        <v>8277</v>
      </c>
      <c r="K62" s="1">
        <v>7952</v>
      </c>
      <c r="L62" s="1">
        <v>8029</v>
      </c>
      <c r="M62" s="1">
        <v>8539</v>
      </c>
      <c r="N62" s="1">
        <v>9317</v>
      </c>
      <c r="O62" s="1">
        <v>8993</v>
      </c>
      <c r="P62" s="42">
        <v>119603</v>
      </c>
      <c r="S62" s="88" t="s">
        <v>149</v>
      </c>
      <c r="T62" s="104">
        <f t="shared" si="40"/>
        <v>9.7669999999999995</v>
      </c>
      <c r="U62" s="104">
        <f t="shared" si="41"/>
        <v>8.9019999999999992</v>
      </c>
      <c r="V62" s="104">
        <f t="shared" si="42"/>
        <v>8.5779999999999994</v>
      </c>
      <c r="W62" s="104">
        <f t="shared" si="43"/>
        <v>9.3529999999999998</v>
      </c>
      <c r="X62" s="104">
        <f t="shared" si="44"/>
        <v>8.6110000000000007</v>
      </c>
      <c r="Y62" s="104">
        <f t="shared" si="45"/>
        <v>8.1189999999999998</v>
      </c>
      <c r="Z62" s="104">
        <f t="shared" si="46"/>
        <v>7.5419999999999998</v>
      </c>
      <c r="AA62" s="104">
        <f t="shared" si="47"/>
        <v>7.6239999999999997</v>
      </c>
      <c r="AB62" s="104">
        <f t="shared" si="48"/>
        <v>8.2769999999999992</v>
      </c>
      <c r="AC62" s="104">
        <f t="shared" si="49"/>
        <v>7.952</v>
      </c>
      <c r="AD62" s="104">
        <f t="shared" si="50"/>
        <v>8.0289999999999999</v>
      </c>
      <c r="AE62" s="104">
        <f t="shared" si="51"/>
        <v>8.5389999999999997</v>
      </c>
      <c r="AF62" s="104">
        <f t="shared" si="52"/>
        <v>9.3170000000000002</v>
      </c>
      <c r="AG62" s="104">
        <f t="shared" si="53"/>
        <v>8.9930000000000003</v>
      </c>
    </row>
    <row r="63" spans="1:44" ht="12.5" x14ac:dyDescent="0.25">
      <c r="A63" s="1" t="s">
        <v>150</v>
      </c>
      <c r="B63" s="1">
        <v>10457</v>
      </c>
      <c r="C63" s="1">
        <v>9572</v>
      </c>
      <c r="D63" s="1">
        <v>8494</v>
      </c>
      <c r="E63" s="1">
        <v>8716</v>
      </c>
      <c r="F63" s="1">
        <v>8571</v>
      </c>
      <c r="G63" s="1">
        <v>9137</v>
      </c>
      <c r="H63" s="1">
        <v>9139</v>
      </c>
      <c r="I63" s="1">
        <v>9257</v>
      </c>
      <c r="J63" s="1">
        <v>9861</v>
      </c>
      <c r="K63" s="1">
        <v>9355</v>
      </c>
      <c r="L63" s="1">
        <v>9634</v>
      </c>
      <c r="M63" s="1">
        <v>10102</v>
      </c>
      <c r="N63" s="1">
        <v>10493</v>
      </c>
      <c r="O63" s="1">
        <v>10423</v>
      </c>
      <c r="P63" s="42">
        <v>133211</v>
      </c>
      <c r="S63" s="88" t="s">
        <v>150</v>
      </c>
      <c r="T63" s="104">
        <f t="shared" si="40"/>
        <v>10.457000000000001</v>
      </c>
      <c r="U63" s="104">
        <f t="shared" si="41"/>
        <v>9.5719999999999992</v>
      </c>
      <c r="V63" s="104">
        <f t="shared" si="42"/>
        <v>8.4939999999999998</v>
      </c>
      <c r="W63" s="104">
        <f t="shared" si="43"/>
        <v>8.7159999999999993</v>
      </c>
      <c r="X63" s="104">
        <f t="shared" si="44"/>
        <v>8.5709999999999997</v>
      </c>
      <c r="Y63" s="104">
        <f t="shared" si="45"/>
        <v>9.1370000000000005</v>
      </c>
      <c r="Z63" s="104">
        <f t="shared" si="46"/>
        <v>9.1389999999999993</v>
      </c>
      <c r="AA63" s="104">
        <f t="shared" si="47"/>
        <v>9.2569999999999997</v>
      </c>
      <c r="AB63" s="104">
        <f t="shared" si="48"/>
        <v>9.8610000000000007</v>
      </c>
      <c r="AC63" s="104">
        <f t="shared" si="49"/>
        <v>9.3550000000000004</v>
      </c>
      <c r="AD63" s="104">
        <f t="shared" si="50"/>
        <v>9.6340000000000003</v>
      </c>
      <c r="AE63" s="104">
        <f t="shared" si="51"/>
        <v>10.102</v>
      </c>
      <c r="AF63" s="104">
        <f t="shared" si="52"/>
        <v>10.493</v>
      </c>
      <c r="AG63" s="104">
        <f t="shared" si="53"/>
        <v>10.423</v>
      </c>
    </row>
    <row r="64" spans="1:44" ht="12.5" x14ac:dyDescent="0.25">
      <c r="A64" s="1" t="s">
        <v>151</v>
      </c>
      <c r="B64" s="1">
        <v>26675</v>
      </c>
      <c r="C64" s="1">
        <v>26481</v>
      </c>
      <c r="D64" s="1">
        <v>26901</v>
      </c>
      <c r="E64" s="1">
        <v>27579</v>
      </c>
      <c r="F64" s="1">
        <v>24376</v>
      </c>
      <c r="G64" s="1">
        <v>24328</v>
      </c>
      <c r="H64" s="1">
        <v>25418</v>
      </c>
      <c r="I64" s="1">
        <v>26700</v>
      </c>
      <c r="J64" s="1">
        <v>26985</v>
      </c>
      <c r="K64" s="1">
        <v>27713</v>
      </c>
      <c r="L64" s="1">
        <v>30799</v>
      </c>
      <c r="M64" s="1">
        <v>31777</v>
      </c>
      <c r="N64" s="1">
        <v>32156</v>
      </c>
      <c r="O64" s="1">
        <v>31520</v>
      </c>
      <c r="P64" s="42">
        <v>389408</v>
      </c>
      <c r="S64" s="88" t="s">
        <v>151</v>
      </c>
      <c r="T64" s="104">
        <f t="shared" si="40"/>
        <v>26.675000000000001</v>
      </c>
      <c r="U64" s="104">
        <f t="shared" si="41"/>
        <v>26.481000000000002</v>
      </c>
      <c r="V64" s="104">
        <f t="shared" si="42"/>
        <v>26.901</v>
      </c>
      <c r="W64" s="104">
        <f t="shared" si="43"/>
        <v>27.579000000000001</v>
      </c>
      <c r="X64" s="104">
        <f t="shared" si="44"/>
        <v>24.376000000000001</v>
      </c>
      <c r="Y64" s="104">
        <f t="shared" si="45"/>
        <v>24.327999999999999</v>
      </c>
      <c r="Z64" s="104">
        <f t="shared" si="46"/>
        <v>25.417999999999999</v>
      </c>
      <c r="AA64" s="104">
        <f t="shared" si="47"/>
        <v>26.7</v>
      </c>
      <c r="AB64" s="104">
        <f t="shared" si="48"/>
        <v>26.984999999999999</v>
      </c>
      <c r="AC64" s="104">
        <f t="shared" si="49"/>
        <v>27.713000000000001</v>
      </c>
      <c r="AD64" s="104">
        <f t="shared" si="50"/>
        <v>30.798999999999999</v>
      </c>
      <c r="AE64" s="104">
        <f t="shared" si="51"/>
        <v>31.777000000000001</v>
      </c>
      <c r="AF64" s="104">
        <f t="shared" si="52"/>
        <v>32.155999999999999</v>
      </c>
      <c r="AG64" s="104">
        <f t="shared" si="53"/>
        <v>31.52</v>
      </c>
    </row>
    <row r="65" spans="1:33" ht="12.5" x14ac:dyDescent="0.25">
      <c r="A65" s="1" t="s">
        <v>153</v>
      </c>
      <c r="B65" s="1">
        <v>24391</v>
      </c>
      <c r="C65" s="1">
        <v>26225</v>
      </c>
      <c r="D65" s="1">
        <v>28969</v>
      </c>
      <c r="E65" s="1">
        <v>30104</v>
      </c>
      <c r="F65" s="1">
        <v>25843</v>
      </c>
      <c r="G65" s="1">
        <v>23029</v>
      </c>
      <c r="H65" s="1">
        <v>22627</v>
      </c>
      <c r="I65" s="1">
        <v>23324</v>
      </c>
      <c r="J65" s="1">
        <v>27104</v>
      </c>
      <c r="K65" s="1">
        <v>28649</v>
      </c>
      <c r="L65" s="1">
        <v>31451</v>
      </c>
      <c r="M65" s="1">
        <v>31261</v>
      </c>
      <c r="N65" s="1">
        <v>32578</v>
      </c>
      <c r="O65" s="1">
        <v>31572</v>
      </c>
      <c r="P65" s="42">
        <v>387127</v>
      </c>
      <c r="S65" s="88" t="s">
        <v>153</v>
      </c>
      <c r="T65" s="104">
        <f t="shared" si="40"/>
        <v>24.390999999999998</v>
      </c>
      <c r="U65" s="104">
        <f t="shared" si="41"/>
        <v>26.225000000000001</v>
      </c>
      <c r="V65" s="104">
        <f t="shared" si="42"/>
        <v>28.969000000000001</v>
      </c>
      <c r="W65" s="104">
        <f t="shared" si="43"/>
        <v>30.103999999999999</v>
      </c>
      <c r="X65" s="104">
        <f t="shared" si="44"/>
        <v>25.843</v>
      </c>
      <c r="Y65" s="104">
        <f t="shared" si="45"/>
        <v>23.029</v>
      </c>
      <c r="Z65" s="104">
        <f t="shared" si="46"/>
        <v>22.626999999999999</v>
      </c>
      <c r="AA65" s="104">
        <f t="shared" si="47"/>
        <v>23.324000000000002</v>
      </c>
      <c r="AB65" s="104">
        <f t="shared" si="48"/>
        <v>27.103999999999999</v>
      </c>
      <c r="AC65" s="104">
        <f t="shared" si="49"/>
        <v>28.649000000000001</v>
      </c>
      <c r="AD65" s="104">
        <f t="shared" si="50"/>
        <v>31.451000000000001</v>
      </c>
      <c r="AE65" s="104">
        <f t="shared" si="51"/>
        <v>31.260999999999999</v>
      </c>
      <c r="AF65" s="104">
        <f t="shared" si="52"/>
        <v>32.578000000000003</v>
      </c>
      <c r="AG65" s="104">
        <f t="shared" si="53"/>
        <v>31.571999999999999</v>
      </c>
    </row>
    <row r="66" spans="1:33" ht="12.5" x14ac:dyDescent="0.25">
      <c r="A66" s="1" t="s">
        <v>152</v>
      </c>
      <c r="B66" s="1">
        <v>14604</v>
      </c>
      <c r="C66" s="1">
        <v>18093</v>
      </c>
      <c r="D66" s="1">
        <v>16475</v>
      </c>
      <c r="E66" s="1">
        <v>18718</v>
      </c>
      <c r="F66" s="1">
        <v>14387</v>
      </c>
      <c r="G66" s="1">
        <v>10456</v>
      </c>
      <c r="H66" s="1">
        <v>10907</v>
      </c>
      <c r="I66" s="1">
        <v>10260</v>
      </c>
      <c r="J66" s="1">
        <v>11594</v>
      </c>
      <c r="K66" s="1">
        <v>10809</v>
      </c>
      <c r="L66" s="1">
        <v>11694</v>
      </c>
      <c r="M66" s="1">
        <v>11729</v>
      </c>
      <c r="N66" s="1">
        <v>12099</v>
      </c>
      <c r="O66" s="1">
        <v>13960</v>
      </c>
      <c r="P66" s="42">
        <v>185785</v>
      </c>
      <c r="S66" s="88" t="s">
        <v>152</v>
      </c>
      <c r="T66" s="104">
        <f t="shared" si="40"/>
        <v>14.603999999999999</v>
      </c>
      <c r="U66" s="104">
        <f t="shared" si="41"/>
        <v>18.093</v>
      </c>
      <c r="V66" s="104">
        <f t="shared" si="42"/>
        <v>16.475000000000001</v>
      </c>
      <c r="W66" s="104">
        <f t="shared" si="43"/>
        <v>18.718</v>
      </c>
      <c r="X66" s="104">
        <f t="shared" si="44"/>
        <v>14.387</v>
      </c>
      <c r="Y66" s="104">
        <f t="shared" si="45"/>
        <v>10.456</v>
      </c>
      <c r="Z66" s="104">
        <f t="shared" si="46"/>
        <v>10.907</v>
      </c>
      <c r="AA66" s="104">
        <f t="shared" si="47"/>
        <v>10.26</v>
      </c>
      <c r="AB66" s="104">
        <f t="shared" si="48"/>
        <v>11.593999999999999</v>
      </c>
      <c r="AC66" s="104">
        <f t="shared" si="49"/>
        <v>10.808999999999999</v>
      </c>
      <c r="AD66" s="104">
        <f t="shared" si="50"/>
        <v>11.694000000000001</v>
      </c>
      <c r="AE66" s="104">
        <f t="shared" si="51"/>
        <v>11.728999999999999</v>
      </c>
      <c r="AF66" s="104">
        <f t="shared" si="52"/>
        <v>12.099</v>
      </c>
      <c r="AG66" s="104">
        <f t="shared" si="53"/>
        <v>13.96</v>
      </c>
    </row>
    <row r="67" spans="1:33" ht="12.5" x14ac:dyDescent="0.25">
      <c r="A67" s="1" t="s">
        <v>154</v>
      </c>
      <c r="B67" s="1">
        <v>8526</v>
      </c>
      <c r="C67" s="1">
        <v>10460</v>
      </c>
      <c r="D67" s="1">
        <v>9434</v>
      </c>
      <c r="E67" s="1">
        <v>6576</v>
      </c>
      <c r="F67" s="1">
        <v>4999</v>
      </c>
      <c r="G67" s="1">
        <v>4287</v>
      </c>
      <c r="H67" s="1">
        <v>4141</v>
      </c>
      <c r="I67" s="1">
        <v>4295</v>
      </c>
      <c r="J67" s="1">
        <v>5030</v>
      </c>
      <c r="K67" s="1">
        <v>4926</v>
      </c>
      <c r="L67" s="1">
        <v>5909</v>
      </c>
      <c r="M67" s="1">
        <v>6306</v>
      </c>
      <c r="N67" s="1">
        <v>6916</v>
      </c>
      <c r="O67" s="1">
        <v>6638</v>
      </c>
      <c r="P67" s="42">
        <v>88443</v>
      </c>
      <c r="S67" s="88" t="s">
        <v>154</v>
      </c>
      <c r="T67" s="104">
        <f t="shared" si="40"/>
        <v>8.5259999999999998</v>
      </c>
      <c r="U67" s="104">
        <f t="shared" si="41"/>
        <v>10.46</v>
      </c>
      <c r="V67" s="104">
        <f t="shared" si="42"/>
        <v>9.4339999999999993</v>
      </c>
      <c r="W67" s="104">
        <f t="shared" si="43"/>
        <v>6.5759999999999996</v>
      </c>
      <c r="X67" s="104">
        <f t="shared" si="44"/>
        <v>4.9989999999999997</v>
      </c>
      <c r="Y67" s="104">
        <f t="shared" si="45"/>
        <v>4.2869999999999999</v>
      </c>
      <c r="Z67" s="104">
        <f t="shared" si="46"/>
        <v>4.141</v>
      </c>
      <c r="AA67" s="104">
        <f t="shared" si="47"/>
        <v>4.2949999999999999</v>
      </c>
      <c r="AB67" s="104">
        <f t="shared" si="48"/>
        <v>5.03</v>
      </c>
      <c r="AC67" s="104">
        <f t="shared" si="49"/>
        <v>4.9260000000000002</v>
      </c>
      <c r="AD67" s="104">
        <f t="shared" si="50"/>
        <v>5.9089999999999998</v>
      </c>
      <c r="AE67" s="104">
        <f t="shared" si="51"/>
        <v>6.306</v>
      </c>
      <c r="AF67" s="104">
        <f t="shared" si="52"/>
        <v>6.9160000000000004</v>
      </c>
      <c r="AG67" s="104">
        <f t="shared" si="53"/>
        <v>6.6379999999999999</v>
      </c>
    </row>
    <row r="68" spans="1:33" ht="12.5" x14ac:dyDescent="0.25">
      <c r="S68" s="88"/>
      <c r="T68" s="104"/>
      <c r="U68" s="104"/>
      <c r="V68" s="104"/>
      <c r="W68" s="104"/>
      <c r="X68" s="104"/>
      <c r="Y68" s="104"/>
      <c r="Z68" s="104"/>
      <c r="AA68" s="104"/>
      <c r="AB68" s="104"/>
      <c r="AC68" s="104"/>
      <c r="AD68" s="104"/>
      <c r="AE68" s="104"/>
      <c r="AF68" s="104"/>
      <c r="AG68" s="104"/>
    </row>
    <row r="69" spans="1:33" ht="12.5" x14ac:dyDescent="0.25">
      <c r="S69" s="88"/>
      <c r="T69" s="104"/>
      <c r="U69" s="104"/>
      <c r="V69" s="104"/>
      <c r="W69" s="104"/>
      <c r="X69" s="104"/>
      <c r="Y69" s="104"/>
      <c r="Z69" s="104"/>
      <c r="AA69" s="104"/>
      <c r="AB69" s="104"/>
      <c r="AC69" s="104"/>
      <c r="AD69" s="104"/>
      <c r="AE69" s="104"/>
      <c r="AF69" s="104"/>
      <c r="AG69" s="104"/>
    </row>
    <row r="70" spans="1:33" ht="12.5" x14ac:dyDescent="0.25">
      <c r="S70" s="88"/>
      <c r="T70" s="104"/>
      <c r="U70" s="104"/>
      <c r="V70" s="104"/>
      <c r="W70" s="104"/>
      <c r="X70" s="104"/>
      <c r="Y70" s="104"/>
      <c r="Z70" s="104"/>
      <c r="AA70" s="104"/>
      <c r="AB70" s="104"/>
      <c r="AC70" s="104"/>
      <c r="AD70" s="104"/>
      <c r="AE70" s="104"/>
      <c r="AF70" s="104"/>
      <c r="AG70" s="104"/>
    </row>
    <row r="71" spans="1:33" ht="12.5" x14ac:dyDescent="0.25">
      <c r="S71" s="88"/>
      <c r="T71" s="104"/>
      <c r="U71" s="104"/>
      <c r="V71" s="104"/>
      <c r="W71" s="104"/>
      <c r="X71" s="104"/>
      <c r="Y71" s="104"/>
      <c r="Z71" s="104"/>
      <c r="AA71" s="104"/>
      <c r="AB71" s="104"/>
      <c r="AC71" s="104"/>
      <c r="AD71" s="104"/>
      <c r="AE71" s="104"/>
      <c r="AF71" s="104"/>
      <c r="AG71" s="104"/>
    </row>
    <row r="72" spans="1:33" ht="12.5" x14ac:dyDescent="0.25">
      <c r="S72" s="88"/>
      <c r="T72" s="104"/>
      <c r="U72" s="104"/>
      <c r="V72" s="104"/>
      <c r="W72" s="104"/>
      <c r="X72" s="104"/>
      <c r="Y72" s="104"/>
      <c r="Z72" s="104"/>
      <c r="AA72" s="104"/>
      <c r="AB72" s="104"/>
      <c r="AC72" s="104"/>
      <c r="AD72" s="104"/>
      <c r="AE72" s="104"/>
      <c r="AF72" s="104"/>
      <c r="AG72" s="104"/>
    </row>
    <row r="73" spans="1:33" ht="12.5" x14ac:dyDescent="0.25">
      <c r="S73" s="88"/>
      <c r="T73" s="104"/>
      <c r="U73" s="104"/>
      <c r="V73" s="104"/>
      <c r="W73" s="104"/>
      <c r="X73" s="104"/>
      <c r="Y73" s="104"/>
      <c r="Z73" s="104"/>
      <c r="AA73" s="104"/>
      <c r="AB73" s="104"/>
      <c r="AC73" s="104"/>
      <c r="AD73" s="104"/>
      <c r="AE73" s="104"/>
      <c r="AF73" s="104"/>
      <c r="AG73" s="104"/>
    </row>
    <row r="74" spans="1:33" ht="12.5" x14ac:dyDescent="0.25">
      <c r="S74" s="88"/>
      <c r="T74" s="104"/>
      <c r="U74" s="104"/>
      <c r="V74" s="104"/>
      <c r="W74" s="104"/>
      <c r="X74" s="104"/>
      <c r="Y74" s="104"/>
      <c r="Z74" s="104"/>
      <c r="AA74" s="104"/>
      <c r="AB74" s="104"/>
      <c r="AC74" s="104"/>
      <c r="AD74" s="104"/>
      <c r="AE74" s="104"/>
      <c r="AF74" s="104"/>
      <c r="AG74" s="104"/>
    </row>
    <row r="75" spans="1:33" ht="12.5" x14ac:dyDescent="0.25">
      <c r="S75" s="88"/>
      <c r="T75" s="104"/>
      <c r="U75" s="104"/>
      <c r="V75" s="104"/>
      <c r="W75" s="104"/>
      <c r="X75" s="104"/>
      <c r="Y75" s="104"/>
      <c r="Z75" s="104"/>
      <c r="AA75" s="104"/>
      <c r="AB75" s="104"/>
      <c r="AC75" s="104"/>
      <c r="AD75" s="104"/>
      <c r="AE75" s="104"/>
      <c r="AF75" s="104"/>
      <c r="AG75" s="104"/>
    </row>
    <row r="76" spans="1:33" ht="12.5" x14ac:dyDescent="0.25">
      <c r="S76" s="88"/>
      <c r="T76" s="104"/>
      <c r="U76" s="104"/>
      <c r="V76" s="104"/>
      <c r="W76" s="104"/>
      <c r="X76" s="104"/>
      <c r="Y76" s="104"/>
      <c r="Z76" s="104"/>
      <c r="AA76" s="104"/>
      <c r="AB76" s="104"/>
      <c r="AC76" s="104"/>
      <c r="AD76" s="104"/>
      <c r="AE76" s="104"/>
      <c r="AF76" s="104"/>
      <c r="AG76" s="104"/>
    </row>
    <row r="77" spans="1:33" ht="12.5" x14ac:dyDescent="0.25">
      <c r="S77" s="88"/>
      <c r="T77" s="104"/>
      <c r="U77" s="104"/>
      <c r="V77" s="104"/>
      <c r="W77" s="104"/>
      <c r="X77" s="104"/>
      <c r="Y77" s="104"/>
      <c r="Z77" s="104"/>
      <c r="AA77" s="104"/>
      <c r="AB77" s="104"/>
      <c r="AC77" s="104"/>
      <c r="AD77" s="104"/>
      <c r="AE77" s="104"/>
      <c r="AF77" s="104"/>
      <c r="AG77" s="104"/>
    </row>
    <row r="78" spans="1:33" ht="12.5" x14ac:dyDescent="0.25">
      <c r="S78" s="88" t="s">
        <v>212</v>
      </c>
      <c r="T78" s="104">
        <f t="shared" ref="T78:AG78" si="54">B80/1000</f>
        <v>657.01800000000003</v>
      </c>
      <c r="U78" s="104">
        <f t="shared" si="54"/>
        <v>684.78599999999994</v>
      </c>
      <c r="V78" s="104">
        <f t="shared" si="54"/>
        <v>643.70699999999999</v>
      </c>
      <c r="W78" s="104">
        <f t="shared" si="54"/>
        <v>627.53399999999999</v>
      </c>
      <c r="X78" s="104">
        <f t="shared" si="54"/>
        <v>601.98599999999999</v>
      </c>
      <c r="Y78" s="104">
        <f t="shared" si="54"/>
        <v>581.53</v>
      </c>
      <c r="Z78" s="104">
        <f t="shared" si="54"/>
        <v>592.12699999999995</v>
      </c>
      <c r="AA78" s="104">
        <f t="shared" si="54"/>
        <v>702.84199999999998</v>
      </c>
      <c r="AB78" s="104">
        <f t="shared" si="54"/>
        <v>758.87199999999996</v>
      </c>
      <c r="AC78" s="104">
        <f t="shared" si="54"/>
        <v>627.96699999999998</v>
      </c>
      <c r="AD78" s="104">
        <f t="shared" si="54"/>
        <v>716.98</v>
      </c>
      <c r="AE78" s="104">
        <f t="shared" si="54"/>
        <v>772.04499999999996</v>
      </c>
      <c r="AF78" s="104">
        <f t="shared" si="54"/>
        <v>775.06</v>
      </c>
      <c r="AG78" s="104">
        <f t="shared" si="54"/>
        <v>768.71799999999996</v>
      </c>
    </row>
    <row r="79" spans="1:33" ht="12.5" x14ac:dyDescent="0.25">
      <c r="T79" s="14"/>
      <c r="U79" s="14"/>
      <c r="V79" s="14"/>
      <c r="W79" s="14"/>
      <c r="X79" s="14"/>
      <c r="Y79" s="14"/>
      <c r="Z79" s="14"/>
      <c r="AA79" s="14"/>
      <c r="AB79" s="14"/>
      <c r="AC79" s="14"/>
      <c r="AD79" s="14"/>
      <c r="AE79" s="14"/>
      <c r="AF79" s="14"/>
      <c r="AG79" s="14"/>
    </row>
    <row r="80" spans="1:33" ht="12.5" x14ac:dyDescent="0.25">
      <c r="A80" s="60" t="s">
        <v>52</v>
      </c>
      <c r="B80" s="1">
        <v>657018</v>
      </c>
      <c r="C80" s="1">
        <v>684786</v>
      </c>
      <c r="D80" s="1">
        <v>643707</v>
      </c>
      <c r="E80" s="1">
        <v>627534</v>
      </c>
      <c r="F80" s="1">
        <v>601986</v>
      </c>
      <c r="G80" s="1">
        <v>581530</v>
      </c>
      <c r="H80" s="1">
        <v>592127</v>
      </c>
      <c r="I80" s="1">
        <v>702842</v>
      </c>
      <c r="J80" s="1">
        <v>758872</v>
      </c>
      <c r="K80" s="1">
        <v>627967</v>
      </c>
      <c r="L80" s="1">
        <v>716980</v>
      </c>
      <c r="M80" s="1">
        <v>772045</v>
      </c>
      <c r="N80" s="1">
        <v>775060</v>
      </c>
      <c r="O80" s="1">
        <v>768718</v>
      </c>
      <c r="P80" s="42">
        <v>9511172</v>
      </c>
    </row>
    <row r="82" spans="1:33" ht="12.75" customHeight="1" x14ac:dyDescent="0.3">
      <c r="A82" s="110" t="s">
        <v>211</v>
      </c>
      <c r="B82" s="111"/>
      <c r="C82" s="112"/>
      <c r="D82" s="112"/>
      <c r="E82" s="112"/>
      <c r="F82" s="112"/>
      <c r="G82" s="112"/>
      <c r="H82" s="107"/>
      <c r="I82" s="107"/>
      <c r="J82" s="107"/>
      <c r="K82" s="107"/>
      <c r="L82" s="107"/>
      <c r="M82" s="107"/>
      <c r="N82" s="107"/>
      <c r="O82" s="107"/>
      <c r="P82" s="107"/>
    </row>
    <row r="83" spans="1:33" ht="12.75" customHeight="1" x14ac:dyDescent="0.25">
      <c r="A83" s="60"/>
      <c r="B83" s="60"/>
      <c r="C83" s="107"/>
      <c r="D83" s="107"/>
      <c r="E83" s="107"/>
      <c r="F83" s="107"/>
      <c r="G83" s="107"/>
      <c r="H83" s="107"/>
      <c r="I83" s="107"/>
      <c r="J83" s="107"/>
      <c r="K83" s="107"/>
      <c r="L83" s="107"/>
      <c r="M83" s="107"/>
      <c r="N83" s="107"/>
      <c r="O83" s="107"/>
      <c r="P83" s="107"/>
    </row>
    <row r="84" spans="1:33" ht="12.75" customHeight="1" x14ac:dyDescent="0.3">
      <c r="A84" s="60"/>
      <c r="B84" s="105">
        <v>2011</v>
      </c>
      <c r="C84" s="106">
        <v>2012</v>
      </c>
      <c r="D84" s="106">
        <v>2013</v>
      </c>
      <c r="E84" s="106">
        <v>2014</v>
      </c>
      <c r="F84" s="106">
        <v>2015</v>
      </c>
      <c r="G84" s="106">
        <v>2016</v>
      </c>
      <c r="H84" s="106">
        <v>2017</v>
      </c>
      <c r="I84" s="106">
        <v>2018</v>
      </c>
      <c r="J84" s="106">
        <v>2019</v>
      </c>
      <c r="K84" s="106">
        <v>2020</v>
      </c>
      <c r="L84" s="106">
        <v>2021</v>
      </c>
      <c r="M84" s="106">
        <v>2022</v>
      </c>
      <c r="N84" s="106">
        <v>2023</v>
      </c>
      <c r="O84" s="105">
        <v>2024</v>
      </c>
      <c r="P84" s="106" t="s">
        <v>2</v>
      </c>
      <c r="S84" s="93" t="s">
        <v>234</v>
      </c>
      <c r="T84" s="94"/>
      <c r="U84" s="94"/>
      <c r="V84" s="94"/>
      <c r="W84" s="94"/>
      <c r="X84" s="94"/>
      <c r="Y84" s="94"/>
      <c r="Z84" s="94"/>
      <c r="AA84" s="94"/>
      <c r="AB84" s="94"/>
      <c r="AC84" s="94"/>
      <c r="AD84" s="94"/>
      <c r="AE84" s="94"/>
      <c r="AF84" s="94"/>
      <c r="AG84" s="94"/>
    </row>
    <row r="85" spans="1:33" ht="12.75" customHeight="1" x14ac:dyDescent="0.3">
      <c r="B85" s="60"/>
      <c r="C85" s="107"/>
      <c r="D85" s="107"/>
      <c r="E85" s="107"/>
      <c r="F85" s="107"/>
      <c r="G85" s="107"/>
      <c r="H85" s="107"/>
      <c r="I85" s="107"/>
      <c r="J85" s="107"/>
      <c r="K85" s="107"/>
      <c r="L85" s="107"/>
      <c r="M85" s="107"/>
      <c r="N85" s="107"/>
      <c r="O85" s="60"/>
      <c r="P85" s="107"/>
      <c r="S85" s="94"/>
      <c r="T85" s="103">
        <v>2011</v>
      </c>
      <c r="U85" s="103">
        <v>2012</v>
      </c>
      <c r="V85" s="103">
        <v>2013</v>
      </c>
      <c r="W85" s="103">
        <v>2014</v>
      </c>
      <c r="X85" s="103">
        <v>2015</v>
      </c>
      <c r="Y85" s="103">
        <v>2016</v>
      </c>
      <c r="Z85" s="103">
        <v>2017</v>
      </c>
      <c r="AA85" s="103">
        <v>2018</v>
      </c>
      <c r="AB85" s="103">
        <v>2019</v>
      </c>
      <c r="AC85" s="103">
        <v>2020</v>
      </c>
      <c r="AD85" s="103">
        <v>2021</v>
      </c>
      <c r="AE85" s="103">
        <v>2022</v>
      </c>
      <c r="AF85" s="103">
        <v>2023</v>
      </c>
      <c r="AG85" s="103">
        <v>2024</v>
      </c>
    </row>
    <row r="86" spans="1:33" ht="12.75" customHeight="1" x14ac:dyDescent="0.25">
      <c r="A86" s="1" t="s">
        <v>146</v>
      </c>
      <c r="B86" s="108">
        <v>61016</v>
      </c>
      <c r="C86" s="109">
        <v>59634</v>
      </c>
      <c r="D86" s="109">
        <v>59739</v>
      </c>
      <c r="E86" s="109">
        <v>59666</v>
      </c>
      <c r="F86" s="109">
        <v>59962</v>
      </c>
      <c r="G86" s="109">
        <v>60394</v>
      </c>
      <c r="H86" s="109">
        <v>62423</v>
      </c>
      <c r="I86" s="109">
        <v>64066</v>
      </c>
      <c r="J86" s="109">
        <v>63693</v>
      </c>
      <c r="K86" s="109">
        <v>64762</v>
      </c>
      <c r="L86" s="109">
        <v>68443</v>
      </c>
      <c r="M86" s="109">
        <v>71711</v>
      </c>
      <c r="N86" s="109">
        <v>73079</v>
      </c>
      <c r="O86" s="109">
        <v>72333</v>
      </c>
      <c r="P86" s="109">
        <v>900921</v>
      </c>
      <c r="S86" s="88" t="s">
        <v>146</v>
      </c>
      <c r="T86" s="104">
        <f t="shared" ref="T86:T94" si="55">B86/1000</f>
        <v>61.015999999999998</v>
      </c>
      <c r="U86" s="104">
        <f t="shared" ref="U86:U94" si="56">C86/1000</f>
        <v>59.634</v>
      </c>
      <c r="V86" s="104">
        <f t="shared" ref="V86:V94" si="57">D86/1000</f>
        <v>59.738999999999997</v>
      </c>
      <c r="W86" s="104">
        <f t="shared" ref="W86:W94" si="58">E86/1000</f>
        <v>59.665999999999997</v>
      </c>
      <c r="X86" s="104">
        <f t="shared" ref="X86:X94" si="59">F86/1000</f>
        <v>59.962000000000003</v>
      </c>
      <c r="Y86" s="104">
        <f t="shared" ref="Y86:Y94" si="60">G86/1000</f>
        <v>60.393999999999998</v>
      </c>
      <c r="Z86" s="104">
        <f t="shared" ref="Z86:Z94" si="61">H86/1000</f>
        <v>62.423000000000002</v>
      </c>
      <c r="AA86" s="104">
        <f t="shared" ref="AA86:AA94" si="62">I86/1000</f>
        <v>64.066000000000003</v>
      </c>
      <c r="AB86" s="104">
        <f t="shared" ref="AB86:AB94" si="63">J86/1000</f>
        <v>63.692999999999998</v>
      </c>
      <c r="AC86" s="104">
        <f t="shared" ref="AC86:AC94" si="64">K86/1000</f>
        <v>64.762</v>
      </c>
      <c r="AD86" s="104">
        <f t="shared" ref="AD86:AD94" si="65">L86/1000</f>
        <v>68.442999999999998</v>
      </c>
      <c r="AE86" s="104">
        <f t="shared" ref="AE86:AE94" si="66">M86/1000</f>
        <v>71.710999999999999</v>
      </c>
      <c r="AF86" s="104">
        <f t="shared" ref="AF86:AF94" si="67">N86/1000</f>
        <v>73.078999999999994</v>
      </c>
      <c r="AG86" s="104">
        <f t="shared" ref="AG86:AG94" si="68">O86/1000</f>
        <v>72.332999999999998</v>
      </c>
    </row>
    <row r="87" spans="1:33" ht="12.75" customHeight="1" x14ac:dyDescent="0.25">
      <c r="A87" s="1" t="s">
        <v>147</v>
      </c>
      <c r="B87" s="108">
        <v>116978</v>
      </c>
      <c r="C87" s="109">
        <v>117439</v>
      </c>
      <c r="D87" s="109">
        <v>118724</v>
      </c>
      <c r="E87" s="109">
        <v>118840</v>
      </c>
      <c r="F87" s="109">
        <v>119556</v>
      </c>
      <c r="G87" s="109">
        <v>121879</v>
      </c>
      <c r="H87" s="109">
        <v>127994</v>
      </c>
      <c r="I87" s="109">
        <v>134187</v>
      </c>
      <c r="J87" s="109">
        <v>135400</v>
      </c>
      <c r="K87" s="109">
        <v>139347</v>
      </c>
      <c r="L87" s="109">
        <v>146207</v>
      </c>
      <c r="M87" s="109">
        <v>153682</v>
      </c>
      <c r="N87" s="109">
        <v>157069</v>
      </c>
      <c r="O87" s="109">
        <v>156856</v>
      </c>
      <c r="P87" s="109">
        <v>1864158</v>
      </c>
      <c r="S87" s="88" t="s">
        <v>147</v>
      </c>
      <c r="T87" s="104">
        <f t="shared" si="55"/>
        <v>116.97799999999999</v>
      </c>
      <c r="U87" s="104">
        <f t="shared" si="56"/>
        <v>117.43899999999999</v>
      </c>
      <c r="V87" s="104">
        <f t="shared" si="57"/>
        <v>118.724</v>
      </c>
      <c r="W87" s="104">
        <f t="shared" si="58"/>
        <v>118.84</v>
      </c>
      <c r="X87" s="104">
        <f t="shared" si="59"/>
        <v>119.556</v>
      </c>
      <c r="Y87" s="104">
        <f t="shared" si="60"/>
        <v>121.879</v>
      </c>
      <c r="Z87" s="104">
        <f t="shared" si="61"/>
        <v>127.994</v>
      </c>
      <c r="AA87" s="104">
        <f t="shared" si="62"/>
        <v>134.18700000000001</v>
      </c>
      <c r="AB87" s="104">
        <f t="shared" si="63"/>
        <v>135.4</v>
      </c>
      <c r="AC87" s="104">
        <f t="shared" si="64"/>
        <v>139.34700000000001</v>
      </c>
      <c r="AD87" s="104">
        <f t="shared" si="65"/>
        <v>146.20699999999999</v>
      </c>
      <c r="AE87" s="104">
        <f t="shared" si="66"/>
        <v>153.68199999999999</v>
      </c>
      <c r="AF87" s="104">
        <f t="shared" si="67"/>
        <v>157.06899999999999</v>
      </c>
      <c r="AG87" s="104">
        <f t="shared" si="68"/>
        <v>156.85599999999999</v>
      </c>
    </row>
    <row r="88" spans="1:33" ht="12.75" customHeight="1" x14ac:dyDescent="0.25">
      <c r="A88" s="1" t="s">
        <v>148</v>
      </c>
      <c r="B88" s="108">
        <v>165625</v>
      </c>
      <c r="C88" s="109">
        <v>163086</v>
      </c>
      <c r="D88" s="109">
        <v>172344</v>
      </c>
      <c r="E88" s="109">
        <v>178912</v>
      </c>
      <c r="F88" s="109">
        <v>189095</v>
      </c>
      <c r="G88" s="109">
        <v>200756</v>
      </c>
      <c r="H88" s="109">
        <v>211749</v>
      </c>
      <c r="I88" s="109">
        <v>220737</v>
      </c>
      <c r="J88" s="109">
        <v>227748</v>
      </c>
      <c r="K88" s="109">
        <v>241561</v>
      </c>
      <c r="L88" s="109">
        <v>258262</v>
      </c>
      <c r="M88" s="109">
        <v>263409</v>
      </c>
      <c r="N88" s="109">
        <v>259173</v>
      </c>
      <c r="O88" s="109">
        <v>255031</v>
      </c>
      <c r="P88" s="109">
        <v>3007488</v>
      </c>
      <c r="S88" s="88" t="s">
        <v>148</v>
      </c>
      <c r="T88" s="104">
        <f t="shared" si="55"/>
        <v>165.625</v>
      </c>
      <c r="U88" s="104">
        <f t="shared" si="56"/>
        <v>163.08600000000001</v>
      </c>
      <c r="V88" s="104">
        <f t="shared" si="57"/>
        <v>172.34399999999999</v>
      </c>
      <c r="W88" s="104">
        <f t="shared" si="58"/>
        <v>178.91200000000001</v>
      </c>
      <c r="X88" s="104">
        <f t="shared" si="59"/>
        <v>189.095</v>
      </c>
      <c r="Y88" s="104">
        <f t="shared" si="60"/>
        <v>200.756</v>
      </c>
      <c r="Z88" s="104">
        <f t="shared" si="61"/>
        <v>211.749</v>
      </c>
      <c r="AA88" s="104">
        <f t="shared" si="62"/>
        <v>220.73699999999999</v>
      </c>
      <c r="AB88" s="104">
        <f t="shared" si="63"/>
        <v>227.74799999999999</v>
      </c>
      <c r="AC88" s="104">
        <f t="shared" si="64"/>
        <v>241.56100000000001</v>
      </c>
      <c r="AD88" s="104">
        <f t="shared" si="65"/>
        <v>258.262</v>
      </c>
      <c r="AE88" s="104">
        <f t="shared" si="66"/>
        <v>263.40899999999999</v>
      </c>
      <c r="AF88" s="104">
        <f t="shared" si="67"/>
        <v>259.173</v>
      </c>
      <c r="AG88" s="104">
        <f t="shared" si="68"/>
        <v>255.03100000000001</v>
      </c>
    </row>
    <row r="89" spans="1:33" ht="12.75" customHeight="1" x14ac:dyDescent="0.25">
      <c r="A89" s="1" t="s">
        <v>149</v>
      </c>
      <c r="B89" s="108">
        <v>174947</v>
      </c>
      <c r="C89" s="109">
        <v>172249</v>
      </c>
      <c r="D89" s="109">
        <v>169765</v>
      </c>
      <c r="E89" s="109">
        <v>166575</v>
      </c>
      <c r="F89" s="109">
        <v>165033</v>
      </c>
      <c r="G89" s="109">
        <v>165441</v>
      </c>
      <c r="H89" s="109">
        <v>169113</v>
      </c>
      <c r="I89" s="109">
        <v>173724</v>
      </c>
      <c r="J89" s="109">
        <v>176239</v>
      </c>
      <c r="K89" s="109">
        <v>180356</v>
      </c>
      <c r="L89" s="109">
        <v>184426</v>
      </c>
      <c r="M89" s="109">
        <v>187876</v>
      </c>
      <c r="N89" s="109">
        <v>189223</v>
      </c>
      <c r="O89" s="109">
        <v>190568</v>
      </c>
      <c r="P89" s="109">
        <v>2465535</v>
      </c>
      <c r="S89" s="88" t="s">
        <v>149</v>
      </c>
      <c r="T89" s="104">
        <f t="shared" si="55"/>
        <v>174.947</v>
      </c>
      <c r="U89" s="104">
        <f t="shared" si="56"/>
        <v>172.249</v>
      </c>
      <c r="V89" s="104">
        <f t="shared" si="57"/>
        <v>169.76499999999999</v>
      </c>
      <c r="W89" s="104">
        <f t="shared" si="58"/>
        <v>166.57499999999999</v>
      </c>
      <c r="X89" s="104">
        <f t="shared" si="59"/>
        <v>165.03299999999999</v>
      </c>
      <c r="Y89" s="104">
        <f t="shared" si="60"/>
        <v>165.441</v>
      </c>
      <c r="Z89" s="104">
        <f t="shared" si="61"/>
        <v>169.113</v>
      </c>
      <c r="AA89" s="104">
        <f t="shared" si="62"/>
        <v>173.72399999999999</v>
      </c>
      <c r="AB89" s="104">
        <f t="shared" si="63"/>
        <v>176.239</v>
      </c>
      <c r="AC89" s="104">
        <f t="shared" si="64"/>
        <v>180.35599999999999</v>
      </c>
      <c r="AD89" s="104">
        <f t="shared" si="65"/>
        <v>184.42599999999999</v>
      </c>
      <c r="AE89" s="104">
        <f t="shared" si="66"/>
        <v>187.876</v>
      </c>
      <c r="AF89" s="104">
        <f t="shared" si="67"/>
        <v>189.22300000000001</v>
      </c>
      <c r="AG89" s="104">
        <f t="shared" si="68"/>
        <v>190.56800000000001</v>
      </c>
    </row>
    <row r="90" spans="1:33" ht="12.75" customHeight="1" x14ac:dyDescent="0.25">
      <c r="A90" s="1" t="s">
        <v>150</v>
      </c>
      <c r="B90" s="108">
        <v>168906</v>
      </c>
      <c r="C90" s="109">
        <v>165552</v>
      </c>
      <c r="D90" s="109">
        <v>166194</v>
      </c>
      <c r="E90" s="109">
        <v>168573</v>
      </c>
      <c r="F90" s="109">
        <v>171106</v>
      </c>
      <c r="G90" s="109">
        <v>169801</v>
      </c>
      <c r="H90" s="109">
        <v>171380</v>
      </c>
      <c r="I90" s="109">
        <v>171686</v>
      </c>
      <c r="J90" s="109">
        <v>171762</v>
      </c>
      <c r="K90" s="109">
        <v>176543</v>
      </c>
      <c r="L90" s="109">
        <v>181959</v>
      </c>
      <c r="M90" s="109">
        <v>182925</v>
      </c>
      <c r="N90" s="109">
        <v>183971</v>
      </c>
      <c r="O90" s="109">
        <v>184911</v>
      </c>
      <c r="P90" s="109">
        <v>2435269</v>
      </c>
      <c r="S90" s="88" t="s">
        <v>150</v>
      </c>
      <c r="T90" s="104">
        <f t="shared" si="55"/>
        <v>168.90600000000001</v>
      </c>
      <c r="U90" s="104">
        <f t="shared" si="56"/>
        <v>165.55199999999999</v>
      </c>
      <c r="V90" s="104">
        <f t="shared" si="57"/>
        <v>166.19399999999999</v>
      </c>
      <c r="W90" s="104">
        <f t="shared" si="58"/>
        <v>168.57300000000001</v>
      </c>
      <c r="X90" s="104">
        <f t="shared" si="59"/>
        <v>171.10599999999999</v>
      </c>
      <c r="Y90" s="104">
        <f t="shared" si="60"/>
        <v>169.80099999999999</v>
      </c>
      <c r="Z90" s="104">
        <f t="shared" si="61"/>
        <v>171.38</v>
      </c>
      <c r="AA90" s="104">
        <f t="shared" si="62"/>
        <v>171.68600000000001</v>
      </c>
      <c r="AB90" s="104">
        <f t="shared" si="63"/>
        <v>171.762</v>
      </c>
      <c r="AC90" s="104">
        <f t="shared" si="64"/>
        <v>176.54300000000001</v>
      </c>
      <c r="AD90" s="104">
        <f t="shared" si="65"/>
        <v>181.959</v>
      </c>
      <c r="AE90" s="104">
        <f t="shared" si="66"/>
        <v>182.92500000000001</v>
      </c>
      <c r="AF90" s="104">
        <f t="shared" si="67"/>
        <v>183.971</v>
      </c>
      <c r="AG90" s="104">
        <f t="shared" si="68"/>
        <v>184.911</v>
      </c>
    </row>
    <row r="91" spans="1:33" ht="12.75" customHeight="1" x14ac:dyDescent="0.25">
      <c r="A91" s="1" t="s">
        <v>151</v>
      </c>
      <c r="B91" s="108">
        <v>484667</v>
      </c>
      <c r="C91" s="109">
        <v>484721</v>
      </c>
      <c r="D91" s="109">
        <v>485366</v>
      </c>
      <c r="E91" s="109">
        <v>479156</v>
      </c>
      <c r="F91" s="109">
        <v>484185</v>
      </c>
      <c r="G91" s="109">
        <v>489965</v>
      </c>
      <c r="H91" s="109">
        <v>507567</v>
      </c>
      <c r="I91" s="109">
        <v>514054</v>
      </c>
      <c r="J91" s="109">
        <v>525081</v>
      </c>
      <c r="K91" s="109">
        <v>535577</v>
      </c>
      <c r="L91" s="109">
        <v>544407</v>
      </c>
      <c r="M91" s="109">
        <v>554637</v>
      </c>
      <c r="N91" s="109">
        <v>557327</v>
      </c>
      <c r="O91" s="109">
        <v>572433</v>
      </c>
      <c r="P91" s="109">
        <v>7219143</v>
      </c>
      <c r="S91" s="88" t="s">
        <v>151</v>
      </c>
      <c r="T91" s="104">
        <f t="shared" si="55"/>
        <v>484.66699999999997</v>
      </c>
      <c r="U91" s="104">
        <f t="shared" si="56"/>
        <v>484.721</v>
      </c>
      <c r="V91" s="104">
        <f t="shared" si="57"/>
        <v>485.36599999999999</v>
      </c>
      <c r="W91" s="104">
        <f t="shared" si="58"/>
        <v>479.15600000000001</v>
      </c>
      <c r="X91" s="104">
        <f t="shared" si="59"/>
        <v>484.185</v>
      </c>
      <c r="Y91" s="104">
        <f t="shared" si="60"/>
        <v>489.96499999999997</v>
      </c>
      <c r="Z91" s="104">
        <f t="shared" si="61"/>
        <v>507.56700000000001</v>
      </c>
      <c r="AA91" s="104">
        <f t="shared" si="62"/>
        <v>514.05399999999997</v>
      </c>
      <c r="AB91" s="104">
        <f t="shared" si="63"/>
        <v>525.08100000000002</v>
      </c>
      <c r="AC91" s="104">
        <f t="shared" si="64"/>
        <v>535.577</v>
      </c>
      <c r="AD91" s="104">
        <f t="shared" si="65"/>
        <v>544.40700000000004</v>
      </c>
      <c r="AE91" s="104">
        <f t="shared" si="66"/>
        <v>554.63699999999994</v>
      </c>
      <c r="AF91" s="104">
        <f t="shared" si="67"/>
        <v>557.327</v>
      </c>
      <c r="AG91" s="104">
        <f t="shared" si="68"/>
        <v>572.43299999999999</v>
      </c>
    </row>
    <row r="92" spans="1:33" ht="12.75" customHeight="1" x14ac:dyDescent="0.25">
      <c r="A92" s="1" t="s">
        <v>153</v>
      </c>
      <c r="B92" s="108">
        <v>429819</v>
      </c>
      <c r="C92" s="109">
        <v>429411</v>
      </c>
      <c r="D92" s="109">
        <v>420602</v>
      </c>
      <c r="E92" s="109">
        <v>422615</v>
      </c>
      <c r="F92" s="109">
        <v>421115</v>
      </c>
      <c r="G92" s="109">
        <v>424152</v>
      </c>
      <c r="H92" s="109">
        <v>443896</v>
      </c>
      <c r="I92" s="109">
        <v>469988</v>
      </c>
      <c r="J92" s="109">
        <v>502750</v>
      </c>
      <c r="K92" s="109">
        <v>514091</v>
      </c>
      <c r="L92" s="109">
        <v>514028</v>
      </c>
      <c r="M92" s="109">
        <v>518343</v>
      </c>
      <c r="N92" s="109">
        <v>516059</v>
      </c>
      <c r="O92" s="109">
        <v>529099</v>
      </c>
      <c r="P92" s="109">
        <v>6555968</v>
      </c>
      <c r="S92" s="88" t="s">
        <v>153</v>
      </c>
      <c r="T92" s="104">
        <f t="shared" si="55"/>
        <v>429.81900000000002</v>
      </c>
      <c r="U92" s="104">
        <f t="shared" si="56"/>
        <v>429.411</v>
      </c>
      <c r="V92" s="104">
        <f t="shared" si="57"/>
        <v>420.60199999999998</v>
      </c>
      <c r="W92" s="104">
        <f t="shared" si="58"/>
        <v>422.61500000000001</v>
      </c>
      <c r="X92" s="104">
        <f t="shared" si="59"/>
        <v>421.11500000000001</v>
      </c>
      <c r="Y92" s="104">
        <f t="shared" si="60"/>
        <v>424.15199999999999</v>
      </c>
      <c r="Z92" s="104">
        <f t="shared" si="61"/>
        <v>443.89600000000002</v>
      </c>
      <c r="AA92" s="104">
        <f t="shared" si="62"/>
        <v>469.988</v>
      </c>
      <c r="AB92" s="104">
        <f t="shared" si="63"/>
        <v>502.75</v>
      </c>
      <c r="AC92" s="104">
        <f t="shared" si="64"/>
        <v>514.09100000000001</v>
      </c>
      <c r="AD92" s="104">
        <f t="shared" si="65"/>
        <v>514.02800000000002</v>
      </c>
      <c r="AE92" s="104">
        <f t="shared" si="66"/>
        <v>518.34299999999996</v>
      </c>
      <c r="AF92" s="104">
        <f t="shared" si="67"/>
        <v>516.05899999999997</v>
      </c>
      <c r="AG92" s="104">
        <f t="shared" si="68"/>
        <v>529.09900000000005</v>
      </c>
    </row>
    <row r="93" spans="1:33" ht="12.75" customHeight="1" x14ac:dyDescent="0.25">
      <c r="A93" s="1" t="s">
        <v>152</v>
      </c>
      <c r="B93" s="108">
        <v>180535</v>
      </c>
      <c r="C93" s="109">
        <v>175418</v>
      </c>
      <c r="D93" s="109">
        <v>161910</v>
      </c>
      <c r="E93" s="109">
        <v>143360</v>
      </c>
      <c r="F93" s="109">
        <v>137551</v>
      </c>
      <c r="G93" s="109">
        <v>148901</v>
      </c>
      <c r="H93" s="109">
        <v>143375</v>
      </c>
      <c r="I93" s="109">
        <v>147984</v>
      </c>
      <c r="J93" s="109">
        <v>136517</v>
      </c>
      <c r="K93" s="109">
        <v>139509</v>
      </c>
      <c r="L93" s="109">
        <v>139119</v>
      </c>
      <c r="M93" s="109">
        <v>138244</v>
      </c>
      <c r="N93" s="109">
        <v>160715</v>
      </c>
      <c r="O93" s="109">
        <v>164259</v>
      </c>
      <c r="P93" s="109">
        <v>2117397</v>
      </c>
      <c r="S93" s="88" t="s">
        <v>152</v>
      </c>
      <c r="T93" s="104">
        <f t="shared" si="55"/>
        <v>180.535</v>
      </c>
      <c r="U93" s="104">
        <f t="shared" si="56"/>
        <v>175.41800000000001</v>
      </c>
      <c r="V93" s="104">
        <f t="shared" si="57"/>
        <v>161.91</v>
      </c>
      <c r="W93" s="104">
        <f t="shared" si="58"/>
        <v>143.36000000000001</v>
      </c>
      <c r="X93" s="104">
        <f t="shared" si="59"/>
        <v>137.55099999999999</v>
      </c>
      <c r="Y93" s="104">
        <f t="shared" si="60"/>
        <v>148.90100000000001</v>
      </c>
      <c r="Z93" s="104">
        <f t="shared" si="61"/>
        <v>143.375</v>
      </c>
      <c r="AA93" s="104">
        <f t="shared" si="62"/>
        <v>147.98400000000001</v>
      </c>
      <c r="AB93" s="104">
        <f t="shared" si="63"/>
        <v>136.517</v>
      </c>
      <c r="AC93" s="104">
        <f t="shared" si="64"/>
        <v>139.50899999999999</v>
      </c>
      <c r="AD93" s="104">
        <f t="shared" si="65"/>
        <v>139.119</v>
      </c>
      <c r="AE93" s="104">
        <f t="shared" si="66"/>
        <v>138.244</v>
      </c>
      <c r="AF93" s="104">
        <f t="shared" si="67"/>
        <v>160.715</v>
      </c>
      <c r="AG93" s="104">
        <f t="shared" si="68"/>
        <v>164.25899999999999</v>
      </c>
    </row>
    <row r="94" spans="1:33" ht="12.75" customHeight="1" x14ac:dyDescent="0.25">
      <c r="A94" s="1" t="s">
        <v>154</v>
      </c>
      <c r="B94" s="108">
        <v>89337</v>
      </c>
      <c r="C94" s="109">
        <v>79982</v>
      </c>
      <c r="D94" s="109">
        <v>75262</v>
      </c>
      <c r="E94" s="109">
        <v>74080</v>
      </c>
      <c r="F94" s="109">
        <v>76976</v>
      </c>
      <c r="G94" s="109">
        <v>82060</v>
      </c>
      <c r="H94" s="109">
        <v>88156</v>
      </c>
      <c r="I94" s="109">
        <v>95469</v>
      </c>
      <c r="J94" s="109">
        <v>99759</v>
      </c>
      <c r="K94" s="109">
        <v>103019</v>
      </c>
      <c r="L94" s="109">
        <v>110465</v>
      </c>
      <c r="M94" s="109">
        <v>117094</v>
      </c>
      <c r="N94" s="109">
        <v>119225</v>
      </c>
      <c r="O94" s="109">
        <v>124095</v>
      </c>
      <c r="P94" s="109">
        <v>1334979</v>
      </c>
      <c r="S94" s="88" t="s">
        <v>154</v>
      </c>
      <c r="T94" s="104">
        <f t="shared" si="55"/>
        <v>89.337000000000003</v>
      </c>
      <c r="U94" s="104">
        <f t="shared" si="56"/>
        <v>79.981999999999999</v>
      </c>
      <c r="V94" s="104">
        <f t="shared" si="57"/>
        <v>75.262</v>
      </c>
      <c r="W94" s="104">
        <f t="shared" si="58"/>
        <v>74.08</v>
      </c>
      <c r="X94" s="104">
        <f t="shared" si="59"/>
        <v>76.975999999999999</v>
      </c>
      <c r="Y94" s="104">
        <f t="shared" si="60"/>
        <v>82.06</v>
      </c>
      <c r="Z94" s="104">
        <f t="shared" si="61"/>
        <v>88.156000000000006</v>
      </c>
      <c r="AA94" s="104">
        <f t="shared" si="62"/>
        <v>95.468999999999994</v>
      </c>
      <c r="AB94" s="104">
        <f t="shared" si="63"/>
        <v>99.759</v>
      </c>
      <c r="AC94" s="104">
        <f t="shared" si="64"/>
        <v>103.01900000000001</v>
      </c>
      <c r="AD94" s="104">
        <f t="shared" si="65"/>
        <v>110.465</v>
      </c>
      <c r="AE94" s="104">
        <f t="shared" si="66"/>
        <v>117.09399999999999</v>
      </c>
      <c r="AF94" s="104">
        <f t="shared" si="67"/>
        <v>119.22499999999999</v>
      </c>
      <c r="AG94" s="104">
        <f t="shared" si="68"/>
        <v>124.095</v>
      </c>
    </row>
    <row r="95" spans="1:33" ht="12.75" customHeight="1" x14ac:dyDescent="0.25">
      <c r="A95" s="60"/>
      <c r="B95" s="108"/>
      <c r="C95" s="109"/>
      <c r="D95" s="109"/>
      <c r="E95" s="109"/>
      <c r="F95" s="109"/>
      <c r="G95" s="109"/>
      <c r="H95" s="109"/>
      <c r="I95" s="109"/>
      <c r="J95" s="109"/>
      <c r="K95" s="109"/>
      <c r="L95" s="109"/>
      <c r="M95" s="109"/>
      <c r="N95" s="109"/>
      <c r="O95" s="109"/>
      <c r="P95" s="109"/>
      <c r="S95" s="88"/>
      <c r="T95" s="104"/>
      <c r="U95" s="104"/>
      <c r="V95" s="104"/>
      <c r="W95" s="104"/>
      <c r="X95" s="104"/>
      <c r="Y95" s="104"/>
      <c r="Z95" s="104"/>
      <c r="AA95" s="104"/>
      <c r="AB95" s="104"/>
      <c r="AC95" s="104"/>
      <c r="AD95" s="104"/>
      <c r="AE95" s="104"/>
      <c r="AF95" s="104"/>
      <c r="AG95" s="104"/>
    </row>
    <row r="96" spans="1:33" ht="12.75" customHeight="1" x14ac:dyDescent="0.25">
      <c r="A96" s="60"/>
      <c r="B96" s="108"/>
      <c r="C96" s="109"/>
      <c r="D96" s="109"/>
      <c r="E96" s="109"/>
      <c r="F96" s="109"/>
      <c r="G96" s="109"/>
      <c r="H96" s="109"/>
      <c r="I96" s="109"/>
      <c r="J96" s="109"/>
      <c r="K96" s="109"/>
      <c r="L96" s="109"/>
      <c r="M96" s="109"/>
      <c r="N96" s="109"/>
      <c r="O96" s="109"/>
      <c r="P96" s="109"/>
      <c r="S96" s="88"/>
      <c r="T96" s="104"/>
      <c r="U96" s="104"/>
      <c r="V96" s="104"/>
      <c r="W96" s="104"/>
      <c r="X96" s="104"/>
      <c r="Y96" s="104"/>
      <c r="Z96" s="104"/>
      <c r="AA96" s="104"/>
      <c r="AB96" s="104"/>
      <c r="AC96" s="104"/>
      <c r="AD96" s="104"/>
      <c r="AE96" s="104"/>
      <c r="AF96" s="104"/>
      <c r="AG96" s="104"/>
    </row>
    <row r="97" spans="1:33" ht="12.75" customHeight="1" x14ac:dyDescent="0.25">
      <c r="A97" s="60"/>
      <c r="B97" s="108"/>
      <c r="C97" s="109"/>
      <c r="D97" s="109"/>
      <c r="E97" s="109"/>
      <c r="F97" s="109"/>
      <c r="G97" s="109"/>
      <c r="H97" s="109"/>
      <c r="I97" s="109"/>
      <c r="J97" s="109"/>
      <c r="K97" s="109"/>
      <c r="L97" s="109"/>
      <c r="M97" s="109"/>
      <c r="N97" s="109"/>
      <c r="O97" s="109"/>
      <c r="P97" s="109"/>
      <c r="S97" s="88"/>
      <c r="T97" s="104"/>
      <c r="U97" s="104"/>
      <c r="V97" s="104"/>
      <c r="W97" s="104"/>
      <c r="X97" s="104"/>
      <c r="Y97" s="104"/>
      <c r="Z97" s="104"/>
      <c r="AA97" s="104"/>
      <c r="AB97" s="104"/>
      <c r="AC97" s="104"/>
      <c r="AD97" s="104"/>
      <c r="AE97" s="104"/>
      <c r="AF97" s="104"/>
      <c r="AG97" s="104"/>
    </row>
    <row r="98" spans="1:33" ht="12.75" customHeight="1" x14ac:dyDescent="0.25">
      <c r="A98" s="60"/>
      <c r="B98" s="108"/>
      <c r="C98" s="109"/>
      <c r="D98" s="109"/>
      <c r="E98" s="109"/>
      <c r="F98" s="109"/>
      <c r="G98" s="109"/>
      <c r="H98" s="109"/>
      <c r="I98" s="109"/>
      <c r="J98" s="109"/>
      <c r="K98" s="109"/>
      <c r="L98" s="109"/>
      <c r="M98" s="109"/>
      <c r="N98" s="109"/>
      <c r="O98" s="109"/>
      <c r="P98" s="109"/>
      <c r="S98" s="88"/>
      <c r="T98" s="104"/>
      <c r="U98" s="104"/>
      <c r="V98" s="104"/>
      <c r="W98" s="104"/>
      <c r="X98" s="104"/>
      <c r="Y98" s="104"/>
      <c r="Z98" s="104"/>
      <c r="AA98" s="104"/>
      <c r="AB98" s="104"/>
      <c r="AC98" s="104"/>
      <c r="AD98" s="104"/>
      <c r="AE98" s="104"/>
      <c r="AF98" s="104"/>
      <c r="AG98" s="104"/>
    </row>
    <row r="99" spans="1:33" ht="12.75" customHeight="1" x14ac:dyDescent="0.25">
      <c r="A99" s="60"/>
      <c r="B99" s="108"/>
      <c r="C99" s="109"/>
      <c r="D99" s="109"/>
      <c r="E99" s="109"/>
      <c r="F99" s="109"/>
      <c r="G99" s="109"/>
      <c r="H99" s="109"/>
      <c r="I99" s="109"/>
      <c r="J99" s="109"/>
      <c r="K99" s="109"/>
      <c r="L99" s="109"/>
      <c r="M99" s="109"/>
      <c r="N99" s="109"/>
      <c r="O99" s="109"/>
      <c r="P99" s="109"/>
      <c r="S99" s="88"/>
      <c r="T99" s="104"/>
      <c r="U99" s="104"/>
      <c r="V99" s="104"/>
      <c r="W99" s="104"/>
      <c r="X99" s="104"/>
      <c r="Y99" s="104"/>
      <c r="Z99" s="104"/>
      <c r="AA99" s="104"/>
      <c r="AB99" s="104"/>
      <c r="AC99" s="104"/>
      <c r="AD99" s="104"/>
      <c r="AE99" s="104"/>
      <c r="AF99" s="104"/>
      <c r="AG99" s="104"/>
    </row>
    <row r="100" spans="1:33" ht="12.75" customHeight="1" x14ac:dyDescent="0.25">
      <c r="A100" s="60"/>
      <c r="B100" s="108"/>
      <c r="C100" s="109"/>
      <c r="D100" s="109"/>
      <c r="E100" s="109"/>
      <c r="F100" s="109"/>
      <c r="G100" s="109"/>
      <c r="H100" s="109"/>
      <c r="I100" s="109"/>
      <c r="J100" s="109"/>
      <c r="K100" s="109"/>
      <c r="L100" s="109"/>
      <c r="M100" s="109"/>
      <c r="N100" s="109"/>
      <c r="O100" s="109"/>
      <c r="P100" s="109"/>
      <c r="S100" s="88"/>
      <c r="T100" s="104"/>
      <c r="U100" s="104"/>
      <c r="V100" s="104"/>
      <c r="W100" s="104"/>
      <c r="X100" s="104"/>
      <c r="Y100" s="104"/>
      <c r="Z100" s="104"/>
      <c r="AA100" s="104"/>
      <c r="AB100" s="104"/>
      <c r="AC100" s="104"/>
      <c r="AD100" s="104"/>
      <c r="AE100" s="104"/>
      <c r="AF100" s="104"/>
      <c r="AG100" s="104"/>
    </row>
    <row r="101" spans="1:33" ht="12.75" customHeight="1" x14ac:dyDescent="0.25">
      <c r="A101" s="60"/>
      <c r="B101" s="108"/>
      <c r="C101" s="109"/>
      <c r="D101" s="109"/>
      <c r="E101" s="109"/>
      <c r="F101" s="109"/>
      <c r="G101" s="109"/>
      <c r="H101" s="109"/>
      <c r="I101" s="109"/>
      <c r="J101" s="109"/>
      <c r="K101" s="109"/>
      <c r="L101" s="109"/>
      <c r="M101" s="109"/>
      <c r="N101" s="109"/>
      <c r="O101" s="109"/>
      <c r="P101" s="109"/>
      <c r="S101" s="88"/>
      <c r="T101" s="104"/>
      <c r="U101" s="104"/>
      <c r="V101" s="104"/>
      <c r="W101" s="104"/>
      <c r="X101" s="104"/>
      <c r="Y101" s="104"/>
      <c r="Z101" s="104"/>
      <c r="AA101" s="104"/>
      <c r="AB101" s="104"/>
      <c r="AC101" s="104"/>
      <c r="AD101" s="104"/>
      <c r="AE101" s="104"/>
      <c r="AF101" s="104"/>
      <c r="AG101" s="104"/>
    </row>
    <row r="102" spans="1:33" ht="12.75" customHeight="1" x14ac:dyDescent="0.25">
      <c r="A102" s="60"/>
      <c r="B102" s="108"/>
      <c r="C102" s="109"/>
      <c r="D102" s="109"/>
      <c r="E102" s="109"/>
      <c r="F102" s="109"/>
      <c r="G102" s="109"/>
      <c r="H102" s="109"/>
      <c r="I102" s="109"/>
      <c r="J102" s="109"/>
      <c r="K102" s="109"/>
      <c r="L102" s="109"/>
      <c r="M102" s="109"/>
      <c r="N102" s="109"/>
      <c r="O102" s="109"/>
      <c r="P102" s="109"/>
      <c r="S102" s="88"/>
      <c r="T102" s="104"/>
      <c r="U102" s="104"/>
      <c r="V102" s="104"/>
      <c r="W102" s="104"/>
      <c r="X102" s="104"/>
      <c r="Y102" s="104"/>
      <c r="Z102" s="104"/>
      <c r="AA102" s="104"/>
      <c r="AB102" s="104"/>
      <c r="AC102" s="104"/>
      <c r="AD102" s="104"/>
      <c r="AE102" s="104"/>
      <c r="AF102" s="104"/>
      <c r="AG102" s="104"/>
    </row>
    <row r="103" spans="1:33" ht="12.75" customHeight="1" x14ac:dyDescent="0.25">
      <c r="A103" s="60"/>
      <c r="B103" s="108"/>
      <c r="C103" s="109"/>
      <c r="D103" s="109"/>
      <c r="E103" s="109"/>
      <c r="F103" s="109"/>
      <c r="G103" s="109"/>
      <c r="H103" s="109"/>
      <c r="I103" s="109"/>
      <c r="J103" s="109"/>
      <c r="K103" s="109"/>
      <c r="L103" s="109"/>
      <c r="M103" s="109"/>
      <c r="N103" s="109"/>
      <c r="O103" s="109"/>
      <c r="P103" s="109"/>
      <c r="S103" s="88"/>
      <c r="T103" s="104"/>
      <c r="U103" s="104"/>
      <c r="V103" s="104"/>
      <c r="W103" s="104"/>
      <c r="X103" s="104"/>
      <c r="Y103" s="104"/>
      <c r="Z103" s="104"/>
      <c r="AA103" s="104"/>
      <c r="AB103" s="104"/>
      <c r="AC103" s="104"/>
      <c r="AD103" s="104"/>
      <c r="AE103" s="104"/>
      <c r="AF103" s="104"/>
      <c r="AG103" s="104"/>
    </row>
    <row r="104" spans="1:33" ht="12.75" customHeight="1" x14ac:dyDescent="0.25">
      <c r="A104" s="60"/>
      <c r="B104" s="108"/>
      <c r="C104" s="109"/>
      <c r="D104" s="109"/>
      <c r="E104" s="109"/>
      <c r="F104" s="109"/>
      <c r="G104" s="109"/>
      <c r="H104" s="109"/>
      <c r="I104" s="109"/>
      <c r="J104" s="109"/>
      <c r="K104" s="109"/>
      <c r="L104" s="109"/>
      <c r="M104" s="109"/>
      <c r="N104" s="109"/>
      <c r="O104" s="109"/>
      <c r="P104" s="109"/>
      <c r="S104" s="88"/>
      <c r="T104" s="104"/>
      <c r="U104" s="104"/>
      <c r="V104" s="104"/>
      <c r="W104" s="104"/>
      <c r="X104" s="104"/>
      <c r="Y104" s="104"/>
      <c r="Z104" s="104"/>
      <c r="AA104" s="104"/>
      <c r="AB104" s="104"/>
      <c r="AC104" s="104"/>
      <c r="AD104" s="104"/>
      <c r="AE104" s="104"/>
      <c r="AF104" s="104"/>
      <c r="AG104" s="104"/>
    </row>
    <row r="105" spans="1:33" ht="12.75" customHeight="1" x14ac:dyDescent="0.25">
      <c r="A105" s="60"/>
      <c r="B105" s="108"/>
      <c r="C105" s="109"/>
      <c r="D105" s="109"/>
      <c r="E105" s="109"/>
      <c r="F105" s="109"/>
      <c r="G105" s="109"/>
      <c r="H105" s="109"/>
      <c r="I105" s="109"/>
      <c r="J105" s="109"/>
      <c r="K105" s="109"/>
      <c r="L105" s="109"/>
      <c r="M105" s="109"/>
      <c r="N105" s="109"/>
      <c r="O105" s="109"/>
      <c r="P105" s="109"/>
      <c r="S105" s="88" t="s">
        <v>212</v>
      </c>
      <c r="T105" s="104">
        <f t="shared" ref="T105:AG105" si="69">B107/1000</f>
        <v>6988.7820000000002</v>
      </c>
      <c r="U105" s="104">
        <f t="shared" si="69"/>
        <v>6881.3530000000001</v>
      </c>
      <c r="V105" s="104">
        <f t="shared" si="69"/>
        <v>6865.7529999999997</v>
      </c>
      <c r="W105" s="104">
        <f t="shared" si="69"/>
        <v>6921.5029999999997</v>
      </c>
      <c r="X105" s="104">
        <f t="shared" si="69"/>
        <v>7039.1059999999998</v>
      </c>
      <c r="Y105" s="104">
        <f t="shared" si="69"/>
        <v>7214.2020000000002</v>
      </c>
      <c r="Z105" s="104">
        <f t="shared" si="69"/>
        <v>7620.6769999999997</v>
      </c>
      <c r="AA105" s="104">
        <f t="shared" si="69"/>
        <v>7712.3940000000002</v>
      </c>
      <c r="AB105" s="104">
        <f t="shared" si="69"/>
        <v>7619.5439999999999</v>
      </c>
      <c r="AC105" s="104">
        <f t="shared" si="69"/>
        <v>7882.8209999999999</v>
      </c>
      <c r="AD105" s="104">
        <f t="shared" si="69"/>
        <v>8075.0590000000002</v>
      </c>
      <c r="AE105" s="104">
        <f t="shared" si="69"/>
        <v>8144.3879999999999</v>
      </c>
      <c r="AF105" s="104">
        <f t="shared" si="69"/>
        <v>8188.7330000000002</v>
      </c>
      <c r="AG105" s="104">
        <f t="shared" si="69"/>
        <v>8197.42</v>
      </c>
    </row>
    <row r="106" spans="1:33" ht="12.75" customHeight="1" x14ac:dyDescent="0.25">
      <c r="A106" s="60"/>
      <c r="B106" s="108"/>
      <c r="C106" s="109"/>
      <c r="D106" s="109"/>
      <c r="E106" s="109"/>
      <c r="F106" s="109"/>
      <c r="G106" s="109"/>
      <c r="H106" s="109"/>
      <c r="I106" s="109"/>
      <c r="J106" s="109"/>
      <c r="K106" s="109"/>
      <c r="L106" s="109"/>
      <c r="M106" s="109"/>
      <c r="N106" s="109"/>
      <c r="O106" s="109"/>
      <c r="P106" s="109"/>
      <c r="T106" s="14"/>
      <c r="U106" s="14"/>
      <c r="V106" s="14"/>
      <c r="W106" s="14"/>
      <c r="X106" s="14"/>
      <c r="Y106" s="14"/>
      <c r="Z106" s="14"/>
      <c r="AA106" s="14"/>
      <c r="AB106" s="14"/>
      <c r="AC106" s="14"/>
      <c r="AD106" s="14"/>
      <c r="AE106" s="14"/>
      <c r="AF106" s="14"/>
      <c r="AG106" s="14"/>
    </row>
    <row r="107" spans="1:33" ht="12.75" customHeight="1" x14ac:dyDescent="0.25">
      <c r="A107" s="60" t="s">
        <v>212</v>
      </c>
      <c r="B107" s="108">
        <f>Figuur_5!B107</f>
        <v>6988782</v>
      </c>
      <c r="C107" s="108">
        <f>Figuur_5!C107</f>
        <v>6881353</v>
      </c>
      <c r="D107" s="108">
        <f>Figuur_5!D107</f>
        <v>6865753</v>
      </c>
      <c r="E107" s="108">
        <f>Figuur_5!E107</f>
        <v>6921503</v>
      </c>
      <c r="F107" s="108">
        <f>Figuur_5!F107</f>
        <v>7039106</v>
      </c>
      <c r="G107" s="108">
        <f>Figuur_5!G107</f>
        <v>7214202</v>
      </c>
      <c r="H107" s="108">
        <f>Figuur_5!H107</f>
        <v>7620677</v>
      </c>
      <c r="I107" s="108">
        <f>Figuur_5!I107</f>
        <v>7712394</v>
      </c>
      <c r="J107" s="108">
        <f>Figuur_5!J107</f>
        <v>7619544</v>
      </c>
      <c r="K107" s="108">
        <f>Figuur_5!K107</f>
        <v>7882821</v>
      </c>
      <c r="L107" s="108">
        <f>Figuur_5!L107</f>
        <v>8075059</v>
      </c>
      <c r="M107" s="108">
        <f>Figuur_5!M107</f>
        <v>8144388</v>
      </c>
      <c r="N107" s="108">
        <f>Figuur_5!N107</f>
        <v>8188733</v>
      </c>
      <c r="O107" s="108">
        <f>Figuur_5!O107</f>
        <v>8197420</v>
      </c>
      <c r="P107" s="108">
        <f>Figuur_5!P107</f>
        <v>105351735</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293B3-38DD-454E-B8B6-7E3B62B9AE1E}">
  <dimension ref="A1:K132"/>
  <sheetViews>
    <sheetView topLeftCell="A33" zoomScale="83" zoomScaleNormal="55" workbookViewId="0">
      <selection activeCell="Q85" sqref="Q85"/>
    </sheetView>
  </sheetViews>
  <sheetFormatPr defaultColWidth="11.54296875" defaultRowHeight="12.75" customHeight="1" x14ac:dyDescent="0.25"/>
  <cols>
    <col min="1" max="16384" width="11.54296875" style="1"/>
  </cols>
  <sheetData>
    <row r="1" spans="1:11" ht="12.75" customHeight="1" x14ac:dyDescent="0.25">
      <c r="A1" s="74" t="s">
        <v>237</v>
      </c>
    </row>
    <row r="2" spans="1:11" ht="12.5" x14ac:dyDescent="0.25"/>
    <row r="3" spans="1:11" ht="13" x14ac:dyDescent="0.3">
      <c r="A3" s="17" t="s">
        <v>202</v>
      </c>
    </row>
    <row r="4" spans="1:11" ht="13" x14ac:dyDescent="0.3">
      <c r="B4" s="5"/>
      <c r="C4" s="4" t="s">
        <v>199</v>
      </c>
      <c r="D4" s="4" t="s">
        <v>200</v>
      </c>
      <c r="E4" s="4" t="s">
        <v>236</v>
      </c>
    </row>
    <row r="5" spans="1:11" ht="12.5" x14ac:dyDescent="0.25">
      <c r="B5" s="29" t="s">
        <v>146</v>
      </c>
      <c r="C5" s="63">
        <f>('T_C.3.1'!U8-'T_C.3.1'!T8)/1000</f>
        <v>7.968</v>
      </c>
      <c r="D5" s="63">
        <f>('T_C.1.2'!U8-'T_C.1.2'!T8)/1000</f>
        <v>5.5439999999999996</v>
      </c>
      <c r="E5" s="8">
        <f>D5/C5</f>
        <v>0.69578313253012047</v>
      </c>
      <c r="K5" s="35"/>
    </row>
    <row r="6" spans="1:11" ht="12.5" x14ac:dyDescent="0.25">
      <c r="B6" s="29" t="s">
        <v>147</v>
      </c>
      <c r="C6" s="63">
        <f>('T_C.3.1'!U9-'T_C.3.1'!T9)/1000</f>
        <v>16.11</v>
      </c>
      <c r="D6" s="63">
        <f>('T_C.1.2'!U9-'T_C.1.2'!T9)/1000</f>
        <v>13.449</v>
      </c>
      <c r="E6" s="8">
        <f t="shared" ref="E6:E13" si="0">D6/C6</f>
        <v>0.83482309124767229</v>
      </c>
      <c r="K6" s="35"/>
    </row>
    <row r="7" spans="1:11" ht="12.5" x14ac:dyDescent="0.25">
      <c r="B7" s="29" t="s">
        <v>148</v>
      </c>
      <c r="C7" s="63">
        <f>('T_C.3.1'!U10-'T_C.3.1'!T10)/1000</f>
        <v>37.527999999999999</v>
      </c>
      <c r="D7" s="63">
        <f>('T_C.1.2'!U10-'T_C.1.2'!T10)/1000</f>
        <v>22.946000000000002</v>
      </c>
      <c r="E7" s="8">
        <f t="shared" si="0"/>
        <v>0.61143679386058414</v>
      </c>
      <c r="K7" s="35"/>
    </row>
    <row r="8" spans="1:11" ht="12.5" x14ac:dyDescent="0.25">
      <c r="B8" s="29" t="s">
        <v>149</v>
      </c>
      <c r="C8" s="63">
        <f>('T_C.3.1'!U11-'T_C.3.1'!T11)/1000</f>
        <v>16.497</v>
      </c>
      <c r="D8" s="63">
        <f>('T_C.1.2'!U11-'T_C.1.2'!T11)/1000</f>
        <v>9.0139999999999993</v>
      </c>
      <c r="E8" s="8">
        <f t="shared" si="0"/>
        <v>0.54640237618961018</v>
      </c>
      <c r="K8" s="35"/>
    </row>
    <row r="9" spans="1:11" ht="12.5" x14ac:dyDescent="0.25">
      <c r="B9" s="29" t="s">
        <v>150</v>
      </c>
      <c r="C9" s="63">
        <f>('T_C.3.1'!U12-'T_C.3.1'!T12)/1000</f>
        <v>21.169</v>
      </c>
      <c r="D9" s="63">
        <f>('T_C.1.2'!U12-'T_C.1.2'!T12)/1000</f>
        <v>11.347</v>
      </c>
      <c r="E9" s="8">
        <f t="shared" si="0"/>
        <v>0.53601965137701357</v>
      </c>
      <c r="K9" s="35"/>
    </row>
    <row r="10" spans="1:11" ht="12.5" x14ac:dyDescent="0.25">
      <c r="B10" s="29" t="s">
        <v>151</v>
      </c>
      <c r="C10" s="63">
        <f>('T_C.3.1'!U13-'T_C.3.1'!T13)/1000</f>
        <v>76.427999999999997</v>
      </c>
      <c r="D10" s="63">
        <f>('T_C.1.2'!U13-'T_C.1.2'!T13)/1000</f>
        <v>41.192999999999998</v>
      </c>
      <c r="E10" s="8">
        <f t="shared" si="0"/>
        <v>0.53897786151672156</v>
      </c>
      <c r="K10" s="35"/>
    </row>
    <row r="11" spans="1:11" ht="12.5" x14ac:dyDescent="0.25">
      <c r="B11" s="29" t="s">
        <v>153</v>
      </c>
      <c r="C11" s="63">
        <f>('T_C.3.1'!U14-'T_C.3.1'!T14)/1000</f>
        <v>70.546999999999997</v>
      </c>
      <c r="D11" s="63">
        <f>('T_C.1.2'!U14-'T_C.1.2'!T14)/1000</f>
        <v>45.607999999999997</v>
      </c>
      <c r="E11" s="8">
        <f t="shared" si="0"/>
        <v>0.64649099182105541</v>
      </c>
      <c r="K11" s="35"/>
    </row>
    <row r="12" spans="1:11" ht="12.5" x14ac:dyDescent="0.25">
      <c r="B12" s="29" t="s">
        <v>152</v>
      </c>
      <c r="C12" s="63">
        <f>('T_C.3.1'!U15-'T_C.3.1'!T15)/1000</f>
        <v>28.696000000000002</v>
      </c>
      <c r="D12" s="63">
        <f>('T_C.1.2'!U15-'T_C.1.2'!T15)/1000</f>
        <v>21.620999999999999</v>
      </c>
      <c r="E12" s="8">
        <f t="shared" si="0"/>
        <v>0.75344995818232496</v>
      </c>
      <c r="K12" s="35"/>
    </row>
    <row r="13" spans="1:11" ht="12.5" x14ac:dyDescent="0.25">
      <c r="B13" s="29" t="s">
        <v>154</v>
      </c>
      <c r="C13" s="63">
        <f>('T_C.3.1'!U16-'T_C.3.1'!T16)/1000</f>
        <v>19.571000000000002</v>
      </c>
      <c r="D13" s="63">
        <f>('T_C.1.2'!U16-'T_C.1.2'!T16)/1000</f>
        <v>11.298999999999999</v>
      </c>
      <c r="E13" s="8">
        <f t="shared" si="0"/>
        <v>0.57733381022942099</v>
      </c>
      <c r="K13" s="35"/>
    </row>
    <row r="14" spans="1:11" ht="12.5" x14ac:dyDescent="0.25">
      <c r="B14" s="29"/>
      <c r="C14" s="63"/>
      <c r="D14" s="63"/>
      <c r="E14" s="8"/>
      <c r="K14" s="35"/>
    </row>
    <row r="15" spans="1:11" ht="12.5" x14ac:dyDescent="0.25">
      <c r="B15" s="29"/>
      <c r="C15" s="63"/>
      <c r="D15" s="63"/>
      <c r="E15" s="8"/>
      <c r="K15" s="35"/>
    </row>
    <row r="16" spans="1:11" ht="12.5" x14ac:dyDescent="0.25">
      <c r="B16" s="29"/>
      <c r="C16" s="63"/>
      <c r="D16" s="63"/>
      <c r="E16" s="8"/>
      <c r="K16" s="35"/>
    </row>
    <row r="17" spans="1:11" ht="12.5" x14ac:dyDescent="0.25">
      <c r="B17" s="29"/>
      <c r="C17" s="63"/>
      <c r="D17" s="63"/>
      <c r="E17" s="8"/>
      <c r="K17" s="35"/>
    </row>
    <row r="18" spans="1:11" ht="12.5" x14ac:dyDescent="0.25">
      <c r="B18" s="29"/>
      <c r="C18" s="63"/>
      <c r="D18" s="63"/>
      <c r="E18" s="8"/>
      <c r="K18" s="35"/>
    </row>
    <row r="19" spans="1:11" ht="12.5" x14ac:dyDescent="0.25">
      <c r="B19" s="29"/>
      <c r="C19" s="63"/>
      <c r="D19" s="63"/>
      <c r="E19" s="8"/>
      <c r="K19" s="35"/>
    </row>
    <row r="20" spans="1:11" ht="12.5" x14ac:dyDescent="0.25">
      <c r="B20" s="29"/>
      <c r="C20" s="63"/>
      <c r="D20" s="63"/>
      <c r="E20" s="8"/>
      <c r="K20" s="35"/>
    </row>
    <row r="21" spans="1:11" ht="12.5" x14ac:dyDescent="0.25">
      <c r="B21" s="29"/>
      <c r="C21" s="63"/>
      <c r="D21" s="63"/>
      <c r="E21" s="8"/>
      <c r="K21" s="35"/>
    </row>
    <row r="22" spans="1:11" ht="12.5" x14ac:dyDescent="0.25">
      <c r="B22" s="29"/>
      <c r="C22" s="63"/>
      <c r="D22" s="63"/>
      <c r="E22" s="8"/>
      <c r="K22" s="35"/>
    </row>
    <row r="23" spans="1:11" ht="12.5" x14ac:dyDescent="0.25">
      <c r="B23" s="29"/>
      <c r="C23" s="63"/>
      <c r="D23" s="63"/>
      <c r="E23" s="8"/>
      <c r="K23" s="35"/>
    </row>
    <row r="24" spans="1:11" ht="12.5" x14ac:dyDescent="0.25">
      <c r="B24" s="29" t="s">
        <v>31</v>
      </c>
      <c r="C24" s="63">
        <f>('T_B.3.1'!V27-'T_B.3.1'!U27)/1000</f>
        <v>1316.4749999999999</v>
      </c>
      <c r="D24" s="63">
        <f>(Tabel_1!V25-Tabel_1!U25)/1000</f>
        <v>744.30499999999995</v>
      </c>
      <c r="E24" s="8">
        <f t="shared" ref="E24" si="1">D24/C24</f>
        <v>0.56537723845876298</v>
      </c>
      <c r="K24" s="69"/>
    </row>
    <row r="25" spans="1:11" ht="12.5" x14ac:dyDescent="0.25">
      <c r="B25" s="5"/>
      <c r="C25" s="39"/>
      <c r="D25" s="39"/>
      <c r="E25" s="5"/>
      <c r="K25" s="35"/>
    </row>
    <row r="26" spans="1:11" ht="12.5" x14ac:dyDescent="0.25">
      <c r="B26" s="5"/>
      <c r="C26" s="8"/>
      <c r="D26" s="8"/>
      <c r="E26" s="5"/>
    </row>
    <row r="27" spans="1:11" ht="12.5" x14ac:dyDescent="0.25"/>
    <row r="28" spans="1:11" ht="12.75" customHeight="1" x14ac:dyDescent="0.25">
      <c r="A28" s="74" t="s">
        <v>237</v>
      </c>
    </row>
    <row r="29" spans="1:11" ht="12.5" x14ac:dyDescent="0.25"/>
    <row r="30" spans="1:11" ht="13" x14ac:dyDescent="0.3">
      <c r="A30" s="17" t="s">
        <v>216</v>
      </c>
    </row>
    <row r="31" spans="1:11" ht="13" x14ac:dyDescent="0.3">
      <c r="B31" s="5"/>
      <c r="C31" s="4" t="s">
        <v>199</v>
      </c>
      <c r="D31" s="4" t="s">
        <v>200</v>
      </c>
      <c r="E31" s="4" t="s">
        <v>236</v>
      </c>
    </row>
    <row r="32" spans="1:11" ht="12.5" x14ac:dyDescent="0.25">
      <c r="B32" s="29" t="s">
        <v>146</v>
      </c>
      <c r="C32" s="63">
        <f>'F_C.1.1'!AK31</f>
        <v>6.5789999999999997</v>
      </c>
      <c r="D32" s="63">
        <f>('T_C.1.3'!U8-'T_C.1.3'!T8)/1000</f>
        <v>4.1550000000000002</v>
      </c>
      <c r="E32" s="8">
        <f>D32/C32</f>
        <v>0.63155494756041963</v>
      </c>
    </row>
    <row r="33" spans="2:5" ht="12.5" x14ac:dyDescent="0.25">
      <c r="B33" s="29" t="s">
        <v>147</v>
      </c>
      <c r="C33" s="63">
        <f>'F_C.1.1'!AK32</f>
        <v>12.263999999999999</v>
      </c>
      <c r="D33" s="63">
        <f>('T_C.1.3'!U9-'T_C.1.3'!T9)/1000</f>
        <v>9.6029999999999998</v>
      </c>
      <c r="E33" s="8">
        <f t="shared" ref="E33:E51" si="2">D33/C33</f>
        <v>0.78302348336594918</v>
      </c>
    </row>
    <row r="34" spans="2:5" ht="12.5" x14ac:dyDescent="0.25">
      <c r="B34" s="29" t="s">
        <v>148</v>
      </c>
      <c r="C34" s="63">
        <f>'F_C.1.1'!AK33</f>
        <v>40.357999999999997</v>
      </c>
      <c r="D34" s="63">
        <f>('T_C.1.3'!U10-'T_C.1.3'!T10)/1000</f>
        <v>25.776</v>
      </c>
      <c r="E34" s="8">
        <f t="shared" si="2"/>
        <v>0.63868378016750094</v>
      </c>
    </row>
    <row r="35" spans="2:5" ht="12.5" x14ac:dyDescent="0.25">
      <c r="B35" s="29" t="s">
        <v>149</v>
      </c>
      <c r="C35" s="63">
        <f>'F_C.1.1'!AK34</f>
        <v>13.109</v>
      </c>
      <c r="D35" s="63">
        <f>('T_C.1.3'!U11-'T_C.1.3'!T11)/1000</f>
        <v>5.6260000000000003</v>
      </c>
      <c r="E35" s="8">
        <f t="shared" si="2"/>
        <v>0.42917079868792435</v>
      </c>
    </row>
    <row r="36" spans="2:5" ht="12.5" x14ac:dyDescent="0.25">
      <c r="B36" s="29" t="s">
        <v>150</v>
      </c>
      <c r="C36" s="63">
        <f>'F_C.1.1'!AK35</f>
        <v>16.696999999999999</v>
      </c>
      <c r="D36" s="63">
        <f>('T_C.1.3'!U12-'T_C.1.3'!T12)/1000</f>
        <v>6.875</v>
      </c>
      <c r="E36" s="8">
        <f t="shared" si="2"/>
        <v>0.41175061388273343</v>
      </c>
    </row>
    <row r="37" spans="2:5" ht="12.5" x14ac:dyDescent="0.25">
      <c r="B37" s="29" t="s">
        <v>151</v>
      </c>
      <c r="C37" s="63">
        <f>'F_C.1.1'!AK36</f>
        <v>59.465000000000003</v>
      </c>
      <c r="D37" s="63">
        <f>('T_C.1.3'!U13-'T_C.1.3'!T13)/1000</f>
        <v>24.23</v>
      </c>
      <c r="E37" s="8">
        <f t="shared" si="2"/>
        <v>0.40746657697805433</v>
      </c>
    </row>
    <row r="38" spans="2:5" ht="12.5" x14ac:dyDescent="0.25">
      <c r="B38" s="29" t="s">
        <v>153</v>
      </c>
      <c r="C38" s="63">
        <f>'F_C.1.1'!AK37</f>
        <v>59.335000000000001</v>
      </c>
      <c r="D38" s="63">
        <f>('T_C.1.3'!U14-'T_C.1.3'!T14)/1000</f>
        <v>34.396000000000001</v>
      </c>
      <c r="E38" s="8">
        <f t="shared" si="2"/>
        <v>0.5796915816971433</v>
      </c>
    </row>
    <row r="39" spans="2:5" ht="12.5" x14ac:dyDescent="0.25">
      <c r="B39" s="29" t="s">
        <v>152</v>
      </c>
      <c r="C39" s="63">
        <f>'F_C.1.1'!AK38</f>
        <v>23.501999999999999</v>
      </c>
      <c r="D39" s="63">
        <f>('T_C.1.3'!U15-'T_C.1.3'!T15)/1000</f>
        <v>16.427</v>
      </c>
      <c r="E39" s="8">
        <f t="shared" si="2"/>
        <v>0.69896179048591611</v>
      </c>
    </row>
    <row r="40" spans="2:5" ht="12.5" x14ac:dyDescent="0.25">
      <c r="B40" s="29" t="s">
        <v>154</v>
      </c>
      <c r="C40" s="63">
        <f>'F_C.1.1'!AK39</f>
        <v>15.853999999999999</v>
      </c>
      <c r="D40" s="63">
        <f>('T_C.1.3'!U16-'T_C.1.3'!T16)/1000</f>
        <v>7.5819999999999999</v>
      </c>
      <c r="E40" s="8">
        <f t="shared" si="2"/>
        <v>0.47823893023842567</v>
      </c>
    </row>
    <row r="41" spans="2:5" ht="12.5" x14ac:dyDescent="0.25">
      <c r="B41" s="29"/>
      <c r="C41" s="63"/>
      <c r="D41" s="63"/>
      <c r="E41" s="8"/>
    </row>
    <row r="42" spans="2:5" ht="12.5" x14ac:dyDescent="0.25">
      <c r="B42" s="29"/>
      <c r="C42" s="63"/>
      <c r="D42" s="63"/>
      <c r="E42" s="8"/>
    </row>
    <row r="43" spans="2:5" ht="12.5" x14ac:dyDescent="0.25">
      <c r="B43" s="29"/>
      <c r="C43" s="63"/>
      <c r="D43" s="63"/>
      <c r="E43" s="8"/>
    </row>
    <row r="44" spans="2:5" ht="12.5" x14ac:dyDescent="0.25">
      <c r="B44" s="29"/>
      <c r="C44" s="63"/>
      <c r="D44" s="63"/>
      <c r="E44" s="8"/>
    </row>
    <row r="45" spans="2:5" ht="12.5" x14ac:dyDescent="0.25">
      <c r="B45" s="29"/>
      <c r="C45" s="63"/>
      <c r="D45" s="63"/>
      <c r="E45" s="8"/>
    </row>
    <row r="46" spans="2:5" ht="12.5" x14ac:dyDescent="0.25">
      <c r="B46" s="29"/>
      <c r="C46" s="63"/>
      <c r="D46" s="63"/>
      <c r="E46" s="8"/>
    </row>
    <row r="47" spans="2:5" ht="12.5" x14ac:dyDescent="0.25">
      <c r="B47" s="29"/>
      <c r="C47" s="63"/>
      <c r="D47" s="63"/>
      <c r="E47" s="8"/>
    </row>
    <row r="48" spans="2:5" ht="12.5" x14ac:dyDescent="0.25">
      <c r="B48" s="29"/>
      <c r="C48" s="63"/>
      <c r="D48" s="63"/>
      <c r="E48" s="8"/>
    </row>
    <row r="49" spans="2:5" ht="12.5" x14ac:dyDescent="0.25">
      <c r="B49" s="29"/>
      <c r="C49" s="63"/>
      <c r="D49" s="63"/>
      <c r="E49" s="8"/>
    </row>
    <row r="50" spans="2:5" ht="12.5" x14ac:dyDescent="0.25">
      <c r="B50" s="29"/>
      <c r="C50" s="63"/>
      <c r="D50" s="63"/>
      <c r="E50" s="8"/>
    </row>
    <row r="51" spans="2:5" ht="12.5" x14ac:dyDescent="0.25">
      <c r="B51" s="29" t="s">
        <v>31</v>
      </c>
      <c r="C51" s="63">
        <f>Figuur_5!AG51</f>
        <v>1316.4749999999999</v>
      </c>
      <c r="D51" s="63">
        <f>(Tabel_2!V25-Tabel_2!U25)/1000</f>
        <v>744.30499999999995</v>
      </c>
      <c r="E51" s="8">
        <f t="shared" si="2"/>
        <v>0.56537723845876298</v>
      </c>
    </row>
    <row r="52" spans="2:5" ht="12.5" x14ac:dyDescent="0.25">
      <c r="B52" s="5"/>
      <c r="C52" s="39"/>
      <c r="D52" s="39"/>
      <c r="E52" s="5"/>
    </row>
    <row r="53" spans="2:5" ht="12.5" x14ac:dyDescent="0.25">
      <c r="B53" s="5"/>
      <c r="C53" s="8"/>
      <c r="D53" s="8"/>
      <c r="E53" s="5"/>
    </row>
    <row r="54" spans="2:5" ht="12.5" x14ac:dyDescent="0.25"/>
    <row r="57" spans="2:5" ht="12.5" x14ac:dyDescent="0.25">
      <c r="B57" s="94" t="s">
        <v>222</v>
      </c>
      <c r="C57" s="94"/>
      <c r="D57" s="94"/>
      <c r="E57" s="94"/>
    </row>
    <row r="58" spans="2:5" ht="12.5" x14ac:dyDescent="0.25">
      <c r="B58" s="94"/>
      <c r="C58" s="94"/>
      <c r="D58" s="94"/>
      <c r="E58" s="94"/>
    </row>
    <row r="59" spans="2:5" ht="13" x14ac:dyDescent="0.3">
      <c r="B59" s="94"/>
      <c r="C59" s="94"/>
      <c r="D59" s="93" t="s">
        <v>209</v>
      </c>
      <c r="E59" s="93" t="s">
        <v>210</v>
      </c>
    </row>
    <row r="60" spans="2:5" ht="12.5" x14ac:dyDescent="0.25">
      <c r="B60" s="94"/>
      <c r="C60" s="88" t="s">
        <v>146</v>
      </c>
      <c r="D60" s="100">
        <f>E5</f>
        <v>0.69578313253012047</v>
      </c>
      <c r="E60" s="100">
        <f>E32</f>
        <v>0.63155494756041963</v>
      </c>
    </row>
    <row r="61" spans="2:5" ht="12.5" x14ac:dyDescent="0.25">
      <c r="B61" s="94"/>
      <c r="C61" s="88" t="s">
        <v>147</v>
      </c>
      <c r="D61" s="100">
        <f t="shared" ref="D61:D79" si="3">E6</f>
        <v>0.83482309124767229</v>
      </c>
      <c r="E61" s="100">
        <f t="shared" ref="E61:E79" si="4">E33</f>
        <v>0.78302348336594918</v>
      </c>
    </row>
    <row r="62" spans="2:5" ht="12.5" x14ac:dyDescent="0.25">
      <c r="B62" s="94"/>
      <c r="C62" s="88" t="s">
        <v>148</v>
      </c>
      <c r="D62" s="100">
        <f t="shared" si="3"/>
        <v>0.61143679386058414</v>
      </c>
      <c r="E62" s="100">
        <f t="shared" si="4"/>
        <v>0.63868378016750094</v>
      </c>
    </row>
    <row r="63" spans="2:5" ht="12.5" x14ac:dyDescent="0.25">
      <c r="B63" s="94"/>
      <c r="C63" s="88" t="s">
        <v>149</v>
      </c>
      <c r="D63" s="100">
        <f t="shared" si="3"/>
        <v>0.54640237618961018</v>
      </c>
      <c r="E63" s="100">
        <f t="shared" si="4"/>
        <v>0.42917079868792435</v>
      </c>
    </row>
    <row r="64" spans="2:5" ht="12.5" x14ac:dyDescent="0.25">
      <c r="B64" s="94"/>
      <c r="C64" s="88" t="s">
        <v>150</v>
      </c>
      <c r="D64" s="100">
        <f t="shared" si="3"/>
        <v>0.53601965137701357</v>
      </c>
      <c r="E64" s="100">
        <f t="shared" si="4"/>
        <v>0.41175061388273343</v>
      </c>
    </row>
    <row r="65" spans="2:5" ht="12.5" x14ac:dyDescent="0.25">
      <c r="B65" s="94"/>
      <c r="C65" s="88" t="s">
        <v>151</v>
      </c>
      <c r="D65" s="100">
        <f t="shared" si="3"/>
        <v>0.53897786151672156</v>
      </c>
      <c r="E65" s="100">
        <f t="shared" si="4"/>
        <v>0.40746657697805433</v>
      </c>
    </row>
    <row r="66" spans="2:5" ht="12.5" x14ac:dyDescent="0.25">
      <c r="B66" s="94"/>
      <c r="C66" s="88" t="s">
        <v>153</v>
      </c>
      <c r="D66" s="100">
        <f t="shared" si="3"/>
        <v>0.64649099182105541</v>
      </c>
      <c r="E66" s="100">
        <f t="shared" si="4"/>
        <v>0.5796915816971433</v>
      </c>
    </row>
    <row r="67" spans="2:5" ht="12.5" x14ac:dyDescent="0.25">
      <c r="B67" s="94"/>
      <c r="C67" s="88" t="s">
        <v>152</v>
      </c>
      <c r="D67" s="100">
        <f t="shared" si="3"/>
        <v>0.75344995818232496</v>
      </c>
      <c r="E67" s="100">
        <f t="shared" si="4"/>
        <v>0.69896179048591611</v>
      </c>
    </row>
    <row r="68" spans="2:5" ht="12.5" x14ac:dyDescent="0.25">
      <c r="B68" s="94"/>
      <c r="C68" s="88" t="s">
        <v>154</v>
      </c>
      <c r="D68" s="100">
        <f t="shared" si="3"/>
        <v>0.57733381022942099</v>
      </c>
      <c r="E68" s="100">
        <f t="shared" si="4"/>
        <v>0.47823893023842567</v>
      </c>
    </row>
    <row r="69" spans="2:5" ht="12.5" x14ac:dyDescent="0.25">
      <c r="B69" s="94"/>
      <c r="C69" s="88"/>
      <c r="D69" s="100"/>
      <c r="E69" s="100"/>
    </row>
    <row r="70" spans="2:5" ht="12.5" x14ac:dyDescent="0.25">
      <c r="B70" s="94"/>
      <c r="C70" s="88"/>
      <c r="D70" s="100"/>
      <c r="E70" s="100"/>
    </row>
    <row r="71" spans="2:5" ht="12.5" x14ac:dyDescent="0.25">
      <c r="B71" s="94"/>
      <c r="C71" s="88"/>
      <c r="D71" s="100"/>
      <c r="E71" s="100"/>
    </row>
    <row r="72" spans="2:5" ht="12.5" x14ac:dyDescent="0.25">
      <c r="B72" s="94"/>
      <c r="C72" s="88"/>
      <c r="D72" s="100"/>
      <c r="E72" s="100"/>
    </row>
    <row r="73" spans="2:5" ht="12.5" x14ac:dyDescent="0.25">
      <c r="B73" s="94"/>
      <c r="C73" s="88"/>
      <c r="D73" s="100"/>
      <c r="E73" s="100"/>
    </row>
    <row r="74" spans="2:5" ht="12.5" x14ac:dyDescent="0.25">
      <c r="B74" s="94"/>
      <c r="C74" s="88"/>
      <c r="D74" s="100"/>
      <c r="E74" s="100"/>
    </row>
    <row r="75" spans="2:5" ht="12.5" x14ac:dyDescent="0.25">
      <c r="B75" s="94"/>
      <c r="C75" s="88"/>
      <c r="D75" s="100"/>
      <c r="E75" s="100"/>
    </row>
    <row r="76" spans="2:5" ht="12.5" x14ac:dyDescent="0.25">
      <c r="B76" s="94"/>
      <c r="C76" s="88"/>
      <c r="D76" s="100"/>
      <c r="E76" s="100"/>
    </row>
    <row r="77" spans="2:5" ht="12.5" x14ac:dyDescent="0.25">
      <c r="B77" s="94"/>
      <c r="C77" s="88"/>
      <c r="D77" s="100"/>
      <c r="E77" s="100"/>
    </row>
    <row r="78" spans="2:5" ht="12.5" x14ac:dyDescent="0.25">
      <c r="B78" s="94"/>
      <c r="C78" s="88"/>
      <c r="D78" s="100"/>
      <c r="E78" s="100"/>
    </row>
    <row r="79" spans="2:5" ht="12.5" x14ac:dyDescent="0.25">
      <c r="B79" s="94"/>
      <c r="C79" s="88" t="s">
        <v>212</v>
      </c>
      <c r="D79" s="100">
        <f t="shared" si="3"/>
        <v>0.56537723845876298</v>
      </c>
      <c r="E79" s="100">
        <f t="shared" si="4"/>
        <v>0.56537723845876298</v>
      </c>
    </row>
    <row r="80" spans="2:5" ht="12.5" x14ac:dyDescent="0.25">
      <c r="B80" s="94"/>
      <c r="C80" s="94"/>
      <c r="D80" s="115"/>
      <c r="E80" s="115"/>
    </row>
    <row r="81" spans="2:5" ht="12.5" x14ac:dyDescent="0.25">
      <c r="B81" s="94"/>
      <c r="C81" s="94"/>
      <c r="D81" s="100"/>
      <c r="E81" s="100"/>
    </row>
    <row r="83" spans="2:5" ht="12.5" x14ac:dyDescent="0.25"/>
    <row r="84" spans="2:5" ht="12.5" x14ac:dyDescent="0.25"/>
    <row r="85" spans="2:5" ht="12.5" x14ac:dyDescent="0.25"/>
    <row r="86" spans="2:5" ht="12.5" x14ac:dyDescent="0.25"/>
    <row r="87" spans="2:5" ht="12.5" x14ac:dyDescent="0.25"/>
    <row r="88" spans="2:5" ht="12.5" x14ac:dyDescent="0.25"/>
    <row r="89" spans="2:5" ht="12.5" x14ac:dyDescent="0.25"/>
    <row r="90" spans="2:5" ht="12.5" x14ac:dyDescent="0.25"/>
    <row r="91" spans="2:5" ht="12.5" x14ac:dyDescent="0.25"/>
    <row r="92" spans="2:5" ht="12.5" x14ac:dyDescent="0.25"/>
    <row r="93" spans="2:5" ht="12.5" x14ac:dyDescent="0.25"/>
    <row r="94" spans="2:5" ht="12.5" x14ac:dyDescent="0.25"/>
    <row r="95" spans="2:5" ht="12.5" x14ac:dyDescent="0.25"/>
    <row r="96" spans="2:5" ht="12.5" x14ac:dyDescent="0.25"/>
    <row r="97" ht="12.5" x14ac:dyDescent="0.25"/>
    <row r="98" ht="12.5" x14ac:dyDescent="0.25"/>
    <row r="99" ht="12.5" x14ac:dyDescent="0.25"/>
    <row r="100" ht="12.5" x14ac:dyDescent="0.25"/>
    <row r="101" ht="12.5" x14ac:dyDescent="0.25"/>
    <row r="102" ht="12.5" x14ac:dyDescent="0.25"/>
    <row r="103" ht="12.5" x14ac:dyDescent="0.25"/>
    <row r="104" ht="12.5" x14ac:dyDescent="0.25"/>
    <row r="105" ht="12.5" x14ac:dyDescent="0.25"/>
    <row r="106" ht="12.5" x14ac:dyDescent="0.25"/>
    <row r="107" ht="12.5" x14ac:dyDescent="0.25"/>
    <row r="110" ht="12.5" x14ac:dyDescent="0.25"/>
    <row r="111" ht="12.5" x14ac:dyDescent="0.25"/>
    <row r="112" ht="12.5" x14ac:dyDescent="0.25"/>
    <row r="113" ht="12.5" x14ac:dyDescent="0.25"/>
    <row r="114" ht="12.5" x14ac:dyDescent="0.25"/>
    <row r="115" ht="12.5" x14ac:dyDescent="0.25"/>
    <row r="116" ht="12.5" x14ac:dyDescent="0.25"/>
    <row r="117" ht="12.5" x14ac:dyDescent="0.25"/>
    <row r="118" ht="12.5" x14ac:dyDescent="0.25"/>
    <row r="119" ht="12.5" x14ac:dyDescent="0.25"/>
    <row r="120" ht="12.5" x14ac:dyDescent="0.25"/>
    <row r="121" ht="12.5" x14ac:dyDescent="0.25"/>
    <row r="122" ht="12.5" x14ac:dyDescent="0.25"/>
    <row r="123" ht="12.5" x14ac:dyDescent="0.25"/>
    <row r="124" ht="12.5" x14ac:dyDescent="0.25"/>
    <row r="125" ht="12.5" x14ac:dyDescent="0.25"/>
    <row r="126" ht="12.5" x14ac:dyDescent="0.25"/>
    <row r="127" ht="12.5" x14ac:dyDescent="0.25"/>
    <row r="128" ht="12.5" x14ac:dyDescent="0.25"/>
    <row r="129" ht="12.5" x14ac:dyDescent="0.25"/>
    <row r="130" ht="12.5" x14ac:dyDescent="0.25"/>
    <row r="131" ht="12.5" x14ac:dyDescent="0.25"/>
    <row r="132" ht="12.5" x14ac:dyDescent="0.25"/>
  </sheetData>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1BAA2-6883-448A-B890-E9B24B87D578}">
  <dimension ref="A1:BN28"/>
  <sheetViews>
    <sheetView topLeftCell="W1" zoomScale="90" zoomScaleNormal="112" workbookViewId="0">
      <selection activeCell="T8" sqref="C8:T8"/>
    </sheetView>
  </sheetViews>
  <sheetFormatPr defaultColWidth="11.54296875" defaultRowHeight="12.75" customHeight="1" x14ac:dyDescent="0.25"/>
  <cols>
    <col min="1" max="1" width="26" style="18" bestFit="1" customWidth="1"/>
    <col min="2" max="2" width="5.81640625" style="68" customWidth="1"/>
    <col min="3" max="24" width="11.54296875" style="18"/>
    <col min="25" max="44" width="7" style="18" customWidth="1"/>
    <col min="45" max="46" width="11.54296875" style="18"/>
    <col min="47" max="47" width="17.54296875" style="27" bestFit="1" customWidth="1"/>
    <col min="48" max="64" width="4.81640625" style="23" customWidth="1"/>
    <col min="65" max="68" width="11.54296875" style="18"/>
    <col min="69" max="69" width="5.26953125" style="18" customWidth="1"/>
    <col min="70" max="87" width="5.81640625" style="18" customWidth="1"/>
    <col min="88" max="16384" width="11.54296875" style="18"/>
  </cols>
  <sheetData>
    <row r="1" spans="1:66" ht="12.75" customHeight="1" x14ac:dyDescent="0.35">
      <c r="A1" s="49">
        <v>2024</v>
      </c>
    </row>
    <row r="3" spans="1:66" ht="12.75" customHeight="1" x14ac:dyDescent="0.3">
      <c r="A3" s="55" t="s">
        <v>182</v>
      </c>
      <c r="B3" s="18"/>
      <c r="C3" s="38" t="s">
        <v>186</v>
      </c>
    </row>
    <row r="4" spans="1:66" ht="12.75" customHeight="1" x14ac:dyDescent="0.3">
      <c r="B4" s="50"/>
    </row>
    <row r="5" spans="1:66" ht="13" x14ac:dyDescent="0.3">
      <c r="B5" s="18"/>
      <c r="C5" s="51" t="s">
        <v>111</v>
      </c>
      <c r="D5" s="51" t="s">
        <v>112</v>
      </c>
      <c r="E5" s="51" t="s">
        <v>113</v>
      </c>
      <c r="F5" s="51" t="s">
        <v>171</v>
      </c>
      <c r="G5" s="51" t="s">
        <v>115</v>
      </c>
      <c r="H5" s="51" t="s">
        <v>172</v>
      </c>
      <c r="I5" s="51" t="s">
        <v>117</v>
      </c>
      <c r="J5" s="51" t="s">
        <v>25</v>
      </c>
      <c r="K5" s="51" t="s">
        <v>118</v>
      </c>
      <c r="L5" s="51" t="s">
        <v>120</v>
      </c>
      <c r="M5" s="51" t="s">
        <v>173</v>
      </c>
      <c r="N5" s="51" t="s">
        <v>122</v>
      </c>
      <c r="O5" s="51" t="s">
        <v>123</v>
      </c>
      <c r="P5" s="51" t="s">
        <v>174</v>
      </c>
      <c r="Q5" s="51" t="s">
        <v>125</v>
      </c>
      <c r="R5" s="51" t="s">
        <v>175</v>
      </c>
      <c r="S5" s="51" t="s">
        <v>159</v>
      </c>
      <c r="T5" s="51" t="s">
        <v>177</v>
      </c>
      <c r="U5" s="18" t="s">
        <v>23</v>
      </c>
      <c r="X5" s="20"/>
      <c r="Y5" s="51"/>
      <c r="Z5" s="51"/>
      <c r="AA5" s="51"/>
      <c r="AB5" s="51"/>
      <c r="AC5" s="51"/>
      <c r="AD5" s="51"/>
      <c r="AE5" s="51"/>
      <c r="AF5" s="51"/>
      <c r="AG5" s="51"/>
      <c r="AH5" s="51"/>
      <c r="AI5" s="51"/>
      <c r="AJ5" s="51"/>
      <c r="AK5" s="51"/>
      <c r="AL5" s="51"/>
      <c r="AM5" s="51"/>
      <c r="AN5" s="51"/>
      <c r="AO5" s="51"/>
      <c r="AP5" s="51"/>
    </row>
    <row r="6" spans="1:66" ht="13" x14ac:dyDescent="0.3">
      <c r="B6" s="18"/>
      <c r="C6" s="18">
        <v>1</v>
      </c>
      <c r="D6" s="18">
        <v>3</v>
      </c>
      <c r="E6" s="18">
        <v>4</v>
      </c>
      <c r="F6" s="18">
        <v>6</v>
      </c>
      <c r="G6" s="18">
        <v>7</v>
      </c>
      <c r="H6" s="18">
        <v>8</v>
      </c>
      <c r="I6" s="18">
        <v>9</v>
      </c>
      <c r="J6" s="18">
        <v>10</v>
      </c>
      <c r="K6" s="18">
        <v>11</v>
      </c>
      <c r="L6" s="18">
        <v>13</v>
      </c>
      <c r="M6" s="18">
        <v>14</v>
      </c>
      <c r="N6" s="18">
        <v>15</v>
      </c>
      <c r="O6" s="18">
        <v>16</v>
      </c>
      <c r="P6" s="18">
        <v>17</v>
      </c>
      <c r="Q6" s="18">
        <v>18</v>
      </c>
      <c r="R6" s="18">
        <v>19</v>
      </c>
      <c r="S6" s="18">
        <v>78</v>
      </c>
      <c r="T6" s="18">
        <v>999</v>
      </c>
      <c r="U6" s="18" t="s">
        <v>2</v>
      </c>
      <c r="X6" s="20"/>
      <c r="Y6" s="51" t="s">
        <v>111</v>
      </c>
      <c r="Z6" s="51" t="s">
        <v>112</v>
      </c>
      <c r="AA6" s="51" t="s">
        <v>113</v>
      </c>
      <c r="AB6" s="51" t="s">
        <v>171</v>
      </c>
      <c r="AC6" s="51" t="s">
        <v>115</v>
      </c>
      <c r="AD6" s="51" t="s">
        <v>172</v>
      </c>
      <c r="AE6" s="51" t="s">
        <v>117</v>
      </c>
      <c r="AF6" s="51" t="s">
        <v>25</v>
      </c>
      <c r="AG6" s="51" t="s">
        <v>118</v>
      </c>
      <c r="AH6" s="51" t="s">
        <v>120</v>
      </c>
      <c r="AI6" s="51" t="s">
        <v>173</v>
      </c>
      <c r="AJ6" s="51" t="s">
        <v>122</v>
      </c>
      <c r="AK6" s="51" t="s">
        <v>123</v>
      </c>
      <c r="AL6" s="51" t="s">
        <v>174</v>
      </c>
      <c r="AM6" s="51" t="s">
        <v>125</v>
      </c>
      <c r="AN6" s="51" t="s">
        <v>175</v>
      </c>
      <c r="AO6" s="51" t="s">
        <v>159</v>
      </c>
      <c r="AP6" s="51" t="s">
        <v>177</v>
      </c>
      <c r="AQ6" s="48"/>
      <c r="AT6" s="24"/>
      <c r="AU6" s="28"/>
      <c r="AV6" s="25"/>
      <c r="AW6" s="25"/>
      <c r="AX6" s="25"/>
      <c r="AY6" s="25"/>
      <c r="AZ6" s="25"/>
      <c r="BA6" s="25"/>
      <c r="BB6" s="25"/>
      <c r="BC6" s="25"/>
      <c r="BD6" s="25"/>
      <c r="BE6" s="25"/>
      <c r="BF6" s="25"/>
      <c r="BG6" s="25"/>
      <c r="BH6" s="25"/>
      <c r="BI6" s="25"/>
      <c r="BJ6" s="25"/>
      <c r="BK6" s="25"/>
      <c r="BL6" s="25"/>
      <c r="BM6" s="24"/>
      <c r="BN6" s="24"/>
    </row>
    <row r="7" spans="1:66" ht="14.5" x14ac:dyDescent="0.25">
      <c r="B7" s="18"/>
      <c r="C7" s="47"/>
      <c r="D7" s="47"/>
      <c r="E7" s="47"/>
      <c r="F7" s="47"/>
      <c r="G7" s="47"/>
      <c r="H7" s="47"/>
      <c r="I7" s="47"/>
      <c r="J7" s="47"/>
      <c r="K7" s="47"/>
      <c r="L7" s="47"/>
      <c r="M7" s="47"/>
      <c r="N7" s="47"/>
      <c r="O7" s="47"/>
      <c r="P7" s="47"/>
      <c r="Q7" s="47"/>
      <c r="R7" s="46"/>
      <c r="S7" s="46"/>
      <c r="X7" s="29"/>
      <c r="Y7" s="53" t="s">
        <v>129</v>
      </c>
      <c r="Z7" s="53" t="s">
        <v>130</v>
      </c>
      <c r="AA7" s="53" t="s">
        <v>131</v>
      </c>
      <c r="AB7" s="53" t="s">
        <v>132</v>
      </c>
      <c r="AC7" s="53" t="s">
        <v>133</v>
      </c>
      <c r="AD7" s="53" t="s">
        <v>134</v>
      </c>
      <c r="AE7" s="53" t="s">
        <v>135</v>
      </c>
      <c r="AF7" s="53" t="s">
        <v>136</v>
      </c>
      <c r="AG7" s="53" t="s">
        <v>137</v>
      </c>
      <c r="AH7" s="53" t="s">
        <v>139</v>
      </c>
      <c r="AI7" s="53" t="s">
        <v>140</v>
      </c>
      <c r="AJ7" s="53" t="s">
        <v>141</v>
      </c>
      <c r="AK7" s="53" t="s">
        <v>142</v>
      </c>
      <c r="AL7" s="53" t="s">
        <v>143</v>
      </c>
      <c r="AM7" s="53" t="s">
        <v>144</v>
      </c>
      <c r="AN7" s="53" t="s">
        <v>145</v>
      </c>
      <c r="AO7" s="53">
        <v>78</v>
      </c>
      <c r="AP7" s="53" t="s">
        <v>127</v>
      </c>
      <c r="AQ7" s="53" t="s">
        <v>2</v>
      </c>
      <c r="AT7" s="26"/>
      <c r="AU7" s="31"/>
      <c r="AV7" s="32" t="s">
        <v>129</v>
      </c>
      <c r="AW7" s="32" t="s">
        <v>178</v>
      </c>
      <c r="AX7" s="32" t="s">
        <v>179</v>
      </c>
      <c r="AY7" s="32" t="s">
        <v>132</v>
      </c>
      <c r="AZ7" s="32" t="s">
        <v>133</v>
      </c>
      <c r="BA7" s="32" t="s">
        <v>134</v>
      </c>
      <c r="BB7" s="32" t="s">
        <v>135</v>
      </c>
      <c r="BC7" s="32" t="s">
        <v>136</v>
      </c>
      <c r="BD7" s="32" t="s">
        <v>137</v>
      </c>
      <c r="BE7" s="32" t="s">
        <v>139</v>
      </c>
      <c r="BF7" s="32" t="s">
        <v>140</v>
      </c>
      <c r="BG7" s="32" t="s">
        <v>141</v>
      </c>
      <c r="BH7" s="32" t="s">
        <v>142</v>
      </c>
      <c r="BI7" s="32" t="s">
        <v>143</v>
      </c>
      <c r="BJ7" s="32" t="s">
        <v>144</v>
      </c>
      <c r="BK7" s="32" t="s">
        <v>145</v>
      </c>
      <c r="BL7" s="32">
        <v>78</v>
      </c>
      <c r="BM7" s="33" t="s">
        <v>31</v>
      </c>
      <c r="BN7" s="26"/>
    </row>
    <row r="8" spans="1:66" ht="12.5" x14ac:dyDescent="0.25">
      <c r="A8" s="51" t="s">
        <v>146</v>
      </c>
      <c r="B8" s="18">
        <v>1</v>
      </c>
      <c r="C8" s="18">
        <v>27</v>
      </c>
      <c r="D8" s="18">
        <v>870</v>
      </c>
      <c r="E8" s="18">
        <v>62</v>
      </c>
      <c r="F8" s="18">
        <v>78</v>
      </c>
      <c r="G8" s="18">
        <v>907</v>
      </c>
      <c r="H8" s="18">
        <v>166</v>
      </c>
      <c r="I8" s="18">
        <v>130</v>
      </c>
      <c r="J8" s="18">
        <v>112</v>
      </c>
      <c r="K8" s="18">
        <v>62</v>
      </c>
      <c r="L8" s="18">
        <v>727</v>
      </c>
      <c r="M8" s="18">
        <v>147</v>
      </c>
      <c r="N8" s="18">
        <v>25</v>
      </c>
      <c r="O8" s="18">
        <v>73</v>
      </c>
      <c r="P8" s="18">
        <v>118</v>
      </c>
      <c r="Q8" s="18">
        <v>27</v>
      </c>
      <c r="R8" s="18">
        <v>29</v>
      </c>
      <c r="S8" s="18">
        <v>1984</v>
      </c>
      <c r="T8" s="18">
        <v>1895</v>
      </c>
      <c r="U8" s="52">
        <v>7439</v>
      </c>
      <c r="X8" s="29" t="s">
        <v>146</v>
      </c>
      <c r="Y8" s="56">
        <f t="shared" ref="Y8:AN16" si="0">IFERROR(C8/1000,"")</f>
        <v>2.7E-2</v>
      </c>
      <c r="Z8" s="56">
        <f t="shared" si="0"/>
        <v>0.87</v>
      </c>
      <c r="AA8" s="56">
        <f t="shared" si="0"/>
        <v>6.2E-2</v>
      </c>
      <c r="AB8" s="56">
        <f t="shared" si="0"/>
        <v>7.8E-2</v>
      </c>
      <c r="AC8" s="56">
        <f t="shared" si="0"/>
        <v>0.90700000000000003</v>
      </c>
      <c r="AD8" s="56">
        <f t="shared" si="0"/>
        <v>0.16600000000000001</v>
      </c>
      <c r="AE8" s="56">
        <f t="shared" si="0"/>
        <v>0.13</v>
      </c>
      <c r="AF8" s="56">
        <f t="shared" si="0"/>
        <v>0.112</v>
      </c>
      <c r="AG8" s="56">
        <f t="shared" si="0"/>
        <v>6.2E-2</v>
      </c>
      <c r="AH8" s="56">
        <f t="shared" si="0"/>
        <v>0.72699999999999998</v>
      </c>
      <c r="AI8" s="56">
        <f t="shared" si="0"/>
        <v>0.14699999999999999</v>
      </c>
      <c r="AJ8" s="56">
        <f t="shared" si="0"/>
        <v>2.5000000000000001E-2</v>
      </c>
      <c r="AK8" s="56">
        <f t="shared" si="0"/>
        <v>7.2999999999999995E-2</v>
      </c>
      <c r="AL8" s="56">
        <f t="shared" si="0"/>
        <v>0.11799999999999999</v>
      </c>
      <c r="AM8" s="56">
        <f t="shared" si="0"/>
        <v>2.7E-2</v>
      </c>
      <c r="AN8" s="56">
        <f t="shared" si="0"/>
        <v>2.9000000000000001E-2</v>
      </c>
      <c r="AO8" s="56">
        <f t="shared" ref="AO8:AQ16" si="1">IFERROR(S8/1000,"")</f>
        <v>1.984</v>
      </c>
      <c r="AP8" s="56">
        <f t="shared" si="1"/>
        <v>1.895</v>
      </c>
      <c r="AQ8" s="56">
        <f t="shared" si="1"/>
        <v>7.4390000000000001</v>
      </c>
      <c r="AT8" s="26"/>
      <c r="AU8" s="31" t="s">
        <v>146</v>
      </c>
      <c r="AV8" s="77">
        <f>IFERROR(IF(Y8&gt;0,Y8,"x")/SUM($Y8:$AO8),"")*100</f>
        <v>0.48701298701298701</v>
      </c>
      <c r="AW8" s="77">
        <f t="shared" ref="AW8:BL8" si="2">IFERROR(IF(Z8&gt;0,Z8,"x")/SUM($Y8:$AO8),"")*100</f>
        <v>15.692640692640694</v>
      </c>
      <c r="AX8" s="77">
        <f t="shared" si="2"/>
        <v>1.1183261183261184</v>
      </c>
      <c r="AY8" s="77">
        <f t="shared" si="2"/>
        <v>1.4069264069264069</v>
      </c>
      <c r="AZ8" s="77">
        <f t="shared" si="2"/>
        <v>16.360028860028862</v>
      </c>
      <c r="BA8" s="77">
        <f t="shared" si="2"/>
        <v>2.9942279942279946</v>
      </c>
      <c r="BB8" s="77">
        <f t="shared" si="2"/>
        <v>2.3448773448773452</v>
      </c>
      <c r="BC8" s="77">
        <f t="shared" si="2"/>
        <v>2.0202020202020203</v>
      </c>
      <c r="BD8" s="77">
        <f t="shared" si="2"/>
        <v>1.1183261183261184</v>
      </c>
      <c r="BE8" s="77">
        <f t="shared" si="2"/>
        <v>13.113275613275613</v>
      </c>
      <c r="BF8" s="77">
        <f t="shared" si="2"/>
        <v>2.6515151515151514</v>
      </c>
      <c r="BG8" s="77">
        <f t="shared" si="2"/>
        <v>0.45093795093795097</v>
      </c>
      <c r="BH8" s="77">
        <f t="shared" si="2"/>
        <v>1.3167388167388168</v>
      </c>
      <c r="BI8" s="77">
        <f t="shared" si="2"/>
        <v>2.1284271284271283</v>
      </c>
      <c r="BJ8" s="77">
        <f t="shared" si="2"/>
        <v>0.48701298701298701</v>
      </c>
      <c r="BK8" s="77">
        <f t="shared" si="2"/>
        <v>0.52308802308802316</v>
      </c>
      <c r="BL8" s="77">
        <f t="shared" si="2"/>
        <v>35.786435786435788</v>
      </c>
      <c r="BM8" s="116">
        <f t="shared" ref="BM8:BM16" si="3">SUM(AV8:BL8)</f>
        <v>100.00000000000001</v>
      </c>
      <c r="BN8" s="26"/>
    </row>
    <row r="9" spans="1:66" ht="12.5" x14ac:dyDescent="0.25">
      <c r="A9" s="51" t="s">
        <v>147</v>
      </c>
      <c r="B9" s="18">
        <v>2</v>
      </c>
      <c r="C9" s="18">
        <v>114</v>
      </c>
      <c r="D9" s="18">
        <v>2160</v>
      </c>
      <c r="E9" s="18">
        <v>78</v>
      </c>
      <c r="F9" s="18">
        <v>443</v>
      </c>
      <c r="G9" s="18">
        <v>2649</v>
      </c>
      <c r="H9" s="18">
        <v>333</v>
      </c>
      <c r="I9" s="18">
        <v>348</v>
      </c>
      <c r="J9" s="18">
        <v>775</v>
      </c>
      <c r="K9" s="18">
        <v>135</v>
      </c>
      <c r="L9" s="18">
        <v>1790</v>
      </c>
      <c r="M9" s="18">
        <v>240</v>
      </c>
      <c r="N9" s="18">
        <v>86</v>
      </c>
      <c r="O9" s="18">
        <v>255</v>
      </c>
      <c r="P9" s="18">
        <v>159</v>
      </c>
      <c r="Q9" s="18">
        <v>85</v>
      </c>
      <c r="R9" s="18">
        <v>36</v>
      </c>
      <c r="S9" s="18">
        <v>3763</v>
      </c>
      <c r="T9" s="18">
        <v>4795</v>
      </c>
      <c r="U9" s="52">
        <v>18244</v>
      </c>
      <c r="X9" s="29" t="s">
        <v>147</v>
      </c>
      <c r="Y9" s="56">
        <f t="shared" si="0"/>
        <v>0.114</v>
      </c>
      <c r="Z9" s="56">
        <f t="shared" si="0"/>
        <v>2.16</v>
      </c>
      <c r="AA9" s="56">
        <f t="shared" si="0"/>
        <v>7.8E-2</v>
      </c>
      <c r="AB9" s="56">
        <f t="shared" si="0"/>
        <v>0.443</v>
      </c>
      <c r="AC9" s="56">
        <f t="shared" si="0"/>
        <v>2.649</v>
      </c>
      <c r="AD9" s="56">
        <f t="shared" si="0"/>
        <v>0.33300000000000002</v>
      </c>
      <c r="AE9" s="56">
        <f t="shared" si="0"/>
        <v>0.34799999999999998</v>
      </c>
      <c r="AF9" s="56">
        <f t="shared" si="0"/>
        <v>0.77500000000000002</v>
      </c>
      <c r="AG9" s="56">
        <f t="shared" si="0"/>
        <v>0.13500000000000001</v>
      </c>
      <c r="AH9" s="56">
        <f t="shared" si="0"/>
        <v>1.79</v>
      </c>
      <c r="AI9" s="56">
        <f t="shared" si="0"/>
        <v>0.24</v>
      </c>
      <c r="AJ9" s="56">
        <f t="shared" si="0"/>
        <v>8.5999999999999993E-2</v>
      </c>
      <c r="AK9" s="56">
        <f t="shared" si="0"/>
        <v>0.255</v>
      </c>
      <c r="AL9" s="56">
        <f t="shared" si="0"/>
        <v>0.159</v>
      </c>
      <c r="AM9" s="56">
        <f t="shared" si="0"/>
        <v>8.5000000000000006E-2</v>
      </c>
      <c r="AN9" s="56">
        <f t="shared" si="0"/>
        <v>3.5999999999999997E-2</v>
      </c>
      <c r="AO9" s="56">
        <f t="shared" si="1"/>
        <v>3.7629999999999999</v>
      </c>
      <c r="AP9" s="56">
        <f t="shared" si="1"/>
        <v>4.7949999999999999</v>
      </c>
      <c r="AQ9" s="56">
        <f t="shared" si="1"/>
        <v>18.244</v>
      </c>
      <c r="AT9" s="26"/>
      <c r="AU9" s="31" t="s">
        <v>147</v>
      </c>
      <c r="AV9" s="77">
        <f t="shared" ref="AV9:AV16" si="4">IFERROR(IF(Y9&gt;0,Y9,"x")/SUM($Y9:$AO9),"")*100</f>
        <v>0.8476466651795671</v>
      </c>
      <c r="AW9" s="77">
        <f t="shared" ref="AW9:AW16" si="5">IFERROR(IF(Z9&gt;0,Z9,"x")/SUM($Y9:$AO9),"")*100</f>
        <v>16.060673656033906</v>
      </c>
      <c r="AX9" s="77">
        <f t="shared" ref="AX9:AX16" si="6">IFERROR(IF(AA9&gt;0,AA9,"x")/SUM($Y9:$AO9),"")*100</f>
        <v>0.57996877091233545</v>
      </c>
      <c r="AY9" s="77">
        <f t="shared" ref="AY9:AY16" si="7">IFERROR(IF(AB9&gt;0,AB9,"x")/SUM($Y9:$AO9),"")*100</f>
        <v>3.2939251988995459</v>
      </c>
      <c r="AZ9" s="77">
        <f t="shared" ref="AZ9:AZ16" si="8">IFERROR(IF(AC9&gt;0,AC9,"x")/SUM($Y9:$AO9),"")*100</f>
        <v>19.696631719830467</v>
      </c>
      <c r="BA9" s="77">
        <f t="shared" ref="BA9:BA16" si="9">IFERROR(IF(AD9&gt;0,AD9,"x")/SUM($Y9:$AO9),"")*100</f>
        <v>2.4760205219718938</v>
      </c>
      <c r="BB9" s="77">
        <f t="shared" ref="BB9:BB16" si="10">IFERROR(IF(AE9&gt;0,AE9,"x")/SUM($Y9:$AO9),"")*100</f>
        <v>2.5875529779165731</v>
      </c>
      <c r="BC9" s="77">
        <f t="shared" ref="BC9:BC16" si="11">IFERROR(IF(AF9&gt;0,AF9,"x")/SUM($Y9:$AO9),"")*100</f>
        <v>5.7625102238084613</v>
      </c>
      <c r="BD9" s="77">
        <f t="shared" ref="BD9:BD16" si="12">IFERROR(IF(AG9&gt;0,AG9,"x")/SUM($Y9:$AO9),"")*100</f>
        <v>1.0037921035021191</v>
      </c>
      <c r="BE9" s="77">
        <f t="shared" ref="BE9:BE16" si="13">IFERROR(IF(AH9&gt;0,AH9,"x")/SUM($Y9:$AO9),"")*100</f>
        <v>13.309539742731799</v>
      </c>
      <c r="BF9" s="77">
        <f t="shared" ref="BF9:BF16" si="14">IFERROR(IF(AI9&gt;0,AI9,"x")/SUM($Y9:$AO9),"")*100</f>
        <v>1.7845192951148781</v>
      </c>
      <c r="BG9" s="77">
        <f t="shared" ref="BG9:BG16" si="15">IFERROR(IF(AJ9&gt;0,AJ9,"x")/SUM($Y9:$AO9),"")*100</f>
        <v>0.63945274741616465</v>
      </c>
      <c r="BH9" s="77">
        <f t="shared" ref="BH9:BH16" si="16">IFERROR(IF(AK9&gt;0,AK9,"x")/SUM($Y9:$AO9),"")*100</f>
        <v>1.8960517510595583</v>
      </c>
      <c r="BI9" s="77">
        <f t="shared" ref="BI9:BI16" si="17">IFERROR(IF(AL9&gt;0,AL9,"x")/SUM($Y9:$AO9),"")*100</f>
        <v>1.1822440330136068</v>
      </c>
      <c r="BJ9" s="77">
        <f t="shared" ref="BJ9:BJ16" si="18">IFERROR(IF(AM9&gt;0,AM9,"x")/SUM($Y9:$AO9),"")*100</f>
        <v>0.63201725035318612</v>
      </c>
      <c r="BK9" s="77">
        <f t="shared" ref="BK9:BK16" si="19">IFERROR(IF(AN9&gt;0,AN9,"x")/SUM($Y9:$AO9),"")*100</f>
        <v>0.26767789426723171</v>
      </c>
      <c r="BL9" s="77">
        <f t="shared" ref="BL9:BL16" si="20">IFERROR(IF(AO9&gt;0,AO9,"x")/SUM($Y9:$AO9),"")*100</f>
        <v>27.979775447988693</v>
      </c>
      <c r="BM9" s="116">
        <f t="shared" si="3"/>
        <v>99.999999999999972</v>
      </c>
      <c r="BN9" s="26"/>
    </row>
    <row r="10" spans="1:66" ht="12.5" x14ac:dyDescent="0.25">
      <c r="A10" s="51" t="s">
        <v>148</v>
      </c>
      <c r="B10" s="18">
        <v>3</v>
      </c>
      <c r="C10" s="18">
        <v>86</v>
      </c>
      <c r="D10" s="18">
        <v>1184</v>
      </c>
      <c r="E10" s="18">
        <v>193</v>
      </c>
      <c r="F10" s="18">
        <v>407</v>
      </c>
      <c r="G10" s="18">
        <v>5150</v>
      </c>
      <c r="H10" s="18">
        <v>645</v>
      </c>
      <c r="I10" s="18">
        <v>1231</v>
      </c>
      <c r="J10" s="18">
        <v>357</v>
      </c>
      <c r="K10" s="18">
        <v>1028</v>
      </c>
      <c r="L10" s="18">
        <v>4523</v>
      </c>
      <c r="M10" s="18">
        <v>888</v>
      </c>
      <c r="N10" s="18">
        <v>400</v>
      </c>
      <c r="O10" s="18">
        <v>846</v>
      </c>
      <c r="P10" s="18">
        <v>861</v>
      </c>
      <c r="Q10" s="18">
        <v>397</v>
      </c>
      <c r="R10" s="18">
        <v>266</v>
      </c>
      <c r="S10" s="18">
        <v>4484</v>
      </c>
      <c r="T10" s="18">
        <v>16216</v>
      </c>
      <c r="U10" s="52">
        <v>39162</v>
      </c>
      <c r="X10" s="29" t="s">
        <v>148</v>
      </c>
      <c r="Y10" s="56">
        <f t="shared" si="0"/>
        <v>8.5999999999999993E-2</v>
      </c>
      <c r="Z10" s="56">
        <f t="shared" si="0"/>
        <v>1.1839999999999999</v>
      </c>
      <c r="AA10" s="56">
        <f t="shared" si="0"/>
        <v>0.193</v>
      </c>
      <c r="AB10" s="56">
        <f t="shared" si="0"/>
        <v>0.40699999999999997</v>
      </c>
      <c r="AC10" s="56">
        <f t="shared" si="0"/>
        <v>5.15</v>
      </c>
      <c r="AD10" s="56">
        <f t="shared" si="0"/>
        <v>0.64500000000000002</v>
      </c>
      <c r="AE10" s="56">
        <f t="shared" si="0"/>
        <v>1.2310000000000001</v>
      </c>
      <c r="AF10" s="56">
        <f t="shared" si="0"/>
        <v>0.35699999999999998</v>
      </c>
      <c r="AG10" s="56">
        <f t="shared" si="0"/>
        <v>1.028</v>
      </c>
      <c r="AH10" s="56">
        <f t="shared" si="0"/>
        <v>4.5229999999999997</v>
      </c>
      <c r="AI10" s="56">
        <f t="shared" si="0"/>
        <v>0.88800000000000001</v>
      </c>
      <c r="AJ10" s="56">
        <f t="shared" si="0"/>
        <v>0.4</v>
      </c>
      <c r="AK10" s="56">
        <f t="shared" si="0"/>
        <v>0.84599999999999997</v>
      </c>
      <c r="AL10" s="56">
        <f t="shared" si="0"/>
        <v>0.86099999999999999</v>
      </c>
      <c r="AM10" s="56">
        <f t="shared" si="0"/>
        <v>0.39700000000000002</v>
      </c>
      <c r="AN10" s="56">
        <f t="shared" si="0"/>
        <v>0.26600000000000001</v>
      </c>
      <c r="AO10" s="56">
        <f t="shared" si="1"/>
        <v>4.484</v>
      </c>
      <c r="AP10" s="56">
        <f t="shared" si="1"/>
        <v>16.216000000000001</v>
      </c>
      <c r="AQ10" s="56">
        <f t="shared" si="1"/>
        <v>39.161999999999999</v>
      </c>
      <c r="AT10" s="26"/>
      <c r="AU10" s="31" t="s">
        <v>148</v>
      </c>
      <c r="AV10" s="77">
        <f t="shared" si="4"/>
        <v>0.37479299224265666</v>
      </c>
      <c r="AW10" s="77">
        <f t="shared" si="5"/>
        <v>5.1599407304105291</v>
      </c>
      <c r="AX10" s="77">
        <f t="shared" si="6"/>
        <v>0.84110520352131102</v>
      </c>
      <c r="AY10" s="77">
        <f t="shared" si="7"/>
        <v>1.7737296260786195</v>
      </c>
      <c r="AZ10" s="77">
        <f t="shared" si="8"/>
        <v>22.443998954066071</v>
      </c>
      <c r="BA10" s="77">
        <f t="shared" si="9"/>
        <v>2.8109474418199256</v>
      </c>
      <c r="BB10" s="77">
        <f t="shared" si="10"/>
        <v>5.3647694587291914</v>
      </c>
      <c r="BC10" s="77">
        <f t="shared" si="11"/>
        <v>1.5558267236119587</v>
      </c>
      <c r="BD10" s="77">
        <f t="shared" si="12"/>
        <v>4.4800836747145478</v>
      </c>
      <c r="BE10" s="77">
        <f t="shared" si="13"/>
        <v>19.711496557134144</v>
      </c>
      <c r="BF10" s="77">
        <f t="shared" si="14"/>
        <v>3.8699555478078969</v>
      </c>
      <c r="BG10" s="77">
        <f t="shared" si="15"/>
        <v>1.7432232197332871</v>
      </c>
      <c r="BH10" s="77">
        <f t="shared" si="16"/>
        <v>3.6869171097359015</v>
      </c>
      <c r="BI10" s="77">
        <f t="shared" si="17"/>
        <v>3.7522879804759004</v>
      </c>
      <c r="BJ10" s="77">
        <f t="shared" si="18"/>
        <v>1.7301490455852875</v>
      </c>
      <c r="BK10" s="77">
        <f t="shared" si="19"/>
        <v>1.159243441122636</v>
      </c>
      <c r="BL10" s="77">
        <f t="shared" si="20"/>
        <v>19.54153229321015</v>
      </c>
      <c r="BM10" s="116">
        <f t="shared" si="3"/>
        <v>100.00000000000001</v>
      </c>
      <c r="BN10" s="26"/>
    </row>
    <row r="11" spans="1:66" ht="12.5" x14ac:dyDescent="0.25">
      <c r="A11" s="51" t="s">
        <v>149</v>
      </c>
      <c r="B11" s="18">
        <v>4</v>
      </c>
      <c r="C11" s="18">
        <v>67</v>
      </c>
      <c r="D11" s="18">
        <v>203</v>
      </c>
      <c r="E11" s="18">
        <v>16</v>
      </c>
      <c r="F11" s="18">
        <v>71</v>
      </c>
      <c r="G11" s="18">
        <v>1562</v>
      </c>
      <c r="H11" s="18">
        <v>93</v>
      </c>
      <c r="I11" s="18">
        <v>690</v>
      </c>
      <c r="J11" s="18">
        <v>123</v>
      </c>
      <c r="K11" s="18">
        <v>81</v>
      </c>
      <c r="L11" s="18">
        <v>269</v>
      </c>
      <c r="M11" s="18">
        <v>170</v>
      </c>
      <c r="N11" s="18">
        <v>152</v>
      </c>
      <c r="O11" s="18">
        <v>2090</v>
      </c>
      <c r="P11" s="18">
        <v>2231</v>
      </c>
      <c r="Q11" s="18">
        <v>330</v>
      </c>
      <c r="R11" s="18">
        <v>109</v>
      </c>
      <c r="S11" s="18">
        <v>757</v>
      </c>
      <c r="T11" s="18">
        <v>5075</v>
      </c>
      <c r="U11" s="52">
        <v>14089</v>
      </c>
      <c r="X11" s="29" t="s">
        <v>149</v>
      </c>
      <c r="Y11" s="56">
        <f t="shared" si="0"/>
        <v>6.7000000000000004E-2</v>
      </c>
      <c r="Z11" s="56">
        <f t="shared" si="0"/>
        <v>0.20300000000000001</v>
      </c>
      <c r="AA11" s="56">
        <f t="shared" si="0"/>
        <v>1.6E-2</v>
      </c>
      <c r="AB11" s="56">
        <f t="shared" si="0"/>
        <v>7.0999999999999994E-2</v>
      </c>
      <c r="AC11" s="56">
        <f t="shared" si="0"/>
        <v>1.5620000000000001</v>
      </c>
      <c r="AD11" s="56">
        <f t="shared" si="0"/>
        <v>9.2999999999999999E-2</v>
      </c>
      <c r="AE11" s="56">
        <f t="shared" si="0"/>
        <v>0.69</v>
      </c>
      <c r="AF11" s="56">
        <f t="shared" si="0"/>
        <v>0.123</v>
      </c>
      <c r="AG11" s="56">
        <f t="shared" si="0"/>
        <v>8.1000000000000003E-2</v>
      </c>
      <c r="AH11" s="56">
        <f t="shared" si="0"/>
        <v>0.26900000000000002</v>
      </c>
      <c r="AI11" s="56">
        <f t="shared" si="0"/>
        <v>0.17</v>
      </c>
      <c r="AJ11" s="56">
        <f t="shared" si="0"/>
        <v>0.152</v>
      </c>
      <c r="AK11" s="56">
        <f t="shared" si="0"/>
        <v>2.09</v>
      </c>
      <c r="AL11" s="56">
        <f t="shared" si="0"/>
        <v>2.2309999999999999</v>
      </c>
      <c r="AM11" s="56">
        <f t="shared" si="0"/>
        <v>0.33</v>
      </c>
      <c r="AN11" s="56">
        <f t="shared" si="0"/>
        <v>0.109</v>
      </c>
      <c r="AO11" s="56">
        <f t="shared" si="1"/>
        <v>0.75700000000000001</v>
      </c>
      <c r="AP11" s="56">
        <f t="shared" si="1"/>
        <v>5.0750000000000002</v>
      </c>
      <c r="AQ11" s="56">
        <f t="shared" si="1"/>
        <v>14.089</v>
      </c>
      <c r="AT11" s="26"/>
      <c r="AU11" s="31" t="s">
        <v>149</v>
      </c>
      <c r="AV11" s="77">
        <f t="shared" si="4"/>
        <v>0.74328821832704695</v>
      </c>
      <c r="AW11" s="77">
        <f t="shared" si="5"/>
        <v>2.2520523629909035</v>
      </c>
      <c r="AX11" s="77">
        <f t="shared" si="6"/>
        <v>0.17750166407810075</v>
      </c>
      <c r="AY11" s="77">
        <f t="shared" si="7"/>
        <v>0.78766363434657205</v>
      </c>
      <c r="AZ11" s="77">
        <f t="shared" si="8"/>
        <v>17.328599955624586</v>
      </c>
      <c r="BA11" s="77">
        <f t="shared" si="9"/>
        <v>1.0317284224539605</v>
      </c>
      <c r="BB11" s="77">
        <f t="shared" si="10"/>
        <v>7.6547592633680939</v>
      </c>
      <c r="BC11" s="77">
        <f t="shared" si="11"/>
        <v>1.3645440426003994</v>
      </c>
      <c r="BD11" s="77">
        <f t="shared" si="12"/>
        <v>0.89860217439538503</v>
      </c>
      <c r="BE11" s="77">
        <f t="shared" si="13"/>
        <v>2.9842467273130691</v>
      </c>
      <c r="BF11" s="77">
        <f t="shared" si="14"/>
        <v>1.8859551808298205</v>
      </c>
      <c r="BG11" s="77">
        <f t="shared" si="15"/>
        <v>1.6862658087419571</v>
      </c>
      <c r="BH11" s="77">
        <f t="shared" si="16"/>
        <v>23.186154870201907</v>
      </c>
      <c r="BI11" s="77">
        <f t="shared" si="17"/>
        <v>24.750388284890171</v>
      </c>
      <c r="BJ11" s="77">
        <f t="shared" si="18"/>
        <v>3.6609718216108282</v>
      </c>
      <c r="BK11" s="77">
        <f t="shared" si="19"/>
        <v>1.2092300865320613</v>
      </c>
      <c r="BL11" s="77">
        <f t="shared" si="20"/>
        <v>8.3980474816951425</v>
      </c>
      <c r="BM11" s="116">
        <f t="shared" si="3"/>
        <v>100.00000000000001</v>
      </c>
      <c r="BN11" s="26"/>
    </row>
    <row r="12" spans="1:66" ht="12.5" x14ac:dyDescent="0.25">
      <c r="A12" s="51" t="s">
        <v>150</v>
      </c>
      <c r="B12" s="18">
        <v>5</v>
      </c>
      <c r="C12" s="18">
        <v>76</v>
      </c>
      <c r="D12" s="18">
        <v>366</v>
      </c>
      <c r="E12" s="18">
        <v>30</v>
      </c>
      <c r="F12" s="18">
        <v>272</v>
      </c>
      <c r="G12" s="18">
        <v>1816</v>
      </c>
      <c r="H12" s="18">
        <v>171</v>
      </c>
      <c r="I12" s="18">
        <v>793</v>
      </c>
      <c r="J12" s="18">
        <v>307</v>
      </c>
      <c r="K12" s="18">
        <v>146</v>
      </c>
      <c r="L12" s="18">
        <v>447</v>
      </c>
      <c r="M12" s="18">
        <v>261</v>
      </c>
      <c r="N12" s="18">
        <v>352</v>
      </c>
      <c r="O12" s="18">
        <v>2815</v>
      </c>
      <c r="P12" s="18">
        <v>1686</v>
      </c>
      <c r="Q12" s="18">
        <v>364</v>
      </c>
      <c r="R12" s="18">
        <v>262</v>
      </c>
      <c r="S12" s="18">
        <v>1183</v>
      </c>
      <c r="T12" s="18">
        <v>6518</v>
      </c>
      <c r="U12" s="52">
        <v>17865</v>
      </c>
      <c r="X12" s="29" t="s">
        <v>150</v>
      </c>
      <c r="Y12" s="56">
        <f t="shared" si="0"/>
        <v>7.5999999999999998E-2</v>
      </c>
      <c r="Z12" s="56">
        <f t="shared" si="0"/>
        <v>0.36599999999999999</v>
      </c>
      <c r="AA12" s="56">
        <f t="shared" si="0"/>
        <v>0.03</v>
      </c>
      <c r="AB12" s="56">
        <f t="shared" si="0"/>
        <v>0.27200000000000002</v>
      </c>
      <c r="AC12" s="56">
        <f t="shared" si="0"/>
        <v>1.8160000000000001</v>
      </c>
      <c r="AD12" s="56">
        <f t="shared" si="0"/>
        <v>0.17100000000000001</v>
      </c>
      <c r="AE12" s="56">
        <f t="shared" si="0"/>
        <v>0.79300000000000004</v>
      </c>
      <c r="AF12" s="56">
        <f t="shared" si="0"/>
        <v>0.307</v>
      </c>
      <c r="AG12" s="56">
        <f t="shared" si="0"/>
        <v>0.14599999999999999</v>
      </c>
      <c r="AH12" s="56">
        <f t="shared" si="0"/>
        <v>0.44700000000000001</v>
      </c>
      <c r="AI12" s="56">
        <f t="shared" si="0"/>
        <v>0.26100000000000001</v>
      </c>
      <c r="AJ12" s="56">
        <f t="shared" si="0"/>
        <v>0.35199999999999998</v>
      </c>
      <c r="AK12" s="56">
        <f t="shared" si="0"/>
        <v>2.8149999999999999</v>
      </c>
      <c r="AL12" s="56">
        <f t="shared" si="0"/>
        <v>1.6859999999999999</v>
      </c>
      <c r="AM12" s="56">
        <f t="shared" si="0"/>
        <v>0.36399999999999999</v>
      </c>
      <c r="AN12" s="56">
        <f t="shared" si="0"/>
        <v>0.26200000000000001</v>
      </c>
      <c r="AO12" s="56">
        <f t="shared" si="1"/>
        <v>1.1830000000000001</v>
      </c>
      <c r="AP12" s="56">
        <f t="shared" si="1"/>
        <v>6.5179999999999998</v>
      </c>
      <c r="AQ12" s="56">
        <f t="shared" si="1"/>
        <v>17.864999999999998</v>
      </c>
      <c r="AT12" s="26"/>
      <c r="AU12" s="31" t="s">
        <v>150</v>
      </c>
      <c r="AV12" s="77">
        <f t="shared" si="4"/>
        <v>0.66978055873799236</v>
      </c>
      <c r="AW12" s="77">
        <f t="shared" si="5"/>
        <v>3.2255221644487526</v>
      </c>
      <c r="AX12" s="77">
        <f t="shared" si="6"/>
        <v>0.26438706265973383</v>
      </c>
      <c r="AY12" s="77">
        <f t="shared" si="7"/>
        <v>2.3971093681149203</v>
      </c>
      <c r="AZ12" s="77">
        <f t="shared" si="8"/>
        <v>16.004230193002556</v>
      </c>
      <c r="BA12" s="77">
        <f t="shared" si="9"/>
        <v>1.5070062571604828</v>
      </c>
      <c r="BB12" s="77">
        <f t="shared" si="10"/>
        <v>6.9886313563056319</v>
      </c>
      <c r="BC12" s="77">
        <f t="shared" si="11"/>
        <v>2.7055609412179429</v>
      </c>
      <c r="BD12" s="77">
        <f t="shared" si="12"/>
        <v>1.2866837049440378</v>
      </c>
      <c r="BE12" s="77">
        <f t="shared" si="13"/>
        <v>3.9393672336300338</v>
      </c>
      <c r="BF12" s="77">
        <f t="shared" si="14"/>
        <v>2.3001674451396843</v>
      </c>
      <c r="BG12" s="77">
        <f t="shared" si="15"/>
        <v>3.1021415352075432</v>
      </c>
      <c r="BH12" s="77">
        <f t="shared" si="16"/>
        <v>24.808319379571689</v>
      </c>
      <c r="BI12" s="77">
        <f t="shared" si="17"/>
        <v>14.858552921477038</v>
      </c>
      <c r="BJ12" s="77">
        <f t="shared" si="18"/>
        <v>3.2078963602714365</v>
      </c>
      <c r="BK12" s="77">
        <f t="shared" si="19"/>
        <v>2.3089803472283421</v>
      </c>
      <c r="BL12" s="77">
        <f t="shared" si="20"/>
        <v>10.425663170882171</v>
      </c>
      <c r="BM12" s="116">
        <f t="shared" si="3"/>
        <v>100</v>
      </c>
      <c r="BN12" s="26"/>
    </row>
    <row r="13" spans="1:66" ht="12.5" x14ac:dyDescent="0.25">
      <c r="A13" s="51" t="s">
        <v>151</v>
      </c>
      <c r="B13" s="18">
        <v>6</v>
      </c>
      <c r="C13" s="18">
        <v>178</v>
      </c>
      <c r="D13" s="18">
        <v>1165</v>
      </c>
      <c r="E13" s="18">
        <v>98</v>
      </c>
      <c r="F13" s="18">
        <v>370</v>
      </c>
      <c r="G13" s="18">
        <v>7021</v>
      </c>
      <c r="H13" s="18">
        <v>654</v>
      </c>
      <c r="I13" s="18">
        <v>3158</v>
      </c>
      <c r="J13" s="18">
        <v>998</v>
      </c>
      <c r="K13" s="18">
        <v>708</v>
      </c>
      <c r="L13" s="18">
        <v>2225</v>
      </c>
      <c r="M13" s="18">
        <v>1161</v>
      </c>
      <c r="N13" s="18">
        <v>1326</v>
      </c>
      <c r="O13" s="18">
        <v>1898</v>
      </c>
      <c r="P13" s="18">
        <v>13765</v>
      </c>
      <c r="Q13" s="18">
        <v>1029</v>
      </c>
      <c r="R13" s="18">
        <v>810</v>
      </c>
      <c r="S13" s="18">
        <v>4629</v>
      </c>
      <c r="T13" s="18">
        <v>29051</v>
      </c>
      <c r="U13" s="52">
        <v>70244</v>
      </c>
      <c r="X13" s="29" t="s">
        <v>151</v>
      </c>
      <c r="Y13" s="56">
        <f t="shared" si="0"/>
        <v>0.17799999999999999</v>
      </c>
      <c r="Z13" s="56">
        <f t="shared" si="0"/>
        <v>1.165</v>
      </c>
      <c r="AA13" s="56">
        <f t="shared" si="0"/>
        <v>9.8000000000000004E-2</v>
      </c>
      <c r="AB13" s="56">
        <f t="shared" si="0"/>
        <v>0.37</v>
      </c>
      <c r="AC13" s="56">
        <f t="shared" si="0"/>
        <v>7.0209999999999999</v>
      </c>
      <c r="AD13" s="56">
        <f t="shared" si="0"/>
        <v>0.65400000000000003</v>
      </c>
      <c r="AE13" s="56">
        <f t="shared" si="0"/>
        <v>3.1579999999999999</v>
      </c>
      <c r="AF13" s="56">
        <f t="shared" si="0"/>
        <v>0.998</v>
      </c>
      <c r="AG13" s="56">
        <f t="shared" si="0"/>
        <v>0.70799999999999996</v>
      </c>
      <c r="AH13" s="56">
        <f t="shared" si="0"/>
        <v>2.2250000000000001</v>
      </c>
      <c r="AI13" s="56">
        <f t="shared" si="0"/>
        <v>1.161</v>
      </c>
      <c r="AJ13" s="56">
        <f t="shared" si="0"/>
        <v>1.3260000000000001</v>
      </c>
      <c r="AK13" s="56">
        <f t="shared" si="0"/>
        <v>1.8979999999999999</v>
      </c>
      <c r="AL13" s="56">
        <f t="shared" si="0"/>
        <v>13.765000000000001</v>
      </c>
      <c r="AM13" s="56">
        <f t="shared" si="0"/>
        <v>1.0289999999999999</v>
      </c>
      <c r="AN13" s="56">
        <f t="shared" si="0"/>
        <v>0.81</v>
      </c>
      <c r="AO13" s="56">
        <f t="shared" si="1"/>
        <v>4.6289999999999996</v>
      </c>
      <c r="AP13" s="56">
        <f t="shared" si="1"/>
        <v>29.050999999999998</v>
      </c>
      <c r="AQ13" s="56">
        <f t="shared" si="1"/>
        <v>70.244</v>
      </c>
      <c r="AT13" s="26"/>
      <c r="AU13" s="31" t="s">
        <v>151</v>
      </c>
      <c r="AV13" s="77">
        <f t="shared" si="4"/>
        <v>0.43211225208166426</v>
      </c>
      <c r="AW13" s="77">
        <f t="shared" si="5"/>
        <v>2.8281504139052749</v>
      </c>
      <c r="AX13" s="77">
        <f t="shared" si="6"/>
        <v>0.23790449833709609</v>
      </c>
      <c r="AY13" s="77">
        <f t="shared" si="7"/>
        <v>0.89821086106862802</v>
      </c>
      <c r="AZ13" s="77">
        <f t="shared" si="8"/>
        <v>17.044157988007669</v>
      </c>
      <c r="BA13" s="77">
        <f t="shared" si="9"/>
        <v>1.5876483868618452</v>
      </c>
      <c r="BB13" s="77">
        <f t="shared" si="10"/>
        <v>7.666351079066831</v>
      </c>
      <c r="BC13" s="77">
        <f t="shared" si="11"/>
        <v>2.4227417279634884</v>
      </c>
      <c r="BD13" s="77">
        <f t="shared" si="12"/>
        <v>1.7187386206394286</v>
      </c>
      <c r="BE13" s="77">
        <f t="shared" si="13"/>
        <v>5.401403151020804</v>
      </c>
      <c r="BF13" s="77">
        <f t="shared" si="14"/>
        <v>2.8184400262180467</v>
      </c>
      <c r="BG13" s="77">
        <f t="shared" si="15"/>
        <v>3.2189935183162182</v>
      </c>
      <c r="BH13" s="77">
        <f t="shared" si="16"/>
        <v>4.6075789575898805</v>
      </c>
      <c r="BI13" s="77">
        <f t="shared" si="17"/>
        <v>33.415871628674772</v>
      </c>
      <c r="BJ13" s="77">
        <f t="shared" si="18"/>
        <v>2.4979972325395083</v>
      </c>
      <c r="BK13" s="77">
        <f t="shared" si="19"/>
        <v>1.9663535066637534</v>
      </c>
      <c r="BL13" s="77">
        <f t="shared" si="20"/>
        <v>11.237346151045079</v>
      </c>
      <c r="BM13" s="116">
        <f t="shared" si="3"/>
        <v>99.999999999999972</v>
      </c>
      <c r="BN13" s="26"/>
    </row>
    <row r="14" spans="1:66" ht="12.5" x14ac:dyDescent="0.25">
      <c r="A14" s="51" t="s">
        <v>153</v>
      </c>
      <c r="B14" s="18">
        <v>7</v>
      </c>
      <c r="C14" s="18">
        <v>395</v>
      </c>
      <c r="D14" s="18">
        <v>1232</v>
      </c>
      <c r="E14" s="18">
        <v>92</v>
      </c>
      <c r="F14" s="18">
        <v>376</v>
      </c>
      <c r="G14" s="18">
        <v>11433</v>
      </c>
      <c r="H14" s="18">
        <v>690</v>
      </c>
      <c r="I14" s="18">
        <v>5763</v>
      </c>
      <c r="J14" s="18">
        <v>547</v>
      </c>
      <c r="K14" s="18">
        <v>507</v>
      </c>
      <c r="L14" s="18">
        <v>1151</v>
      </c>
      <c r="M14" s="18">
        <v>1774</v>
      </c>
      <c r="N14" s="18">
        <v>803</v>
      </c>
      <c r="O14" s="18">
        <v>1206</v>
      </c>
      <c r="P14" s="18">
        <v>13394</v>
      </c>
      <c r="Q14" s="18">
        <v>960</v>
      </c>
      <c r="R14" s="18">
        <v>758</v>
      </c>
      <c r="S14" s="18">
        <v>4527</v>
      </c>
      <c r="T14" s="18">
        <v>31431</v>
      </c>
      <c r="U14" s="52">
        <v>77039</v>
      </c>
      <c r="X14" s="29" t="s">
        <v>153</v>
      </c>
      <c r="Y14" s="56">
        <f t="shared" si="0"/>
        <v>0.39500000000000002</v>
      </c>
      <c r="Z14" s="56">
        <f t="shared" si="0"/>
        <v>1.232</v>
      </c>
      <c r="AA14" s="56">
        <f t="shared" si="0"/>
        <v>9.1999999999999998E-2</v>
      </c>
      <c r="AB14" s="56">
        <f t="shared" si="0"/>
        <v>0.376</v>
      </c>
      <c r="AC14" s="56">
        <f t="shared" si="0"/>
        <v>11.433</v>
      </c>
      <c r="AD14" s="56">
        <f t="shared" si="0"/>
        <v>0.69</v>
      </c>
      <c r="AE14" s="56">
        <f t="shared" si="0"/>
        <v>5.7629999999999999</v>
      </c>
      <c r="AF14" s="56">
        <f t="shared" si="0"/>
        <v>0.54700000000000004</v>
      </c>
      <c r="AG14" s="56">
        <f t="shared" si="0"/>
        <v>0.50700000000000001</v>
      </c>
      <c r="AH14" s="56">
        <f t="shared" si="0"/>
        <v>1.151</v>
      </c>
      <c r="AI14" s="56">
        <f t="shared" si="0"/>
        <v>1.774</v>
      </c>
      <c r="AJ14" s="56">
        <f t="shared" si="0"/>
        <v>0.80300000000000005</v>
      </c>
      <c r="AK14" s="56">
        <f t="shared" si="0"/>
        <v>1.206</v>
      </c>
      <c r="AL14" s="56">
        <f t="shared" si="0"/>
        <v>13.394</v>
      </c>
      <c r="AM14" s="56">
        <f t="shared" si="0"/>
        <v>0.96</v>
      </c>
      <c r="AN14" s="56">
        <f t="shared" si="0"/>
        <v>0.75800000000000001</v>
      </c>
      <c r="AO14" s="56">
        <f t="shared" si="1"/>
        <v>4.5270000000000001</v>
      </c>
      <c r="AP14" s="56">
        <f t="shared" si="1"/>
        <v>31.431000000000001</v>
      </c>
      <c r="AQ14" s="56">
        <f t="shared" si="1"/>
        <v>77.039000000000001</v>
      </c>
      <c r="AT14" s="26"/>
      <c r="AU14" s="31" t="s">
        <v>153</v>
      </c>
      <c r="AV14" s="77">
        <f t="shared" si="4"/>
        <v>0.86607612699526382</v>
      </c>
      <c r="AW14" s="77">
        <f t="shared" si="5"/>
        <v>2.7012804771092784</v>
      </c>
      <c r="AX14" s="77">
        <f t="shared" si="6"/>
        <v>0.20171899666725132</v>
      </c>
      <c r="AY14" s="77">
        <f t="shared" si="7"/>
        <v>0.82441676898789662</v>
      </c>
      <c r="AZ14" s="77">
        <f t="shared" si="8"/>
        <v>25.067970531485699</v>
      </c>
      <c r="BA14" s="77">
        <f t="shared" si="9"/>
        <v>1.5128924750043846</v>
      </c>
      <c r="BB14" s="77">
        <f t="shared" si="10"/>
        <v>12.635941062971407</v>
      </c>
      <c r="BC14" s="77">
        <f t="shared" si="11"/>
        <v>1.1993509910542008</v>
      </c>
      <c r="BD14" s="77">
        <f t="shared" si="12"/>
        <v>1.1116470794597437</v>
      </c>
      <c r="BE14" s="77">
        <f t="shared" si="13"/>
        <v>2.5236800561305026</v>
      </c>
      <c r="BF14" s="77">
        <f t="shared" si="14"/>
        <v>3.8896684792141722</v>
      </c>
      <c r="BG14" s="77">
        <f t="shared" si="15"/>
        <v>1.760656025258726</v>
      </c>
      <c r="BH14" s="77">
        <f t="shared" si="16"/>
        <v>2.6442729345728813</v>
      </c>
      <c r="BI14" s="77">
        <f t="shared" si="17"/>
        <v>29.367654797403958</v>
      </c>
      <c r="BJ14" s="77">
        <f t="shared" si="18"/>
        <v>2.1048938782669699</v>
      </c>
      <c r="BK14" s="77">
        <f t="shared" si="19"/>
        <v>1.6619891247149619</v>
      </c>
      <c r="BL14" s="77">
        <f t="shared" si="20"/>
        <v>9.9258901947026814</v>
      </c>
      <c r="BM14" s="116">
        <f t="shared" si="3"/>
        <v>99.999999999999972</v>
      </c>
      <c r="BN14" s="26"/>
    </row>
    <row r="15" spans="1:66" ht="12.5" x14ac:dyDescent="0.25">
      <c r="A15" s="51" t="s">
        <v>152</v>
      </c>
      <c r="B15" s="18">
        <v>8</v>
      </c>
      <c r="C15" s="18">
        <v>114</v>
      </c>
      <c r="D15" s="18">
        <v>507</v>
      </c>
      <c r="E15" s="18">
        <v>37</v>
      </c>
      <c r="F15" s="18">
        <v>122</v>
      </c>
      <c r="G15" s="18">
        <v>4566</v>
      </c>
      <c r="H15" s="18">
        <v>236</v>
      </c>
      <c r="I15" s="18">
        <v>3336</v>
      </c>
      <c r="J15" s="18">
        <v>150</v>
      </c>
      <c r="K15" s="18">
        <v>137</v>
      </c>
      <c r="L15" s="18">
        <v>340</v>
      </c>
      <c r="M15" s="18">
        <v>876</v>
      </c>
      <c r="N15" s="18">
        <v>153</v>
      </c>
      <c r="O15" s="18">
        <v>271</v>
      </c>
      <c r="P15" s="18">
        <v>8289</v>
      </c>
      <c r="Q15" s="18">
        <v>357</v>
      </c>
      <c r="R15" s="18">
        <v>300</v>
      </c>
      <c r="S15" s="18">
        <v>1830</v>
      </c>
      <c r="T15" s="18">
        <v>13764</v>
      </c>
      <c r="U15" s="52">
        <v>35385</v>
      </c>
      <c r="X15" s="29" t="s">
        <v>152</v>
      </c>
      <c r="Y15" s="56">
        <f t="shared" si="0"/>
        <v>0.114</v>
      </c>
      <c r="Z15" s="56">
        <f t="shared" si="0"/>
        <v>0.50700000000000001</v>
      </c>
      <c r="AA15" s="56">
        <f t="shared" si="0"/>
        <v>3.6999999999999998E-2</v>
      </c>
      <c r="AB15" s="56">
        <f t="shared" si="0"/>
        <v>0.122</v>
      </c>
      <c r="AC15" s="56">
        <f t="shared" si="0"/>
        <v>4.5659999999999998</v>
      </c>
      <c r="AD15" s="56">
        <f t="shared" si="0"/>
        <v>0.23599999999999999</v>
      </c>
      <c r="AE15" s="56">
        <f t="shared" si="0"/>
        <v>3.3359999999999999</v>
      </c>
      <c r="AF15" s="56">
        <f t="shared" si="0"/>
        <v>0.15</v>
      </c>
      <c r="AG15" s="56">
        <f t="shared" si="0"/>
        <v>0.13700000000000001</v>
      </c>
      <c r="AH15" s="56">
        <f t="shared" si="0"/>
        <v>0.34</v>
      </c>
      <c r="AI15" s="56">
        <f t="shared" si="0"/>
        <v>0.876</v>
      </c>
      <c r="AJ15" s="56">
        <f t="shared" si="0"/>
        <v>0.153</v>
      </c>
      <c r="AK15" s="56">
        <f t="shared" si="0"/>
        <v>0.27100000000000002</v>
      </c>
      <c r="AL15" s="56">
        <f t="shared" si="0"/>
        <v>8.2889999999999997</v>
      </c>
      <c r="AM15" s="56">
        <f t="shared" si="0"/>
        <v>0.35699999999999998</v>
      </c>
      <c r="AN15" s="56">
        <f t="shared" si="0"/>
        <v>0.3</v>
      </c>
      <c r="AO15" s="56">
        <f t="shared" si="1"/>
        <v>1.83</v>
      </c>
      <c r="AP15" s="56">
        <f t="shared" si="1"/>
        <v>13.763999999999999</v>
      </c>
      <c r="AQ15" s="56">
        <f t="shared" si="1"/>
        <v>35.384999999999998</v>
      </c>
      <c r="AT15" s="26"/>
      <c r="AU15" s="31" t="s">
        <v>152</v>
      </c>
      <c r="AV15" s="77">
        <f t="shared" si="4"/>
        <v>0.5272651588733176</v>
      </c>
      <c r="AW15" s="77">
        <f t="shared" si="5"/>
        <v>2.344942417094491</v>
      </c>
      <c r="AX15" s="77">
        <f t="shared" si="6"/>
        <v>0.17112991998519955</v>
      </c>
      <c r="AY15" s="77">
        <f t="shared" si="7"/>
        <v>0.56426622265390125</v>
      </c>
      <c r="AZ15" s="77">
        <f t="shared" si="8"/>
        <v>21.118357152768137</v>
      </c>
      <c r="BA15" s="77">
        <f t="shared" si="9"/>
        <v>1.0915313815272187</v>
      </c>
      <c r="BB15" s="77">
        <f t="shared" si="10"/>
        <v>15.429443596503397</v>
      </c>
      <c r="BC15" s="77">
        <f t="shared" si="11"/>
        <v>0.69376994588594409</v>
      </c>
      <c r="BD15" s="77">
        <f t="shared" si="12"/>
        <v>0.63364321724249573</v>
      </c>
      <c r="BE15" s="77">
        <f t="shared" si="13"/>
        <v>1.572545210674807</v>
      </c>
      <c r="BF15" s="77">
        <f t="shared" si="14"/>
        <v>4.0516164839739144</v>
      </c>
      <c r="BG15" s="77">
        <f t="shared" si="15"/>
        <v>0.70764534480366303</v>
      </c>
      <c r="BH15" s="77">
        <f t="shared" si="16"/>
        <v>1.2534110355672725</v>
      </c>
      <c r="BI15" s="77">
        <f t="shared" si="17"/>
        <v>38.337727209657274</v>
      </c>
      <c r="BJ15" s="77">
        <f t="shared" si="18"/>
        <v>1.6511724712085469</v>
      </c>
      <c r="BK15" s="77">
        <f t="shared" si="19"/>
        <v>1.3875398917718882</v>
      </c>
      <c r="BL15" s="77">
        <f t="shared" si="20"/>
        <v>8.4639933398085194</v>
      </c>
      <c r="BM15" s="116">
        <f t="shared" si="3"/>
        <v>100</v>
      </c>
      <c r="BN15" s="26"/>
    </row>
    <row r="16" spans="1:66" ht="12.5" x14ac:dyDescent="0.25">
      <c r="A16" s="51" t="s">
        <v>154</v>
      </c>
      <c r="B16" s="18">
        <v>9</v>
      </c>
      <c r="C16" s="18">
        <v>105</v>
      </c>
      <c r="D16" s="18">
        <v>244</v>
      </c>
      <c r="E16" s="18">
        <v>21</v>
      </c>
      <c r="F16" s="18">
        <v>85</v>
      </c>
      <c r="G16" s="18">
        <v>3152</v>
      </c>
      <c r="H16" s="18">
        <v>151</v>
      </c>
      <c r="I16" s="18">
        <v>1425</v>
      </c>
      <c r="J16" s="18">
        <v>119</v>
      </c>
      <c r="K16" s="18">
        <v>83</v>
      </c>
      <c r="L16" s="18">
        <v>308</v>
      </c>
      <c r="M16" s="18">
        <v>338</v>
      </c>
      <c r="N16" s="18">
        <v>87</v>
      </c>
      <c r="O16" s="18">
        <v>1156</v>
      </c>
      <c r="P16" s="18">
        <v>2239</v>
      </c>
      <c r="Q16" s="18">
        <v>506</v>
      </c>
      <c r="R16" s="18">
        <v>206</v>
      </c>
      <c r="S16" s="18">
        <v>1074</v>
      </c>
      <c r="T16" s="18">
        <v>7408</v>
      </c>
      <c r="U16" s="52">
        <v>18707</v>
      </c>
      <c r="X16" s="29" t="s">
        <v>154</v>
      </c>
      <c r="Y16" s="56">
        <f t="shared" si="0"/>
        <v>0.105</v>
      </c>
      <c r="Z16" s="56">
        <f t="shared" si="0"/>
        <v>0.24399999999999999</v>
      </c>
      <c r="AA16" s="56">
        <f t="shared" si="0"/>
        <v>2.1000000000000001E-2</v>
      </c>
      <c r="AB16" s="56">
        <f t="shared" si="0"/>
        <v>8.5000000000000006E-2</v>
      </c>
      <c r="AC16" s="56">
        <f t="shared" si="0"/>
        <v>3.1520000000000001</v>
      </c>
      <c r="AD16" s="56">
        <f t="shared" si="0"/>
        <v>0.151</v>
      </c>
      <c r="AE16" s="56">
        <f t="shared" si="0"/>
        <v>1.425</v>
      </c>
      <c r="AF16" s="56">
        <f t="shared" si="0"/>
        <v>0.11899999999999999</v>
      </c>
      <c r="AG16" s="56">
        <f t="shared" si="0"/>
        <v>8.3000000000000004E-2</v>
      </c>
      <c r="AH16" s="56">
        <f t="shared" si="0"/>
        <v>0.308</v>
      </c>
      <c r="AI16" s="56">
        <f t="shared" si="0"/>
        <v>0.33800000000000002</v>
      </c>
      <c r="AJ16" s="56">
        <f t="shared" si="0"/>
        <v>8.6999999999999994E-2</v>
      </c>
      <c r="AK16" s="56">
        <f t="shared" si="0"/>
        <v>1.1559999999999999</v>
      </c>
      <c r="AL16" s="56">
        <f t="shared" si="0"/>
        <v>2.2389999999999999</v>
      </c>
      <c r="AM16" s="56">
        <f t="shared" si="0"/>
        <v>0.50600000000000001</v>
      </c>
      <c r="AN16" s="56">
        <f t="shared" si="0"/>
        <v>0.20599999999999999</v>
      </c>
      <c r="AO16" s="56">
        <f t="shared" si="1"/>
        <v>1.0740000000000001</v>
      </c>
      <c r="AP16" s="56">
        <f t="shared" si="1"/>
        <v>7.4080000000000004</v>
      </c>
      <c r="AQ16" s="56">
        <f t="shared" si="1"/>
        <v>18.707000000000001</v>
      </c>
      <c r="AT16" s="26"/>
      <c r="AU16" s="31" t="s">
        <v>154</v>
      </c>
      <c r="AV16" s="77">
        <f t="shared" si="4"/>
        <v>0.92928577750243402</v>
      </c>
      <c r="AW16" s="77">
        <f t="shared" si="5"/>
        <v>2.1594831401008943</v>
      </c>
      <c r="AX16" s="77">
        <f t="shared" si="6"/>
        <v>0.18585715550048681</v>
      </c>
      <c r="AY16" s="77">
        <f t="shared" si="7"/>
        <v>0.75227896274006567</v>
      </c>
      <c r="AZ16" s="77">
        <f t="shared" si="8"/>
        <v>27.896274006549259</v>
      </c>
      <c r="BA16" s="77">
        <f t="shared" si="9"/>
        <v>1.3364014514558813</v>
      </c>
      <c r="BB16" s="77">
        <f t="shared" si="10"/>
        <v>12.611735551818748</v>
      </c>
      <c r="BC16" s="77">
        <f t="shared" si="11"/>
        <v>1.0531905478360919</v>
      </c>
      <c r="BD16" s="77">
        <f t="shared" si="12"/>
        <v>0.73457828126382885</v>
      </c>
      <c r="BE16" s="77">
        <f t="shared" si="13"/>
        <v>2.7259049473404731</v>
      </c>
      <c r="BF16" s="77">
        <f t="shared" si="14"/>
        <v>2.9914151694840259</v>
      </c>
      <c r="BG16" s="77">
        <f t="shared" si="15"/>
        <v>0.76997964421630238</v>
      </c>
      <c r="BH16" s="77">
        <f t="shared" si="16"/>
        <v>10.230993893264891</v>
      </c>
      <c r="BI16" s="77">
        <f t="shared" si="17"/>
        <v>19.815912912647139</v>
      </c>
      <c r="BJ16" s="77">
        <f t="shared" si="18"/>
        <v>4.4782724134879199</v>
      </c>
      <c r="BK16" s="77">
        <f t="shared" si="19"/>
        <v>1.8231701920523942</v>
      </c>
      <c r="BL16" s="77">
        <f t="shared" si="20"/>
        <v>9.5052659527391832</v>
      </c>
      <c r="BM16" s="116">
        <f t="shared" si="3"/>
        <v>100</v>
      </c>
      <c r="BN16" s="26"/>
    </row>
    <row r="17" spans="1:66" ht="12.5" x14ac:dyDescent="0.25">
      <c r="A17" s="51"/>
      <c r="X17" s="29"/>
      <c r="Y17" s="56"/>
      <c r="Z17" s="56"/>
      <c r="AA17" s="56"/>
      <c r="AB17" s="56"/>
      <c r="AC17" s="56"/>
      <c r="AD17" s="56"/>
      <c r="AE17" s="56"/>
      <c r="AF17" s="56"/>
      <c r="AG17" s="56"/>
      <c r="AH17" s="56"/>
      <c r="AI17" s="56"/>
      <c r="AJ17" s="56"/>
      <c r="AK17" s="56"/>
      <c r="AL17" s="56"/>
      <c r="AM17" s="56"/>
      <c r="AN17" s="56"/>
      <c r="AO17" s="56"/>
      <c r="AP17" s="56"/>
      <c r="AQ17" s="56"/>
      <c r="AT17" s="26"/>
      <c r="AU17" s="31"/>
      <c r="AV17" s="77"/>
      <c r="AW17" s="77"/>
      <c r="AX17" s="77"/>
      <c r="AY17" s="77"/>
      <c r="AZ17" s="77"/>
      <c r="BA17" s="77"/>
      <c r="BB17" s="77"/>
      <c r="BC17" s="77"/>
      <c r="BD17" s="77"/>
      <c r="BE17" s="77"/>
      <c r="BF17" s="77"/>
      <c r="BG17" s="77"/>
      <c r="BH17" s="77"/>
      <c r="BI17" s="77"/>
      <c r="BJ17" s="77"/>
      <c r="BK17" s="77"/>
      <c r="BL17" s="77"/>
      <c r="BM17" s="116"/>
      <c r="BN17" s="26"/>
    </row>
    <row r="18" spans="1:66" ht="12.5" x14ac:dyDescent="0.25">
      <c r="A18" s="51"/>
      <c r="X18" s="29"/>
      <c r="Y18" s="56"/>
      <c r="Z18" s="56"/>
      <c r="AA18" s="56"/>
      <c r="AB18" s="56"/>
      <c r="AC18" s="56"/>
      <c r="AD18" s="56"/>
      <c r="AE18" s="56"/>
      <c r="AF18" s="56"/>
      <c r="AG18" s="56"/>
      <c r="AH18" s="56"/>
      <c r="AI18" s="56"/>
      <c r="AJ18" s="56"/>
      <c r="AK18" s="56"/>
      <c r="AL18" s="56"/>
      <c r="AM18" s="56"/>
      <c r="AN18" s="56"/>
      <c r="AO18" s="56"/>
      <c r="AP18" s="56"/>
      <c r="AQ18" s="56"/>
      <c r="AT18" s="26"/>
      <c r="AU18" s="31"/>
      <c r="AV18" s="77"/>
      <c r="AW18" s="77"/>
      <c r="AX18" s="77"/>
      <c r="AY18" s="77"/>
      <c r="AZ18" s="77"/>
      <c r="BA18" s="77"/>
      <c r="BB18" s="77"/>
      <c r="BC18" s="77"/>
      <c r="BD18" s="77"/>
      <c r="BE18" s="77"/>
      <c r="BF18" s="77"/>
      <c r="BG18" s="77"/>
      <c r="BH18" s="77"/>
      <c r="BI18" s="77"/>
      <c r="BJ18" s="77"/>
      <c r="BK18" s="77"/>
      <c r="BL18" s="77"/>
      <c r="BM18" s="116"/>
      <c r="BN18" s="26"/>
    </row>
    <row r="19" spans="1:66" ht="12.5" x14ac:dyDescent="0.25">
      <c r="A19" s="51"/>
      <c r="X19" s="29"/>
      <c r="Y19" s="56"/>
      <c r="Z19" s="56"/>
      <c r="AA19" s="56"/>
      <c r="AB19" s="56"/>
      <c r="AC19" s="56"/>
      <c r="AD19" s="56"/>
      <c r="AE19" s="56"/>
      <c r="AF19" s="56"/>
      <c r="AG19" s="56"/>
      <c r="AH19" s="56"/>
      <c r="AI19" s="56"/>
      <c r="AJ19" s="56"/>
      <c r="AK19" s="56"/>
      <c r="AL19" s="56"/>
      <c r="AM19" s="56"/>
      <c r="AN19" s="56"/>
      <c r="AO19" s="56"/>
      <c r="AP19" s="56"/>
      <c r="AQ19" s="56"/>
      <c r="AT19" s="26"/>
      <c r="AU19" s="31"/>
      <c r="AV19" s="77"/>
      <c r="AW19" s="77"/>
      <c r="AX19" s="77"/>
      <c r="AY19" s="77"/>
      <c r="AZ19" s="77"/>
      <c r="BA19" s="77"/>
      <c r="BB19" s="77"/>
      <c r="BC19" s="77"/>
      <c r="BD19" s="77"/>
      <c r="BE19" s="77"/>
      <c r="BF19" s="77"/>
      <c r="BG19" s="77"/>
      <c r="BH19" s="77"/>
      <c r="BI19" s="77"/>
      <c r="BJ19" s="77"/>
      <c r="BK19" s="77"/>
      <c r="BL19" s="77"/>
      <c r="BM19" s="116"/>
      <c r="BN19" s="26"/>
    </row>
    <row r="20" spans="1:66" ht="12.5" x14ac:dyDescent="0.25">
      <c r="A20" s="51"/>
      <c r="X20" s="29"/>
      <c r="Y20" s="56"/>
      <c r="Z20" s="56"/>
      <c r="AA20" s="56"/>
      <c r="AB20" s="56"/>
      <c r="AC20" s="56"/>
      <c r="AD20" s="56"/>
      <c r="AE20" s="56"/>
      <c r="AF20" s="56"/>
      <c r="AG20" s="56"/>
      <c r="AH20" s="56"/>
      <c r="AI20" s="56"/>
      <c r="AJ20" s="56"/>
      <c r="AK20" s="56"/>
      <c r="AL20" s="56"/>
      <c r="AM20" s="56"/>
      <c r="AN20" s="56"/>
      <c r="AO20" s="56"/>
      <c r="AP20" s="56"/>
      <c r="AQ20" s="56"/>
      <c r="AT20" s="26"/>
      <c r="AU20" s="31"/>
      <c r="AV20" s="77"/>
      <c r="AW20" s="77"/>
      <c r="AX20" s="77"/>
      <c r="AY20" s="77"/>
      <c r="AZ20" s="77"/>
      <c r="BA20" s="77"/>
      <c r="BB20" s="77"/>
      <c r="BC20" s="77"/>
      <c r="BD20" s="77"/>
      <c r="BE20" s="77"/>
      <c r="BF20" s="77"/>
      <c r="BG20" s="77"/>
      <c r="BH20" s="77"/>
      <c r="BI20" s="77"/>
      <c r="BJ20" s="77"/>
      <c r="BK20" s="77"/>
      <c r="BL20" s="77"/>
      <c r="BM20" s="116"/>
      <c r="BN20" s="26"/>
    </row>
    <row r="21" spans="1:66" ht="12.5" x14ac:dyDescent="0.25">
      <c r="A21" s="51"/>
      <c r="X21" s="29"/>
      <c r="Y21" s="56"/>
      <c r="Z21" s="56"/>
      <c r="AA21" s="56"/>
      <c r="AB21" s="56"/>
      <c r="AC21" s="56"/>
      <c r="AD21" s="56"/>
      <c r="AE21" s="56"/>
      <c r="AF21" s="56"/>
      <c r="AG21" s="56"/>
      <c r="AH21" s="56"/>
      <c r="AI21" s="56"/>
      <c r="AJ21" s="56"/>
      <c r="AK21" s="56"/>
      <c r="AL21" s="56"/>
      <c r="AM21" s="56"/>
      <c r="AN21" s="56"/>
      <c r="AO21" s="56"/>
      <c r="AP21" s="56"/>
      <c r="AQ21" s="56"/>
      <c r="AT21" s="26"/>
      <c r="AU21" s="31"/>
      <c r="AV21" s="77"/>
      <c r="AW21" s="77"/>
      <c r="AX21" s="77"/>
      <c r="AY21" s="77"/>
      <c r="AZ21" s="77"/>
      <c r="BA21" s="77"/>
      <c r="BB21" s="77"/>
      <c r="BC21" s="77"/>
      <c r="BD21" s="77"/>
      <c r="BE21" s="77"/>
      <c r="BF21" s="77"/>
      <c r="BG21" s="77"/>
      <c r="BH21" s="77"/>
      <c r="BI21" s="77"/>
      <c r="BJ21" s="77"/>
      <c r="BK21" s="77"/>
      <c r="BL21" s="77"/>
      <c r="BM21" s="116"/>
      <c r="BN21" s="26"/>
    </row>
    <row r="22" spans="1:66" ht="12.5" x14ac:dyDescent="0.25">
      <c r="A22" s="51"/>
      <c r="X22" s="29"/>
      <c r="Y22" s="56"/>
      <c r="Z22" s="56"/>
      <c r="AA22" s="56"/>
      <c r="AB22" s="56"/>
      <c r="AC22" s="56"/>
      <c r="AD22" s="56"/>
      <c r="AE22" s="56"/>
      <c r="AF22" s="56"/>
      <c r="AG22" s="56"/>
      <c r="AH22" s="56"/>
      <c r="AI22" s="56"/>
      <c r="AJ22" s="56"/>
      <c r="AK22" s="56"/>
      <c r="AL22" s="56"/>
      <c r="AM22" s="56"/>
      <c r="AN22" s="56"/>
      <c r="AO22" s="56"/>
      <c r="AP22" s="56"/>
      <c r="AQ22" s="56"/>
      <c r="AT22" s="26"/>
      <c r="AU22" s="31"/>
      <c r="AV22" s="77"/>
      <c r="AW22" s="77"/>
      <c r="AX22" s="77"/>
      <c r="AY22" s="77"/>
      <c r="AZ22" s="77"/>
      <c r="BA22" s="77"/>
      <c r="BB22" s="77"/>
      <c r="BC22" s="77"/>
      <c r="BD22" s="77"/>
      <c r="BE22" s="77"/>
      <c r="BF22" s="77"/>
      <c r="BG22" s="77"/>
      <c r="BH22" s="77"/>
      <c r="BI22" s="77"/>
      <c r="BJ22" s="77"/>
      <c r="BK22" s="77"/>
      <c r="BL22" s="77"/>
      <c r="BM22" s="116"/>
      <c r="BN22" s="26"/>
    </row>
    <row r="23" spans="1:66" ht="12.5" x14ac:dyDescent="0.25">
      <c r="A23" s="51"/>
      <c r="X23" s="29"/>
      <c r="Y23" s="56"/>
      <c r="Z23" s="56"/>
      <c r="AA23" s="56"/>
      <c r="AB23" s="56"/>
      <c r="AC23" s="56"/>
      <c r="AD23" s="56"/>
      <c r="AE23" s="56"/>
      <c r="AF23" s="56"/>
      <c r="AG23" s="56"/>
      <c r="AH23" s="56"/>
      <c r="AI23" s="56"/>
      <c r="AJ23" s="56"/>
      <c r="AK23" s="56"/>
      <c r="AL23" s="56"/>
      <c r="AM23" s="56"/>
      <c r="AN23" s="56"/>
      <c r="AO23" s="56"/>
      <c r="AP23" s="56"/>
      <c r="AQ23" s="56"/>
      <c r="AT23" s="26"/>
      <c r="AU23" s="31"/>
      <c r="AV23" s="77"/>
      <c r="AW23" s="77"/>
      <c r="AX23" s="77"/>
      <c r="AY23" s="77"/>
      <c r="AZ23" s="77"/>
      <c r="BA23" s="77"/>
      <c r="BB23" s="77"/>
      <c r="BC23" s="77"/>
      <c r="BD23" s="77"/>
      <c r="BE23" s="77"/>
      <c r="BF23" s="77"/>
      <c r="BG23" s="77"/>
      <c r="BH23" s="77"/>
      <c r="BI23" s="77"/>
      <c r="BJ23" s="77"/>
      <c r="BK23" s="77"/>
      <c r="BL23" s="77"/>
      <c r="BM23" s="116"/>
      <c r="BN23" s="26"/>
    </row>
    <row r="24" spans="1:66" ht="12.5" x14ac:dyDescent="0.25">
      <c r="A24" s="51"/>
      <c r="X24" s="29"/>
      <c r="Y24" s="56"/>
      <c r="Z24" s="56"/>
      <c r="AA24" s="56"/>
      <c r="AB24" s="56"/>
      <c r="AC24" s="56"/>
      <c r="AD24" s="56"/>
      <c r="AE24" s="56"/>
      <c r="AF24" s="56"/>
      <c r="AG24" s="56"/>
      <c r="AH24" s="56"/>
      <c r="AI24" s="56"/>
      <c r="AJ24" s="56"/>
      <c r="AK24" s="56"/>
      <c r="AL24" s="56"/>
      <c r="AM24" s="56"/>
      <c r="AN24" s="56"/>
      <c r="AO24" s="56"/>
      <c r="AP24" s="56"/>
      <c r="AQ24" s="56"/>
      <c r="AT24" s="26"/>
      <c r="AU24" s="31"/>
      <c r="AV24" s="77"/>
      <c r="AW24" s="77"/>
      <c r="AX24" s="77"/>
      <c r="AY24" s="77"/>
      <c r="AZ24" s="77"/>
      <c r="BA24" s="77"/>
      <c r="BB24" s="77"/>
      <c r="BC24" s="77"/>
      <c r="BD24" s="77"/>
      <c r="BE24" s="77"/>
      <c r="BF24" s="77"/>
      <c r="BG24" s="77"/>
      <c r="BH24" s="77"/>
      <c r="BI24" s="77"/>
      <c r="BJ24" s="77"/>
      <c r="BK24" s="77"/>
      <c r="BL24" s="77"/>
      <c r="BM24" s="116"/>
      <c r="BN24" s="26"/>
    </row>
    <row r="25" spans="1:66" ht="12.5" x14ac:dyDescent="0.25">
      <c r="A25" s="51"/>
      <c r="X25" s="29"/>
      <c r="Y25" s="56"/>
      <c r="Z25" s="56"/>
      <c r="AA25" s="56"/>
      <c r="AB25" s="56"/>
      <c r="AC25" s="56"/>
      <c r="AD25" s="56"/>
      <c r="AE25" s="56"/>
      <c r="AF25" s="56"/>
      <c r="AG25" s="56"/>
      <c r="AH25" s="56"/>
      <c r="AI25" s="56"/>
      <c r="AJ25" s="56"/>
      <c r="AK25" s="56"/>
      <c r="AL25" s="56"/>
      <c r="AM25" s="56"/>
      <c r="AN25" s="56"/>
      <c r="AO25" s="56"/>
      <c r="AP25" s="56"/>
      <c r="AQ25" s="56"/>
      <c r="AT25" s="26"/>
      <c r="AU25" s="31" t="s">
        <v>212</v>
      </c>
      <c r="AV25" s="77">
        <f>IFERROR(IF(Y27&gt;0,Y27,"x")/SUM($Y27:$AO27),"")*100</f>
        <v>1.680442573000565</v>
      </c>
      <c r="AW25" s="77">
        <f t="shared" ref="AW25:BL25" si="21">IFERROR(IF(Z27&gt;0,Z27,"x")/SUM($Y27:$AO27),"")*100</f>
        <v>7.7054521733735131</v>
      </c>
      <c r="AX25" s="77">
        <f t="shared" si="21"/>
        <v>1.0381818151328708</v>
      </c>
      <c r="AY25" s="77">
        <f t="shared" si="21"/>
        <v>3.3830205037135417</v>
      </c>
      <c r="AZ25" s="77">
        <f t="shared" si="21"/>
        <v>26.631015325381373</v>
      </c>
      <c r="BA25" s="77">
        <f t="shared" si="21"/>
        <v>4.7074527401728234</v>
      </c>
      <c r="BB25" s="77">
        <f t="shared" si="21"/>
        <v>14.075236739327654</v>
      </c>
      <c r="BC25" s="77">
        <f t="shared" si="21"/>
        <v>4.806055697255383</v>
      </c>
      <c r="BD25" s="77">
        <f t="shared" si="21"/>
        <v>1.7629470881104621</v>
      </c>
      <c r="BE25" s="77">
        <f t="shared" si="21"/>
        <v>0.93471578703773572</v>
      </c>
      <c r="BF25" s="77">
        <f t="shared" si="21"/>
        <v>8.952410657839355</v>
      </c>
      <c r="BG25" s="77">
        <f t="shared" si="21"/>
        <v>5.4176288001126895</v>
      </c>
      <c r="BH25" s="77">
        <f t="shared" si="21"/>
        <v>1.9539483944319511</v>
      </c>
      <c r="BI25" s="77">
        <f t="shared" si="21"/>
        <v>3.7445646796829277</v>
      </c>
      <c r="BJ25" s="77">
        <f t="shared" si="21"/>
        <v>7.8453073880110207</v>
      </c>
      <c r="BK25" s="77">
        <f t="shared" si="21"/>
        <v>3.3685989827796976</v>
      </c>
      <c r="BL25" s="77">
        <f t="shared" si="21"/>
        <v>1.9930206546364353</v>
      </c>
      <c r="BM25" s="116"/>
      <c r="BN25" s="26"/>
    </row>
    <row r="26" spans="1:66" ht="12.5" x14ac:dyDescent="0.25">
      <c r="X26" s="29"/>
      <c r="Y26" s="56"/>
      <c r="Z26" s="56"/>
      <c r="AA26" s="56"/>
      <c r="AB26" s="56"/>
      <c r="AC26" s="56"/>
      <c r="AD26" s="56"/>
      <c r="AE26" s="56"/>
      <c r="AF26" s="56"/>
      <c r="AG26" s="56"/>
      <c r="AH26" s="56"/>
      <c r="AI26" s="56"/>
      <c r="AJ26" s="56"/>
      <c r="AK26" s="56"/>
      <c r="AL26" s="56"/>
      <c r="AM26" s="56"/>
      <c r="AN26" s="56"/>
      <c r="AO26" s="56"/>
      <c r="AP26" s="56"/>
      <c r="AQ26" s="56"/>
      <c r="AT26" s="26"/>
      <c r="AU26" s="28"/>
      <c r="AV26" s="28"/>
      <c r="AW26" s="28"/>
      <c r="AX26" s="28"/>
      <c r="AY26" s="28"/>
      <c r="AZ26" s="28"/>
      <c r="BA26" s="28"/>
      <c r="BB26" s="28"/>
      <c r="BC26" s="28"/>
      <c r="BD26" s="28"/>
      <c r="BE26" s="28"/>
      <c r="BF26" s="28"/>
      <c r="BG26" s="28"/>
      <c r="BH26" s="28"/>
      <c r="BI26" s="28"/>
      <c r="BJ26" s="28"/>
      <c r="BK26" s="28"/>
      <c r="BL26" s="28"/>
      <c r="BM26" s="34"/>
      <c r="BN26" s="26"/>
    </row>
    <row r="27" spans="1:66" ht="12.5" x14ac:dyDescent="0.25">
      <c r="B27" s="117" t="str">
        <f>Tabel_1!B25</f>
        <v>Total</v>
      </c>
      <c r="C27" s="117">
        <f>Tabel_1!C25</f>
        <v>10021</v>
      </c>
      <c r="D27" s="117">
        <f>Tabel_1!D25</f>
        <v>45950</v>
      </c>
      <c r="E27" s="117">
        <f>Tabel_1!E25</f>
        <v>6191</v>
      </c>
      <c r="F27" s="117">
        <f>Tabel_1!F25</f>
        <v>20174</v>
      </c>
      <c r="G27" s="117">
        <f>Tabel_1!G25</f>
        <v>158809</v>
      </c>
      <c r="H27" s="117">
        <f>Tabel_1!H25</f>
        <v>28072</v>
      </c>
      <c r="I27" s="117">
        <f>Tabel_1!I25</f>
        <v>83935</v>
      </c>
      <c r="J27" s="117">
        <f>Tabel_1!J25</f>
        <v>28660</v>
      </c>
      <c r="K27" s="117">
        <f>Tabel_1!K25</f>
        <v>10513</v>
      </c>
      <c r="L27" s="117">
        <f>Tabel_1!L25</f>
        <v>5574</v>
      </c>
      <c r="M27" s="117">
        <f>Tabel_1!M25</f>
        <v>53386</v>
      </c>
      <c r="N27" s="117">
        <f>Tabel_1!N25</f>
        <v>32307</v>
      </c>
      <c r="O27" s="117">
        <f>Tabel_1!O25</f>
        <v>11652</v>
      </c>
      <c r="P27" s="117">
        <f>Tabel_1!P25</f>
        <v>22330</v>
      </c>
      <c r="Q27" s="117">
        <f>Tabel_1!Q25</f>
        <v>46784</v>
      </c>
      <c r="R27" s="117">
        <f>Tabel_1!R25</f>
        <v>20088</v>
      </c>
      <c r="S27" s="117">
        <f>Tabel_1!S25</f>
        <v>11885</v>
      </c>
      <c r="T27" s="117">
        <f>Tabel_1!T25</f>
        <v>147974</v>
      </c>
      <c r="U27" s="117">
        <f>Tabel_1!U25</f>
        <v>704347</v>
      </c>
      <c r="X27" s="29" t="s">
        <v>2</v>
      </c>
      <c r="Y27" s="56">
        <f t="shared" ref="Y27:AQ27" si="22">IFERROR(C27/1000,"")</f>
        <v>10.021000000000001</v>
      </c>
      <c r="Z27" s="56">
        <f t="shared" si="22"/>
        <v>45.95</v>
      </c>
      <c r="AA27" s="56">
        <f t="shared" si="22"/>
        <v>6.1909999999999998</v>
      </c>
      <c r="AB27" s="56">
        <f t="shared" si="22"/>
        <v>20.173999999999999</v>
      </c>
      <c r="AC27" s="56">
        <f t="shared" si="22"/>
        <v>158.809</v>
      </c>
      <c r="AD27" s="56">
        <f t="shared" si="22"/>
        <v>28.071999999999999</v>
      </c>
      <c r="AE27" s="56">
        <f t="shared" si="22"/>
        <v>83.935000000000002</v>
      </c>
      <c r="AF27" s="56">
        <f t="shared" si="22"/>
        <v>28.66</v>
      </c>
      <c r="AG27" s="56">
        <f t="shared" si="22"/>
        <v>10.513</v>
      </c>
      <c r="AH27" s="56">
        <f t="shared" si="22"/>
        <v>5.5739999999999998</v>
      </c>
      <c r="AI27" s="56">
        <f t="shared" si="22"/>
        <v>53.386000000000003</v>
      </c>
      <c r="AJ27" s="56">
        <f t="shared" si="22"/>
        <v>32.307000000000002</v>
      </c>
      <c r="AK27" s="56">
        <f t="shared" si="22"/>
        <v>11.651999999999999</v>
      </c>
      <c r="AL27" s="56">
        <f t="shared" si="22"/>
        <v>22.33</v>
      </c>
      <c r="AM27" s="56">
        <f t="shared" si="22"/>
        <v>46.783999999999999</v>
      </c>
      <c r="AN27" s="56">
        <f t="shared" si="22"/>
        <v>20.088000000000001</v>
      </c>
      <c r="AO27" s="56">
        <f t="shared" si="22"/>
        <v>11.885</v>
      </c>
      <c r="AP27" s="56">
        <f t="shared" si="22"/>
        <v>147.97399999999999</v>
      </c>
      <c r="AQ27" s="56">
        <f t="shared" si="22"/>
        <v>704.34699999999998</v>
      </c>
      <c r="AT27" s="24"/>
      <c r="AU27" s="28"/>
      <c r="AV27" s="58"/>
      <c r="AW27" s="58"/>
      <c r="AX27" s="58"/>
      <c r="AY27" s="58"/>
      <c r="AZ27" s="58"/>
      <c r="BA27" s="58"/>
      <c r="BB27" s="58"/>
      <c r="BC27" s="58"/>
      <c r="BD27" s="58"/>
      <c r="BE27" s="58"/>
      <c r="BF27" s="58"/>
      <c r="BG27" s="58"/>
      <c r="BH27" s="58"/>
      <c r="BI27" s="58"/>
      <c r="BJ27" s="58"/>
      <c r="BK27" s="58"/>
      <c r="BL27" s="58"/>
      <c r="BM27" s="59"/>
      <c r="BN27" s="59"/>
    </row>
    <row r="28" spans="1:66" ht="12.75" customHeight="1" x14ac:dyDescent="0.25">
      <c r="AT28" s="24"/>
      <c r="AU28" s="28"/>
      <c r="AV28" s="25"/>
      <c r="AW28" s="25"/>
      <c r="AX28" s="25"/>
      <c r="AY28" s="25"/>
      <c r="AZ28" s="25"/>
      <c r="BA28" s="25"/>
      <c r="BB28" s="25"/>
      <c r="BC28" s="25"/>
      <c r="BD28" s="25"/>
      <c r="BE28" s="25"/>
      <c r="BF28" s="25"/>
      <c r="BG28" s="25"/>
      <c r="BH28" s="25"/>
      <c r="BI28" s="25"/>
      <c r="BJ28" s="25"/>
      <c r="BK28" s="25"/>
      <c r="BL28" s="25"/>
      <c r="BM28" s="24"/>
      <c r="BN28" s="24"/>
    </row>
  </sheetData>
  <conditionalFormatting sqref="AV8:BL25">
    <cfRule type="cellIs" dxfId="3" priority="1" operator="greaterThan">
      <formula>20</formula>
    </cfRule>
    <cfRule type="colorScale" priority="2">
      <colorScale>
        <cfvo type="min"/>
        <cfvo type="max"/>
        <color rgb="FFFCFCFF"/>
        <color rgb="FF0070C0"/>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A8AC-D23C-41C2-A466-8A4FE31C7F33}">
  <dimension ref="A1:BN28"/>
  <sheetViews>
    <sheetView topLeftCell="AG2" zoomScale="90" zoomScaleNormal="112" workbookViewId="0">
      <selection activeCell="AX16" sqref="AX16"/>
    </sheetView>
  </sheetViews>
  <sheetFormatPr defaultColWidth="11.54296875" defaultRowHeight="12.75" customHeight="1" x14ac:dyDescent="0.25"/>
  <cols>
    <col min="1" max="1" width="26" style="18" bestFit="1" customWidth="1"/>
    <col min="2" max="2" width="5.81640625" style="68" customWidth="1"/>
    <col min="3" max="24" width="11.54296875" style="18"/>
    <col min="25" max="44" width="7" style="18" customWidth="1"/>
    <col min="45" max="46" width="11.54296875" style="18"/>
    <col min="47" max="47" width="17.54296875" style="27" bestFit="1" customWidth="1"/>
    <col min="48" max="64" width="4.81640625" style="23" customWidth="1"/>
    <col min="65" max="68" width="11.54296875" style="18"/>
    <col min="69" max="69" width="5.26953125" style="18" customWidth="1"/>
    <col min="70" max="87" width="5.81640625" style="18" customWidth="1"/>
    <col min="88" max="16384" width="11.54296875" style="18"/>
  </cols>
  <sheetData>
    <row r="1" spans="1:66" ht="12.75" customHeight="1" x14ac:dyDescent="0.35">
      <c r="A1" s="49">
        <v>2024</v>
      </c>
    </row>
    <row r="3" spans="1:66" ht="12.75" customHeight="1" x14ac:dyDescent="0.3">
      <c r="A3" s="55" t="s">
        <v>182</v>
      </c>
      <c r="B3" s="18"/>
      <c r="C3" s="38" t="s">
        <v>184</v>
      </c>
    </row>
    <row r="4" spans="1:66" ht="12.75" customHeight="1" x14ac:dyDescent="0.3">
      <c r="B4" s="50"/>
    </row>
    <row r="5" spans="1:66" ht="13" x14ac:dyDescent="0.3">
      <c r="B5" s="18"/>
      <c r="C5" s="51" t="s">
        <v>111</v>
      </c>
      <c r="D5" s="51" t="s">
        <v>112</v>
      </c>
      <c r="E5" s="51" t="s">
        <v>113</v>
      </c>
      <c r="F5" s="51" t="s">
        <v>171</v>
      </c>
      <c r="G5" s="51" t="s">
        <v>115</v>
      </c>
      <c r="H5" s="51" t="s">
        <v>172</v>
      </c>
      <c r="I5" s="51" t="s">
        <v>117</v>
      </c>
      <c r="J5" s="51" t="s">
        <v>25</v>
      </c>
      <c r="K5" s="51" t="s">
        <v>118</v>
      </c>
      <c r="L5" s="51" t="s">
        <v>120</v>
      </c>
      <c r="M5" s="51" t="s">
        <v>173</v>
      </c>
      <c r="N5" s="51" t="s">
        <v>122</v>
      </c>
      <c r="O5" s="51" t="s">
        <v>123</v>
      </c>
      <c r="P5" s="51" t="s">
        <v>174</v>
      </c>
      <c r="Q5" s="51" t="s">
        <v>125</v>
      </c>
      <c r="R5" s="51" t="s">
        <v>175</v>
      </c>
      <c r="S5" s="51" t="s">
        <v>159</v>
      </c>
      <c r="T5" s="51" t="s">
        <v>214</v>
      </c>
      <c r="U5" s="18" t="s">
        <v>23</v>
      </c>
      <c r="X5" s="20"/>
      <c r="Y5" s="51"/>
      <c r="Z5" s="51"/>
      <c r="AA5" s="51"/>
      <c r="AB5" s="51"/>
      <c r="AC5" s="51"/>
      <c r="AD5" s="51"/>
      <c r="AE5" s="51"/>
      <c r="AF5" s="51"/>
      <c r="AG5" s="51"/>
      <c r="AH5" s="51"/>
      <c r="AI5" s="51"/>
      <c r="AJ5" s="51"/>
      <c r="AK5" s="51"/>
      <c r="AL5" s="51"/>
      <c r="AM5" s="51"/>
      <c r="AN5" s="51"/>
      <c r="AO5" s="51"/>
      <c r="AP5" s="51"/>
    </row>
    <row r="6" spans="1:66" ht="13" x14ac:dyDescent="0.3">
      <c r="B6" s="18"/>
      <c r="C6" s="18">
        <v>1</v>
      </c>
      <c r="D6" s="18">
        <v>3</v>
      </c>
      <c r="E6" s="18">
        <v>4</v>
      </c>
      <c r="F6" s="18">
        <v>6</v>
      </c>
      <c r="G6" s="18">
        <v>7</v>
      </c>
      <c r="H6" s="18">
        <v>8</v>
      </c>
      <c r="I6" s="18">
        <v>9</v>
      </c>
      <c r="J6" s="18">
        <v>10</v>
      </c>
      <c r="K6" s="18">
        <v>11</v>
      </c>
      <c r="L6" s="18">
        <v>13</v>
      </c>
      <c r="M6" s="18">
        <v>14</v>
      </c>
      <c r="N6" s="18">
        <v>15</v>
      </c>
      <c r="O6" s="18">
        <v>16</v>
      </c>
      <c r="P6" s="18">
        <v>17</v>
      </c>
      <c r="Q6" s="18">
        <v>18</v>
      </c>
      <c r="R6" s="18">
        <v>19</v>
      </c>
      <c r="S6" s="18">
        <v>78</v>
      </c>
      <c r="T6" s="18">
        <v>999</v>
      </c>
      <c r="U6" s="18" t="s">
        <v>2</v>
      </c>
      <c r="X6" s="20"/>
      <c r="Y6" s="51" t="s">
        <v>111</v>
      </c>
      <c r="Z6" s="51" t="s">
        <v>112</v>
      </c>
      <c r="AA6" s="51" t="s">
        <v>113</v>
      </c>
      <c r="AB6" s="51" t="s">
        <v>171</v>
      </c>
      <c r="AC6" s="51" t="s">
        <v>115</v>
      </c>
      <c r="AD6" s="51" t="s">
        <v>172</v>
      </c>
      <c r="AE6" s="51" t="s">
        <v>117</v>
      </c>
      <c r="AF6" s="51" t="s">
        <v>25</v>
      </c>
      <c r="AG6" s="51" t="s">
        <v>118</v>
      </c>
      <c r="AH6" s="51" t="s">
        <v>120</v>
      </c>
      <c r="AI6" s="51" t="s">
        <v>173</v>
      </c>
      <c r="AJ6" s="51" t="s">
        <v>122</v>
      </c>
      <c r="AK6" s="51" t="s">
        <v>123</v>
      </c>
      <c r="AL6" s="51" t="s">
        <v>174</v>
      </c>
      <c r="AM6" s="51" t="s">
        <v>125</v>
      </c>
      <c r="AN6" s="51" t="s">
        <v>175</v>
      </c>
      <c r="AO6" s="51" t="s">
        <v>159</v>
      </c>
      <c r="AP6" s="51" t="s">
        <v>177</v>
      </c>
      <c r="AQ6" s="48"/>
      <c r="AT6" s="24"/>
      <c r="AU6" s="28"/>
      <c r="AV6" s="25"/>
      <c r="AW6" s="25"/>
      <c r="AX6" s="25"/>
      <c r="AY6" s="25"/>
      <c r="AZ6" s="25"/>
      <c r="BA6" s="25"/>
      <c r="BB6" s="25"/>
      <c r="BC6" s="25"/>
      <c r="BD6" s="25"/>
      <c r="BE6" s="25"/>
      <c r="BF6" s="25"/>
      <c r="BG6" s="25"/>
      <c r="BH6" s="25"/>
      <c r="BI6" s="25"/>
      <c r="BJ6" s="25"/>
      <c r="BK6" s="25"/>
      <c r="BL6" s="25"/>
      <c r="BM6" s="24"/>
      <c r="BN6" s="24"/>
    </row>
    <row r="7" spans="1:66" ht="14.5" x14ac:dyDescent="0.25">
      <c r="B7" s="18"/>
      <c r="C7" s="47"/>
      <c r="D7" s="47"/>
      <c r="E7" s="47"/>
      <c r="F7" s="47"/>
      <c r="G7" s="47"/>
      <c r="H7" s="47"/>
      <c r="I7" s="47"/>
      <c r="J7" s="47"/>
      <c r="K7" s="47"/>
      <c r="L7" s="47"/>
      <c r="M7" s="47"/>
      <c r="N7" s="47"/>
      <c r="O7" s="47"/>
      <c r="P7" s="47"/>
      <c r="Q7" s="47"/>
      <c r="R7" s="46"/>
      <c r="S7" s="46"/>
      <c r="X7" s="29"/>
      <c r="Y7" s="53" t="s">
        <v>129</v>
      </c>
      <c r="Z7" s="53" t="s">
        <v>130</v>
      </c>
      <c r="AA7" s="53" t="s">
        <v>131</v>
      </c>
      <c r="AB7" s="53" t="s">
        <v>132</v>
      </c>
      <c r="AC7" s="53" t="s">
        <v>133</v>
      </c>
      <c r="AD7" s="53" t="s">
        <v>134</v>
      </c>
      <c r="AE7" s="53" t="s">
        <v>135</v>
      </c>
      <c r="AF7" s="53" t="s">
        <v>136</v>
      </c>
      <c r="AG7" s="53" t="s">
        <v>137</v>
      </c>
      <c r="AH7" s="53" t="s">
        <v>139</v>
      </c>
      <c r="AI7" s="53" t="s">
        <v>140</v>
      </c>
      <c r="AJ7" s="53" t="s">
        <v>141</v>
      </c>
      <c r="AK7" s="53" t="s">
        <v>142</v>
      </c>
      <c r="AL7" s="53" t="s">
        <v>143</v>
      </c>
      <c r="AM7" s="53" t="s">
        <v>144</v>
      </c>
      <c r="AN7" s="53" t="s">
        <v>145</v>
      </c>
      <c r="AO7" s="53">
        <v>78</v>
      </c>
      <c r="AP7" s="53" t="s">
        <v>127</v>
      </c>
      <c r="AQ7" s="53" t="s">
        <v>2</v>
      </c>
      <c r="AT7" s="26"/>
      <c r="AU7" s="31"/>
      <c r="AV7" s="32" t="s">
        <v>129</v>
      </c>
      <c r="AW7" s="32" t="s">
        <v>178</v>
      </c>
      <c r="AX7" s="32" t="s">
        <v>179</v>
      </c>
      <c r="AY7" s="32" t="s">
        <v>132</v>
      </c>
      <c r="AZ7" s="32" t="s">
        <v>133</v>
      </c>
      <c r="BA7" s="32" t="s">
        <v>134</v>
      </c>
      <c r="BB7" s="32" t="s">
        <v>135</v>
      </c>
      <c r="BC7" s="32" t="s">
        <v>136</v>
      </c>
      <c r="BD7" s="32" t="s">
        <v>137</v>
      </c>
      <c r="BE7" s="32" t="s">
        <v>139</v>
      </c>
      <c r="BF7" s="32" t="s">
        <v>140</v>
      </c>
      <c r="BG7" s="32" t="s">
        <v>141</v>
      </c>
      <c r="BH7" s="32" t="s">
        <v>142</v>
      </c>
      <c r="BI7" s="32" t="s">
        <v>143</v>
      </c>
      <c r="BJ7" s="32" t="s">
        <v>144</v>
      </c>
      <c r="BK7" s="32" t="s">
        <v>145</v>
      </c>
      <c r="BL7" s="32">
        <v>78</v>
      </c>
      <c r="BM7" s="33" t="s">
        <v>31</v>
      </c>
      <c r="BN7" s="26"/>
    </row>
    <row r="8" spans="1:66" ht="12.5" x14ac:dyDescent="0.25">
      <c r="A8" s="51" t="s">
        <v>146</v>
      </c>
      <c r="B8" s="18">
        <v>1</v>
      </c>
      <c r="C8" s="18">
        <v>36</v>
      </c>
      <c r="D8" s="18">
        <v>788</v>
      </c>
      <c r="E8" s="18">
        <v>193</v>
      </c>
      <c r="F8" s="18">
        <v>126</v>
      </c>
      <c r="G8" s="18">
        <v>721</v>
      </c>
      <c r="H8" s="18">
        <v>178</v>
      </c>
      <c r="I8" s="18">
        <v>36</v>
      </c>
      <c r="J8" s="18">
        <v>77</v>
      </c>
      <c r="K8" s="18">
        <v>122</v>
      </c>
      <c r="L8" s="18">
        <v>636</v>
      </c>
      <c r="M8" s="18">
        <v>81</v>
      </c>
      <c r="N8" s="18">
        <v>174</v>
      </c>
      <c r="O8" s="18">
        <v>69</v>
      </c>
      <c r="P8" s="18">
        <v>200</v>
      </c>
      <c r="Q8" s="18">
        <v>31</v>
      </c>
      <c r="R8" s="18">
        <v>44</v>
      </c>
      <c r="S8" s="18">
        <v>643</v>
      </c>
      <c r="T8" s="18">
        <v>4228</v>
      </c>
      <c r="U8" s="52">
        <v>8383</v>
      </c>
      <c r="X8" s="29" t="s">
        <v>146</v>
      </c>
      <c r="Y8" s="56">
        <f t="shared" ref="Y8:AN16" si="0">IFERROR(C8/1000,"")</f>
        <v>3.5999999999999997E-2</v>
      </c>
      <c r="Z8" s="56">
        <f t="shared" si="0"/>
        <v>0.78800000000000003</v>
      </c>
      <c r="AA8" s="56">
        <f t="shared" si="0"/>
        <v>0.193</v>
      </c>
      <c r="AB8" s="56">
        <f t="shared" si="0"/>
        <v>0.126</v>
      </c>
      <c r="AC8" s="56">
        <f t="shared" si="0"/>
        <v>0.72099999999999997</v>
      </c>
      <c r="AD8" s="56">
        <f t="shared" si="0"/>
        <v>0.17799999999999999</v>
      </c>
      <c r="AE8" s="56">
        <f t="shared" si="0"/>
        <v>3.5999999999999997E-2</v>
      </c>
      <c r="AF8" s="56">
        <f t="shared" si="0"/>
        <v>7.6999999999999999E-2</v>
      </c>
      <c r="AG8" s="56">
        <f t="shared" si="0"/>
        <v>0.122</v>
      </c>
      <c r="AH8" s="56">
        <f t="shared" si="0"/>
        <v>0.63600000000000001</v>
      </c>
      <c r="AI8" s="56">
        <f t="shared" si="0"/>
        <v>8.1000000000000003E-2</v>
      </c>
      <c r="AJ8" s="56">
        <f t="shared" si="0"/>
        <v>0.17399999999999999</v>
      </c>
      <c r="AK8" s="56">
        <f t="shared" si="0"/>
        <v>6.9000000000000006E-2</v>
      </c>
      <c r="AL8" s="56">
        <f t="shared" si="0"/>
        <v>0.2</v>
      </c>
      <c r="AM8" s="56">
        <f t="shared" si="0"/>
        <v>3.1E-2</v>
      </c>
      <c r="AN8" s="56">
        <f t="shared" si="0"/>
        <v>4.3999999999999997E-2</v>
      </c>
      <c r="AO8" s="56">
        <f t="shared" ref="AO8:AQ16" si="1">IFERROR(S8/1000,"")</f>
        <v>0.64300000000000002</v>
      </c>
      <c r="AP8" s="56">
        <f t="shared" si="1"/>
        <v>4.2279999999999998</v>
      </c>
      <c r="AQ8" s="56">
        <f t="shared" si="1"/>
        <v>8.3829999999999991</v>
      </c>
      <c r="AT8" s="26"/>
      <c r="AU8" s="31" t="s">
        <v>146</v>
      </c>
      <c r="AV8" s="77">
        <f>IFERROR(IF(Y8&gt;0,Y8,"x")/SUM($Y8:$AO8),"")*100</f>
        <v>0.86642599277978327</v>
      </c>
      <c r="AW8" s="77">
        <f t="shared" ref="AW8:BL16" si="2">IFERROR(IF(Z8&gt;0,Z8,"x")/SUM($Y8:$AO8),"")*100</f>
        <v>18.965102286401926</v>
      </c>
      <c r="AX8" s="77">
        <f t="shared" si="2"/>
        <v>4.6450060168471721</v>
      </c>
      <c r="AY8" s="77">
        <f t="shared" si="2"/>
        <v>3.0324909747292415</v>
      </c>
      <c r="AZ8" s="77">
        <f t="shared" si="2"/>
        <v>17.352587244283992</v>
      </c>
      <c r="BA8" s="77">
        <f t="shared" si="2"/>
        <v>4.2839951865222616</v>
      </c>
      <c r="BB8" s="77">
        <f t="shared" si="2"/>
        <v>0.86642599277978327</v>
      </c>
      <c r="BC8" s="77">
        <f t="shared" si="2"/>
        <v>1.8531889290012031</v>
      </c>
      <c r="BD8" s="77">
        <f t="shared" si="2"/>
        <v>2.9362214199759324</v>
      </c>
      <c r="BE8" s="77">
        <f t="shared" si="2"/>
        <v>15.306859205776172</v>
      </c>
      <c r="BF8" s="77">
        <f t="shared" si="2"/>
        <v>1.9494584837545126</v>
      </c>
      <c r="BG8" s="77">
        <f t="shared" si="2"/>
        <v>4.1877256317689522</v>
      </c>
      <c r="BH8" s="77">
        <f t="shared" si="2"/>
        <v>1.6606498194945849</v>
      </c>
      <c r="BI8" s="77">
        <f t="shared" si="2"/>
        <v>4.8134777376654636</v>
      </c>
      <c r="BJ8" s="77">
        <f t="shared" si="2"/>
        <v>0.74608904933814679</v>
      </c>
      <c r="BK8" s="77">
        <f t="shared" si="2"/>
        <v>1.0589651022864017</v>
      </c>
      <c r="BL8" s="77">
        <f t="shared" si="2"/>
        <v>15.475330926594463</v>
      </c>
      <c r="BM8" s="116">
        <f t="shared" ref="BM8:BM16" si="3">SUM(AV8:BL8)</f>
        <v>100.00000000000001</v>
      </c>
      <c r="BN8" s="26"/>
    </row>
    <row r="9" spans="1:66" ht="12.5" x14ac:dyDescent="0.25">
      <c r="A9" s="51" t="s">
        <v>147</v>
      </c>
      <c r="B9" s="18">
        <v>2</v>
      </c>
      <c r="C9" s="18">
        <v>62</v>
      </c>
      <c r="D9" s="18">
        <v>1791</v>
      </c>
      <c r="E9" s="18">
        <v>206</v>
      </c>
      <c r="F9" s="18">
        <v>656</v>
      </c>
      <c r="G9" s="18">
        <v>1805</v>
      </c>
      <c r="H9" s="18">
        <v>291</v>
      </c>
      <c r="I9" s="18">
        <v>145</v>
      </c>
      <c r="J9" s="18">
        <v>519</v>
      </c>
      <c r="K9" s="18">
        <v>179</v>
      </c>
      <c r="L9" s="18">
        <v>1362</v>
      </c>
      <c r="M9" s="18">
        <v>215</v>
      </c>
      <c r="N9" s="18">
        <v>257</v>
      </c>
      <c r="O9" s="18">
        <v>183</v>
      </c>
      <c r="P9" s="18">
        <v>284</v>
      </c>
      <c r="Q9" s="18">
        <v>69</v>
      </c>
      <c r="R9" s="18">
        <v>57</v>
      </c>
      <c r="S9" s="18">
        <v>1522</v>
      </c>
      <c r="T9" s="18">
        <v>8432</v>
      </c>
      <c r="U9" s="52">
        <v>18035</v>
      </c>
      <c r="X9" s="29" t="s">
        <v>147</v>
      </c>
      <c r="Y9" s="56">
        <f t="shared" si="0"/>
        <v>6.2E-2</v>
      </c>
      <c r="Z9" s="56">
        <f t="shared" si="0"/>
        <v>1.7909999999999999</v>
      </c>
      <c r="AA9" s="56">
        <f t="shared" si="0"/>
        <v>0.20599999999999999</v>
      </c>
      <c r="AB9" s="56">
        <f t="shared" si="0"/>
        <v>0.65600000000000003</v>
      </c>
      <c r="AC9" s="56">
        <f t="shared" si="0"/>
        <v>1.8049999999999999</v>
      </c>
      <c r="AD9" s="56">
        <f t="shared" si="0"/>
        <v>0.29099999999999998</v>
      </c>
      <c r="AE9" s="56">
        <f t="shared" si="0"/>
        <v>0.14499999999999999</v>
      </c>
      <c r="AF9" s="56">
        <f t="shared" si="0"/>
        <v>0.51900000000000002</v>
      </c>
      <c r="AG9" s="56">
        <f t="shared" si="0"/>
        <v>0.17899999999999999</v>
      </c>
      <c r="AH9" s="56">
        <f t="shared" si="0"/>
        <v>1.3620000000000001</v>
      </c>
      <c r="AI9" s="56">
        <f t="shared" si="0"/>
        <v>0.215</v>
      </c>
      <c r="AJ9" s="56">
        <f t="shared" si="0"/>
        <v>0.25700000000000001</v>
      </c>
      <c r="AK9" s="56">
        <f t="shared" si="0"/>
        <v>0.183</v>
      </c>
      <c r="AL9" s="56">
        <f t="shared" si="0"/>
        <v>0.28399999999999997</v>
      </c>
      <c r="AM9" s="56">
        <f t="shared" si="0"/>
        <v>6.9000000000000006E-2</v>
      </c>
      <c r="AN9" s="56">
        <f t="shared" si="0"/>
        <v>5.7000000000000002E-2</v>
      </c>
      <c r="AO9" s="56">
        <f t="shared" si="1"/>
        <v>1.522</v>
      </c>
      <c r="AP9" s="56">
        <f t="shared" si="1"/>
        <v>8.4320000000000004</v>
      </c>
      <c r="AQ9" s="56">
        <f t="shared" si="1"/>
        <v>18.035</v>
      </c>
      <c r="AT9" s="26"/>
      <c r="AU9" s="31" t="s">
        <v>147</v>
      </c>
      <c r="AV9" s="77">
        <f t="shared" ref="AV9:AV15" si="4">IFERROR(IF(Y9&gt;0,Y9,"x")/SUM($Y9:$AO9),"")*100</f>
        <v>0.64563157346662492</v>
      </c>
      <c r="AW9" s="77">
        <f t="shared" si="2"/>
        <v>18.650421743205246</v>
      </c>
      <c r="AX9" s="77">
        <f t="shared" si="2"/>
        <v>2.1451629699052375</v>
      </c>
      <c r="AY9" s="77">
        <f t="shared" si="2"/>
        <v>6.8311985837759019</v>
      </c>
      <c r="AZ9" s="77">
        <f t="shared" si="2"/>
        <v>18.796209517859001</v>
      </c>
      <c r="BA9" s="77">
        <f t="shared" si="2"/>
        <v>3.0303030303030298</v>
      </c>
      <c r="BB9" s="77">
        <f t="shared" si="2"/>
        <v>1.5099448089138807</v>
      </c>
      <c r="BC9" s="77">
        <f t="shared" si="2"/>
        <v>5.4045610746641666</v>
      </c>
      <c r="BD9" s="77">
        <f t="shared" si="2"/>
        <v>1.8640008330729978</v>
      </c>
      <c r="BE9" s="77">
        <f t="shared" si="2"/>
        <v>14.183067791315212</v>
      </c>
      <c r="BF9" s="77">
        <f t="shared" si="2"/>
        <v>2.2388836821826508</v>
      </c>
      <c r="BG9" s="77">
        <f t="shared" si="2"/>
        <v>2.676247006143913</v>
      </c>
      <c r="BH9" s="77">
        <f t="shared" si="2"/>
        <v>1.9056544829740703</v>
      </c>
      <c r="BI9" s="77">
        <f t="shared" si="2"/>
        <v>2.9574091429761524</v>
      </c>
      <c r="BJ9" s="77">
        <f t="shared" si="2"/>
        <v>0.71852546079350199</v>
      </c>
      <c r="BK9" s="77">
        <f t="shared" si="2"/>
        <v>0.59356451109028419</v>
      </c>
      <c r="BL9" s="77">
        <f t="shared" si="2"/>
        <v>15.849213787358115</v>
      </c>
      <c r="BM9" s="116">
        <f t="shared" si="3"/>
        <v>99.999999999999957</v>
      </c>
      <c r="BN9" s="26"/>
    </row>
    <row r="10" spans="1:66" ht="12.5" x14ac:dyDescent="0.25">
      <c r="A10" s="51" t="s">
        <v>148</v>
      </c>
      <c r="B10" s="18">
        <v>3</v>
      </c>
      <c r="C10" s="18">
        <v>69</v>
      </c>
      <c r="D10" s="18">
        <v>1574</v>
      </c>
      <c r="E10" s="18">
        <v>747</v>
      </c>
      <c r="F10" s="18">
        <v>771</v>
      </c>
      <c r="G10" s="18">
        <v>3735</v>
      </c>
      <c r="H10" s="18">
        <v>931</v>
      </c>
      <c r="I10" s="18">
        <v>469</v>
      </c>
      <c r="J10" s="18">
        <v>467</v>
      </c>
      <c r="K10" s="18">
        <v>2419</v>
      </c>
      <c r="L10" s="18">
        <v>4555</v>
      </c>
      <c r="M10" s="18">
        <v>941</v>
      </c>
      <c r="N10" s="18">
        <v>2440</v>
      </c>
      <c r="O10" s="18">
        <v>917</v>
      </c>
      <c r="P10" s="18">
        <v>1622</v>
      </c>
      <c r="Q10" s="18">
        <v>345</v>
      </c>
      <c r="R10" s="18">
        <v>505</v>
      </c>
      <c r="S10" s="18">
        <v>3269</v>
      </c>
      <c r="T10" s="18">
        <v>19540</v>
      </c>
      <c r="U10" s="52">
        <v>45316</v>
      </c>
      <c r="X10" s="29" t="s">
        <v>148</v>
      </c>
      <c r="Y10" s="56">
        <f t="shared" si="0"/>
        <v>6.9000000000000006E-2</v>
      </c>
      <c r="Z10" s="56">
        <f t="shared" si="0"/>
        <v>1.5740000000000001</v>
      </c>
      <c r="AA10" s="56">
        <f t="shared" si="0"/>
        <v>0.747</v>
      </c>
      <c r="AB10" s="56">
        <f t="shared" si="0"/>
        <v>0.77100000000000002</v>
      </c>
      <c r="AC10" s="56">
        <f t="shared" si="0"/>
        <v>3.7349999999999999</v>
      </c>
      <c r="AD10" s="56">
        <f t="shared" si="0"/>
        <v>0.93100000000000005</v>
      </c>
      <c r="AE10" s="56">
        <f t="shared" si="0"/>
        <v>0.46899999999999997</v>
      </c>
      <c r="AF10" s="56">
        <f t="shared" si="0"/>
        <v>0.46700000000000003</v>
      </c>
      <c r="AG10" s="56">
        <f t="shared" si="0"/>
        <v>2.419</v>
      </c>
      <c r="AH10" s="56">
        <f t="shared" si="0"/>
        <v>4.5549999999999997</v>
      </c>
      <c r="AI10" s="56">
        <f t="shared" si="0"/>
        <v>0.94099999999999995</v>
      </c>
      <c r="AJ10" s="56">
        <f t="shared" si="0"/>
        <v>2.44</v>
      </c>
      <c r="AK10" s="56">
        <f t="shared" si="0"/>
        <v>0.91700000000000004</v>
      </c>
      <c r="AL10" s="56">
        <f t="shared" si="0"/>
        <v>1.6220000000000001</v>
      </c>
      <c r="AM10" s="56">
        <f t="shared" si="0"/>
        <v>0.34499999999999997</v>
      </c>
      <c r="AN10" s="56">
        <f t="shared" si="0"/>
        <v>0.505</v>
      </c>
      <c r="AO10" s="56">
        <f t="shared" si="1"/>
        <v>3.2690000000000001</v>
      </c>
      <c r="AP10" s="56">
        <f t="shared" si="1"/>
        <v>19.54</v>
      </c>
      <c r="AQ10" s="56">
        <f t="shared" si="1"/>
        <v>45.316000000000003</v>
      </c>
      <c r="AT10" s="26"/>
      <c r="AU10" s="31" t="s">
        <v>148</v>
      </c>
      <c r="AV10" s="77">
        <f t="shared" si="4"/>
        <v>0.26769087523277463</v>
      </c>
      <c r="AW10" s="77">
        <f t="shared" si="2"/>
        <v>6.1064556176288018</v>
      </c>
      <c r="AX10" s="77">
        <f t="shared" si="2"/>
        <v>2.8980446927374297</v>
      </c>
      <c r="AY10" s="77">
        <f t="shared" si="2"/>
        <v>2.9911545623836124</v>
      </c>
      <c r="AZ10" s="77">
        <f t="shared" si="2"/>
        <v>14.490223463687149</v>
      </c>
      <c r="BA10" s="77">
        <f t="shared" si="2"/>
        <v>3.611887026691496</v>
      </c>
      <c r="BB10" s="77">
        <f t="shared" si="2"/>
        <v>1.8195220360024829</v>
      </c>
      <c r="BC10" s="77">
        <f t="shared" si="2"/>
        <v>1.8117628801986343</v>
      </c>
      <c r="BD10" s="77">
        <f t="shared" si="2"/>
        <v>9.3846989447548097</v>
      </c>
      <c r="BE10" s="77">
        <f t="shared" si="2"/>
        <v>17.67147734326505</v>
      </c>
      <c r="BF10" s="77">
        <f t="shared" si="2"/>
        <v>3.6506828057107379</v>
      </c>
      <c r="BG10" s="77">
        <f t="shared" si="2"/>
        <v>9.4661700806952194</v>
      </c>
      <c r="BH10" s="77">
        <f t="shared" si="2"/>
        <v>3.5575729360645556</v>
      </c>
      <c r="BI10" s="77">
        <f t="shared" si="2"/>
        <v>6.2926753569211664</v>
      </c>
      <c r="BJ10" s="77">
        <f t="shared" si="2"/>
        <v>1.3384543761638732</v>
      </c>
      <c r="BK10" s="77">
        <f t="shared" si="2"/>
        <v>1.9591868404717563</v>
      </c>
      <c r="BL10" s="77">
        <f t="shared" si="2"/>
        <v>12.682340161390441</v>
      </c>
      <c r="BM10" s="116">
        <f t="shared" si="3"/>
        <v>100</v>
      </c>
      <c r="BN10" s="26"/>
    </row>
    <row r="11" spans="1:66" ht="12.5" x14ac:dyDescent="0.25">
      <c r="A11" s="51" t="s">
        <v>149</v>
      </c>
      <c r="B11" s="18">
        <v>4</v>
      </c>
      <c r="C11" s="18" t="s">
        <v>213</v>
      </c>
      <c r="D11" s="18">
        <v>82</v>
      </c>
      <c r="E11" s="18" t="s">
        <v>213</v>
      </c>
      <c r="F11" s="18">
        <v>36</v>
      </c>
      <c r="G11" s="18">
        <v>320</v>
      </c>
      <c r="H11" s="18">
        <v>43</v>
      </c>
      <c r="I11" s="18">
        <v>126</v>
      </c>
      <c r="J11" s="18">
        <v>57</v>
      </c>
      <c r="K11" s="18">
        <v>60</v>
      </c>
      <c r="L11" s="18">
        <v>152</v>
      </c>
      <c r="M11" s="18">
        <v>68</v>
      </c>
      <c r="N11" s="18">
        <v>216</v>
      </c>
      <c r="O11" s="18">
        <v>2223</v>
      </c>
      <c r="P11" s="18">
        <v>1569</v>
      </c>
      <c r="Q11" s="18">
        <v>192</v>
      </c>
      <c r="R11" s="18">
        <v>116</v>
      </c>
      <c r="S11" s="18">
        <v>343</v>
      </c>
      <c r="T11" s="18">
        <v>8993</v>
      </c>
      <c r="U11" s="52">
        <v>14619</v>
      </c>
      <c r="X11" s="29" t="s">
        <v>149</v>
      </c>
      <c r="Y11" s="56" t="str">
        <f t="shared" si="0"/>
        <v/>
      </c>
      <c r="Z11" s="56">
        <f t="shared" si="0"/>
        <v>8.2000000000000003E-2</v>
      </c>
      <c r="AA11" s="56" t="str">
        <f t="shared" si="0"/>
        <v/>
      </c>
      <c r="AB11" s="56">
        <f t="shared" si="0"/>
        <v>3.5999999999999997E-2</v>
      </c>
      <c r="AC11" s="56">
        <f t="shared" si="0"/>
        <v>0.32</v>
      </c>
      <c r="AD11" s="56">
        <f t="shared" si="0"/>
        <v>4.2999999999999997E-2</v>
      </c>
      <c r="AE11" s="56">
        <f t="shared" si="0"/>
        <v>0.126</v>
      </c>
      <c r="AF11" s="56">
        <f t="shared" si="0"/>
        <v>5.7000000000000002E-2</v>
      </c>
      <c r="AG11" s="56">
        <f t="shared" si="0"/>
        <v>0.06</v>
      </c>
      <c r="AH11" s="56">
        <f t="shared" si="0"/>
        <v>0.152</v>
      </c>
      <c r="AI11" s="56">
        <f t="shared" si="0"/>
        <v>6.8000000000000005E-2</v>
      </c>
      <c r="AJ11" s="56">
        <f t="shared" si="0"/>
        <v>0.216</v>
      </c>
      <c r="AK11" s="56">
        <f t="shared" si="0"/>
        <v>2.2229999999999999</v>
      </c>
      <c r="AL11" s="56">
        <f t="shared" si="0"/>
        <v>1.569</v>
      </c>
      <c r="AM11" s="56">
        <f t="shared" si="0"/>
        <v>0.192</v>
      </c>
      <c r="AN11" s="56">
        <f t="shared" si="0"/>
        <v>0.11600000000000001</v>
      </c>
      <c r="AO11" s="56">
        <f t="shared" si="1"/>
        <v>0.34300000000000003</v>
      </c>
      <c r="AP11" s="56">
        <f t="shared" si="1"/>
        <v>8.9930000000000003</v>
      </c>
      <c r="AQ11" s="56">
        <f t="shared" si="1"/>
        <v>14.619</v>
      </c>
      <c r="AT11" s="26"/>
      <c r="AU11" s="31" t="s">
        <v>149</v>
      </c>
      <c r="AV11" s="77"/>
      <c r="AW11" s="77">
        <f t="shared" si="2"/>
        <v>1.4635016955202571</v>
      </c>
      <c r="AX11" s="77"/>
      <c r="AY11" s="77">
        <f t="shared" si="2"/>
        <v>0.64251293949669819</v>
      </c>
      <c r="AZ11" s="77">
        <f t="shared" si="2"/>
        <v>5.7112261288595398</v>
      </c>
      <c r="BA11" s="77">
        <f t="shared" si="2"/>
        <v>0.76744601106550059</v>
      </c>
      <c r="BB11" s="77">
        <f t="shared" si="2"/>
        <v>2.2487952882384437</v>
      </c>
      <c r="BC11" s="77">
        <f t="shared" si="2"/>
        <v>1.0173121542031056</v>
      </c>
      <c r="BD11" s="77">
        <f t="shared" si="2"/>
        <v>1.0708548991611637</v>
      </c>
      <c r="BE11" s="77">
        <f t="shared" si="2"/>
        <v>2.7128324112082813</v>
      </c>
      <c r="BF11" s="77">
        <f t="shared" si="2"/>
        <v>1.2136355523826523</v>
      </c>
      <c r="BG11" s="77">
        <f t="shared" si="2"/>
        <v>3.8550776369801891</v>
      </c>
      <c r="BH11" s="77">
        <f t="shared" si="2"/>
        <v>39.675174013921108</v>
      </c>
      <c r="BI11" s="77">
        <f t="shared" si="2"/>
        <v>28.00285561306443</v>
      </c>
      <c r="BJ11" s="77">
        <f t="shared" si="2"/>
        <v>3.4267356773157238</v>
      </c>
      <c r="BK11" s="77">
        <f t="shared" si="2"/>
        <v>2.0703194717115831</v>
      </c>
      <c r="BL11" s="77">
        <f t="shared" si="2"/>
        <v>6.1217205068713199</v>
      </c>
      <c r="BM11" s="116">
        <f t="shared" si="3"/>
        <v>100</v>
      </c>
      <c r="BN11" s="26"/>
    </row>
    <row r="12" spans="1:66" ht="12.5" x14ac:dyDescent="0.25">
      <c r="A12" s="51" t="s">
        <v>150</v>
      </c>
      <c r="B12" s="18">
        <v>5</v>
      </c>
      <c r="C12" s="18">
        <v>27</v>
      </c>
      <c r="D12" s="18">
        <v>167</v>
      </c>
      <c r="E12" s="18">
        <v>40</v>
      </c>
      <c r="F12" s="18">
        <v>769</v>
      </c>
      <c r="G12" s="18">
        <v>354</v>
      </c>
      <c r="H12" s="18">
        <v>110</v>
      </c>
      <c r="I12" s="18">
        <v>145</v>
      </c>
      <c r="J12" s="18">
        <v>117</v>
      </c>
      <c r="K12" s="18">
        <v>94</v>
      </c>
      <c r="L12" s="18">
        <v>239</v>
      </c>
      <c r="M12" s="18">
        <v>103</v>
      </c>
      <c r="N12" s="18">
        <v>502</v>
      </c>
      <c r="O12" s="18">
        <v>2126</v>
      </c>
      <c r="P12" s="18">
        <v>1128</v>
      </c>
      <c r="Q12" s="18">
        <v>190</v>
      </c>
      <c r="R12" s="18">
        <v>184</v>
      </c>
      <c r="S12" s="18">
        <v>580</v>
      </c>
      <c r="T12" s="18">
        <v>10423</v>
      </c>
      <c r="U12" s="52">
        <v>17298</v>
      </c>
      <c r="X12" s="29" t="s">
        <v>150</v>
      </c>
      <c r="Y12" s="56">
        <f t="shared" si="0"/>
        <v>2.7E-2</v>
      </c>
      <c r="Z12" s="56">
        <f t="shared" si="0"/>
        <v>0.16700000000000001</v>
      </c>
      <c r="AA12" s="56">
        <f t="shared" si="0"/>
        <v>0.04</v>
      </c>
      <c r="AB12" s="56">
        <f t="shared" si="0"/>
        <v>0.76900000000000002</v>
      </c>
      <c r="AC12" s="56">
        <f t="shared" si="0"/>
        <v>0.35399999999999998</v>
      </c>
      <c r="AD12" s="56">
        <f t="shared" si="0"/>
        <v>0.11</v>
      </c>
      <c r="AE12" s="56">
        <f t="shared" si="0"/>
        <v>0.14499999999999999</v>
      </c>
      <c r="AF12" s="56">
        <f t="shared" si="0"/>
        <v>0.11700000000000001</v>
      </c>
      <c r="AG12" s="56">
        <f t="shared" si="0"/>
        <v>9.4E-2</v>
      </c>
      <c r="AH12" s="56">
        <f t="shared" si="0"/>
        <v>0.23899999999999999</v>
      </c>
      <c r="AI12" s="56">
        <f t="shared" si="0"/>
        <v>0.10299999999999999</v>
      </c>
      <c r="AJ12" s="56">
        <f t="shared" si="0"/>
        <v>0.502</v>
      </c>
      <c r="AK12" s="56">
        <f t="shared" si="0"/>
        <v>2.1259999999999999</v>
      </c>
      <c r="AL12" s="56">
        <f t="shared" si="0"/>
        <v>1.1279999999999999</v>
      </c>
      <c r="AM12" s="56">
        <f t="shared" si="0"/>
        <v>0.19</v>
      </c>
      <c r="AN12" s="56">
        <f t="shared" si="0"/>
        <v>0.184</v>
      </c>
      <c r="AO12" s="56">
        <f t="shared" si="1"/>
        <v>0.57999999999999996</v>
      </c>
      <c r="AP12" s="56">
        <f t="shared" si="1"/>
        <v>10.423</v>
      </c>
      <c r="AQ12" s="56">
        <f t="shared" si="1"/>
        <v>17.297999999999998</v>
      </c>
      <c r="AT12" s="26"/>
      <c r="AU12" s="31" t="s">
        <v>150</v>
      </c>
      <c r="AV12" s="77">
        <f t="shared" si="4"/>
        <v>0.39272727272727265</v>
      </c>
      <c r="AW12" s="77">
        <f t="shared" si="2"/>
        <v>2.4290909090909087</v>
      </c>
      <c r="AX12" s="77">
        <f t="shared" si="2"/>
        <v>0.58181818181818168</v>
      </c>
      <c r="AY12" s="77">
        <f t="shared" si="2"/>
        <v>11.185454545454544</v>
      </c>
      <c r="AZ12" s="77">
        <f t="shared" si="2"/>
        <v>5.1490909090909076</v>
      </c>
      <c r="BA12" s="77">
        <f t="shared" si="2"/>
        <v>1.5999999999999996</v>
      </c>
      <c r="BB12" s="77">
        <f t="shared" si="2"/>
        <v>2.1090909090909085</v>
      </c>
      <c r="BC12" s="77">
        <f t="shared" si="2"/>
        <v>1.7018181818181815</v>
      </c>
      <c r="BD12" s="77">
        <f t="shared" si="2"/>
        <v>1.367272727272727</v>
      </c>
      <c r="BE12" s="77">
        <f t="shared" si="2"/>
        <v>3.4763636363636352</v>
      </c>
      <c r="BF12" s="77">
        <f t="shared" si="2"/>
        <v>1.4981818181818178</v>
      </c>
      <c r="BG12" s="77">
        <f t="shared" si="2"/>
        <v>7.30181818181818</v>
      </c>
      <c r="BH12" s="77">
        <f t="shared" si="2"/>
        <v>30.923636363636355</v>
      </c>
      <c r="BI12" s="77">
        <f t="shared" si="2"/>
        <v>16.407272727272719</v>
      </c>
      <c r="BJ12" s="77">
        <f t="shared" si="2"/>
        <v>2.7636363636363628</v>
      </c>
      <c r="BK12" s="77">
        <f t="shared" si="2"/>
        <v>2.6763636363636358</v>
      </c>
      <c r="BL12" s="77">
        <f t="shared" si="2"/>
        <v>8.4363636363636338</v>
      </c>
      <c r="BM12" s="116">
        <f t="shared" si="3"/>
        <v>99.999999999999972</v>
      </c>
      <c r="BN12" s="26"/>
    </row>
    <row r="13" spans="1:66" ht="12.5" x14ac:dyDescent="0.25">
      <c r="A13" s="51" t="s">
        <v>151</v>
      </c>
      <c r="B13" s="18">
        <v>6</v>
      </c>
      <c r="C13" s="18">
        <v>96</v>
      </c>
      <c r="D13" s="18">
        <v>604</v>
      </c>
      <c r="E13" s="18">
        <v>94</v>
      </c>
      <c r="F13" s="18">
        <v>267</v>
      </c>
      <c r="G13" s="18">
        <v>1968</v>
      </c>
      <c r="H13" s="18">
        <v>358</v>
      </c>
      <c r="I13" s="18">
        <v>787</v>
      </c>
      <c r="J13" s="18">
        <v>509</v>
      </c>
      <c r="K13" s="18">
        <v>700</v>
      </c>
      <c r="L13" s="18">
        <v>1741</v>
      </c>
      <c r="M13" s="18">
        <v>482</v>
      </c>
      <c r="N13" s="18">
        <v>2649</v>
      </c>
      <c r="O13" s="18">
        <v>1738</v>
      </c>
      <c r="P13" s="18">
        <v>8903</v>
      </c>
      <c r="Q13" s="18">
        <v>470</v>
      </c>
      <c r="R13" s="18">
        <v>640</v>
      </c>
      <c r="S13" s="18">
        <v>2224</v>
      </c>
      <c r="T13" s="18">
        <v>31520</v>
      </c>
      <c r="U13" s="52">
        <v>55750</v>
      </c>
      <c r="X13" s="29" t="s">
        <v>151</v>
      </c>
      <c r="Y13" s="56">
        <f t="shared" si="0"/>
        <v>9.6000000000000002E-2</v>
      </c>
      <c r="Z13" s="56">
        <f t="shared" si="0"/>
        <v>0.60399999999999998</v>
      </c>
      <c r="AA13" s="56">
        <f t="shared" si="0"/>
        <v>9.4E-2</v>
      </c>
      <c r="AB13" s="56">
        <f t="shared" si="0"/>
        <v>0.26700000000000002</v>
      </c>
      <c r="AC13" s="56">
        <f t="shared" si="0"/>
        <v>1.968</v>
      </c>
      <c r="AD13" s="56">
        <f t="shared" si="0"/>
        <v>0.35799999999999998</v>
      </c>
      <c r="AE13" s="56">
        <f t="shared" si="0"/>
        <v>0.78700000000000003</v>
      </c>
      <c r="AF13" s="56">
        <f t="shared" si="0"/>
        <v>0.50900000000000001</v>
      </c>
      <c r="AG13" s="56">
        <f t="shared" si="0"/>
        <v>0.7</v>
      </c>
      <c r="AH13" s="56">
        <f t="shared" si="0"/>
        <v>1.7410000000000001</v>
      </c>
      <c r="AI13" s="56">
        <f t="shared" si="0"/>
        <v>0.48199999999999998</v>
      </c>
      <c r="AJ13" s="56">
        <f t="shared" si="0"/>
        <v>2.649</v>
      </c>
      <c r="AK13" s="56">
        <f t="shared" si="0"/>
        <v>1.738</v>
      </c>
      <c r="AL13" s="56">
        <f t="shared" si="0"/>
        <v>8.9030000000000005</v>
      </c>
      <c r="AM13" s="56">
        <f t="shared" si="0"/>
        <v>0.47</v>
      </c>
      <c r="AN13" s="56">
        <f t="shared" si="0"/>
        <v>0.64</v>
      </c>
      <c r="AO13" s="56">
        <f t="shared" si="1"/>
        <v>2.2240000000000002</v>
      </c>
      <c r="AP13" s="56">
        <f t="shared" si="1"/>
        <v>31.52</v>
      </c>
      <c r="AQ13" s="56">
        <f t="shared" si="1"/>
        <v>55.75</v>
      </c>
      <c r="AT13" s="26"/>
      <c r="AU13" s="31" t="s">
        <v>151</v>
      </c>
      <c r="AV13" s="77">
        <f t="shared" si="4"/>
        <v>0.39620305406520839</v>
      </c>
      <c r="AW13" s="77">
        <f t="shared" si="2"/>
        <v>2.4927775484936028</v>
      </c>
      <c r="AX13" s="77">
        <f t="shared" si="2"/>
        <v>0.3879488237721832</v>
      </c>
      <c r="AY13" s="77">
        <f t="shared" si="2"/>
        <v>1.101939744118861</v>
      </c>
      <c r="AZ13" s="77">
        <f t="shared" si="2"/>
        <v>8.1221626083367724</v>
      </c>
      <c r="BA13" s="77">
        <f t="shared" si="2"/>
        <v>1.4775072224515062</v>
      </c>
      <c r="BB13" s="77">
        <f t="shared" si="2"/>
        <v>3.2480396203054069</v>
      </c>
      <c r="BC13" s="77">
        <f t="shared" si="2"/>
        <v>2.1007016095749074</v>
      </c>
      <c r="BD13" s="77">
        <f t="shared" si="2"/>
        <v>2.8889806025588114</v>
      </c>
      <c r="BE13" s="77">
        <f t="shared" si="2"/>
        <v>7.1853074700784152</v>
      </c>
      <c r="BF13" s="77">
        <f t="shared" si="2"/>
        <v>1.989269500619067</v>
      </c>
      <c r="BG13" s="77">
        <f t="shared" si="2"/>
        <v>10.932728023111844</v>
      </c>
      <c r="BH13" s="77">
        <f t="shared" si="2"/>
        <v>7.1729261246388774</v>
      </c>
      <c r="BI13" s="77">
        <f t="shared" si="2"/>
        <v>36.743706149401568</v>
      </c>
      <c r="BJ13" s="77">
        <f t="shared" si="2"/>
        <v>1.9397441188609161</v>
      </c>
      <c r="BK13" s="77">
        <f t="shared" si="2"/>
        <v>2.6413536937680564</v>
      </c>
      <c r="BL13" s="77">
        <f t="shared" si="2"/>
        <v>9.1787040858439966</v>
      </c>
      <c r="BM13" s="116">
        <f t="shared" si="3"/>
        <v>100</v>
      </c>
      <c r="BN13" s="26"/>
    </row>
    <row r="14" spans="1:66" ht="12.5" x14ac:dyDescent="0.25">
      <c r="A14" s="51" t="s">
        <v>153</v>
      </c>
      <c r="B14" s="18">
        <v>7</v>
      </c>
      <c r="C14" s="18">
        <v>161</v>
      </c>
      <c r="D14" s="18">
        <v>523</v>
      </c>
      <c r="E14" s="18">
        <v>62</v>
      </c>
      <c r="F14" s="18">
        <v>317</v>
      </c>
      <c r="G14" s="18">
        <v>2676</v>
      </c>
      <c r="H14" s="18">
        <v>436</v>
      </c>
      <c r="I14" s="18">
        <v>1290</v>
      </c>
      <c r="J14" s="18">
        <v>239</v>
      </c>
      <c r="K14" s="18">
        <v>505</v>
      </c>
      <c r="L14" s="18">
        <v>1296</v>
      </c>
      <c r="M14" s="18">
        <v>671</v>
      </c>
      <c r="N14" s="18">
        <v>1797</v>
      </c>
      <c r="O14" s="18">
        <v>1519</v>
      </c>
      <c r="P14" s="18">
        <v>18458</v>
      </c>
      <c r="Q14" s="18">
        <v>440</v>
      </c>
      <c r="R14" s="18">
        <v>566</v>
      </c>
      <c r="S14" s="18">
        <v>3440</v>
      </c>
      <c r="T14" s="18">
        <v>31572</v>
      </c>
      <c r="U14" s="52">
        <v>65968</v>
      </c>
      <c r="X14" s="29" t="s">
        <v>153</v>
      </c>
      <c r="Y14" s="56">
        <f t="shared" si="0"/>
        <v>0.161</v>
      </c>
      <c r="Z14" s="56">
        <f t="shared" si="0"/>
        <v>0.52300000000000002</v>
      </c>
      <c r="AA14" s="56">
        <f t="shared" si="0"/>
        <v>6.2E-2</v>
      </c>
      <c r="AB14" s="56">
        <f t="shared" si="0"/>
        <v>0.317</v>
      </c>
      <c r="AC14" s="56">
        <f t="shared" si="0"/>
        <v>2.6760000000000002</v>
      </c>
      <c r="AD14" s="56">
        <f t="shared" si="0"/>
        <v>0.436</v>
      </c>
      <c r="AE14" s="56">
        <f t="shared" si="0"/>
        <v>1.29</v>
      </c>
      <c r="AF14" s="56">
        <f t="shared" si="0"/>
        <v>0.23899999999999999</v>
      </c>
      <c r="AG14" s="56">
        <f t="shared" si="0"/>
        <v>0.505</v>
      </c>
      <c r="AH14" s="56">
        <f t="shared" si="0"/>
        <v>1.296</v>
      </c>
      <c r="AI14" s="56">
        <f t="shared" si="0"/>
        <v>0.67100000000000004</v>
      </c>
      <c r="AJ14" s="56">
        <f t="shared" si="0"/>
        <v>1.7969999999999999</v>
      </c>
      <c r="AK14" s="56">
        <f t="shared" si="0"/>
        <v>1.5189999999999999</v>
      </c>
      <c r="AL14" s="56">
        <f t="shared" si="0"/>
        <v>18.457999999999998</v>
      </c>
      <c r="AM14" s="56">
        <f t="shared" si="0"/>
        <v>0.44</v>
      </c>
      <c r="AN14" s="56">
        <f t="shared" si="0"/>
        <v>0.56599999999999995</v>
      </c>
      <c r="AO14" s="56">
        <f t="shared" si="1"/>
        <v>3.44</v>
      </c>
      <c r="AP14" s="56">
        <f t="shared" si="1"/>
        <v>31.571999999999999</v>
      </c>
      <c r="AQ14" s="56">
        <f t="shared" si="1"/>
        <v>65.968000000000004</v>
      </c>
      <c r="AT14" s="26"/>
      <c r="AU14" s="31" t="s">
        <v>153</v>
      </c>
      <c r="AV14" s="77">
        <f t="shared" si="4"/>
        <v>0.4680776834515642</v>
      </c>
      <c r="AW14" s="77">
        <f t="shared" si="2"/>
        <v>1.5205256425165716</v>
      </c>
      <c r="AX14" s="77">
        <f t="shared" si="2"/>
        <v>0.1802535178509129</v>
      </c>
      <c r="AY14" s="77">
        <f t="shared" si="2"/>
        <v>0.92161879288289328</v>
      </c>
      <c r="AZ14" s="77">
        <f t="shared" si="2"/>
        <v>7.7799744156297246</v>
      </c>
      <c r="BA14" s="77">
        <f t="shared" si="2"/>
        <v>1.2675892545644842</v>
      </c>
      <c r="BB14" s="77">
        <f t="shared" si="2"/>
        <v>3.7504360972206072</v>
      </c>
      <c r="BC14" s="77">
        <f t="shared" si="2"/>
        <v>0.69484823816722874</v>
      </c>
      <c r="BD14" s="77">
        <f t="shared" si="2"/>
        <v>1.4681939760437259</v>
      </c>
      <c r="BE14" s="77">
        <f t="shared" si="2"/>
        <v>3.7678799860448891</v>
      </c>
      <c r="BF14" s="77">
        <f t="shared" si="2"/>
        <v>1.950808233515525</v>
      </c>
      <c r="BG14" s="77">
        <f t="shared" si="2"/>
        <v>5.2244447028724261</v>
      </c>
      <c r="BH14" s="77">
        <f t="shared" si="2"/>
        <v>4.4162111873473657</v>
      </c>
      <c r="BI14" s="77">
        <f t="shared" si="2"/>
        <v>53.663216653099191</v>
      </c>
      <c r="BJ14" s="77">
        <f t="shared" si="2"/>
        <v>1.2792185137806722</v>
      </c>
      <c r="BK14" s="77">
        <f t="shared" si="2"/>
        <v>1.6455401790905919</v>
      </c>
      <c r="BL14" s="77">
        <f t="shared" si="2"/>
        <v>10.001162925921617</v>
      </c>
      <c r="BM14" s="116">
        <f t="shared" si="3"/>
        <v>99.999999999999986</v>
      </c>
      <c r="BN14" s="26"/>
    </row>
    <row r="15" spans="1:66" ht="12.5" x14ac:dyDescent="0.25">
      <c r="A15" s="51" t="s">
        <v>152</v>
      </c>
      <c r="B15" s="18">
        <v>8</v>
      </c>
      <c r="C15" s="18">
        <v>64</v>
      </c>
      <c r="D15" s="18">
        <v>259</v>
      </c>
      <c r="E15" s="18">
        <v>37</v>
      </c>
      <c r="F15" s="18">
        <v>99</v>
      </c>
      <c r="G15" s="18">
        <v>1613</v>
      </c>
      <c r="H15" s="18">
        <v>230</v>
      </c>
      <c r="I15" s="18">
        <v>761</v>
      </c>
      <c r="J15" s="18">
        <v>117</v>
      </c>
      <c r="K15" s="18">
        <v>152</v>
      </c>
      <c r="L15" s="18">
        <v>513</v>
      </c>
      <c r="M15" s="18">
        <v>764</v>
      </c>
      <c r="N15" s="18">
        <v>416</v>
      </c>
      <c r="O15" s="18">
        <v>399</v>
      </c>
      <c r="P15" s="18">
        <v>8952</v>
      </c>
      <c r="Q15" s="18">
        <v>262</v>
      </c>
      <c r="R15" s="18">
        <v>245</v>
      </c>
      <c r="S15" s="18">
        <v>1544</v>
      </c>
      <c r="T15" s="18">
        <v>13960</v>
      </c>
      <c r="U15" s="52">
        <v>30387</v>
      </c>
      <c r="X15" s="29" t="s">
        <v>152</v>
      </c>
      <c r="Y15" s="56">
        <f t="shared" si="0"/>
        <v>6.4000000000000001E-2</v>
      </c>
      <c r="Z15" s="56">
        <f t="shared" si="0"/>
        <v>0.25900000000000001</v>
      </c>
      <c r="AA15" s="56">
        <f t="shared" si="0"/>
        <v>3.6999999999999998E-2</v>
      </c>
      <c r="AB15" s="56">
        <f t="shared" si="0"/>
        <v>9.9000000000000005E-2</v>
      </c>
      <c r="AC15" s="56">
        <f t="shared" si="0"/>
        <v>1.613</v>
      </c>
      <c r="AD15" s="56">
        <f t="shared" si="0"/>
        <v>0.23</v>
      </c>
      <c r="AE15" s="56">
        <f t="shared" si="0"/>
        <v>0.76100000000000001</v>
      </c>
      <c r="AF15" s="56">
        <f t="shared" si="0"/>
        <v>0.11700000000000001</v>
      </c>
      <c r="AG15" s="56">
        <f t="shared" si="0"/>
        <v>0.152</v>
      </c>
      <c r="AH15" s="56">
        <f t="shared" si="0"/>
        <v>0.51300000000000001</v>
      </c>
      <c r="AI15" s="56">
        <f t="shared" si="0"/>
        <v>0.76400000000000001</v>
      </c>
      <c r="AJ15" s="56">
        <f t="shared" si="0"/>
        <v>0.41599999999999998</v>
      </c>
      <c r="AK15" s="56">
        <f t="shared" si="0"/>
        <v>0.39900000000000002</v>
      </c>
      <c r="AL15" s="56">
        <f t="shared" si="0"/>
        <v>8.952</v>
      </c>
      <c r="AM15" s="56">
        <f t="shared" si="0"/>
        <v>0.26200000000000001</v>
      </c>
      <c r="AN15" s="56">
        <f t="shared" si="0"/>
        <v>0.245</v>
      </c>
      <c r="AO15" s="56">
        <f t="shared" si="1"/>
        <v>1.544</v>
      </c>
      <c r="AP15" s="56">
        <f t="shared" si="1"/>
        <v>13.96</v>
      </c>
      <c r="AQ15" s="56">
        <f t="shared" si="1"/>
        <v>30.387</v>
      </c>
      <c r="AT15" s="26"/>
      <c r="AU15" s="31" t="s">
        <v>152</v>
      </c>
      <c r="AV15" s="77">
        <f t="shared" si="4"/>
        <v>0.38960248371583373</v>
      </c>
      <c r="AW15" s="77">
        <f t="shared" si="2"/>
        <v>1.5766725512875144</v>
      </c>
      <c r="AX15" s="77">
        <f t="shared" si="2"/>
        <v>0.22523893589821634</v>
      </c>
      <c r="AY15" s="77">
        <f t="shared" si="2"/>
        <v>0.60266634199793034</v>
      </c>
      <c r="AZ15" s="77">
        <f t="shared" si="2"/>
        <v>9.8192000974006213</v>
      </c>
      <c r="BA15" s="77">
        <f t="shared" si="2"/>
        <v>1.4001339258537775</v>
      </c>
      <c r="BB15" s="77">
        <f t="shared" si="2"/>
        <v>4.6326170329335854</v>
      </c>
      <c r="BC15" s="77">
        <f t="shared" si="2"/>
        <v>0.71224204054300855</v>
      </c>
      <c r="BD15" s="77">
        <f t="shared" si="2"/>
        <v>0.92530589882510506</v>
      </c>
      <c r="BE15" s="77">
        <f t="shared" si="2"/>
        <v>3.1229074085347293</v>
      </c>
      <c r="BF15" s="77">
        <f t="shared" si="2"/>
        <v>4.6508796493577647</v>
      </c>
      <c r="BG15" s="77">
        <f t="shared" si="2"/>
        <v>2.5324161441529189</v>
      </c>
      <c r="BH15" s="77">
        <f t="shared" si="2"/>
        <v>2.4289279844159006</v>
      </c>
      <c r="BI15" s="77">
        <f t="shared" si="2"/>
        <v>54.495647409752237</v>
      </c>
      <c r="BJ15" s="77">
        <f t="shared" si="2"/>
        <v>1.5949351677116943</v>
      </c>
      <c r="BK15" s="77">
        <f t="shared" si="2"/>
        <v>1.4914470079746758</v>
      </c>
      <c r="BL15" s="77">
        <f t="shared" si="2"/>
        <v>9.3991599196444877</v>
      </c>
      <c r="BM15" s="116">
        <f t="shared" si="3"/>
        <v>100</v>
      </c>
      <c r="BN15" s="26"/>
    </row>
    <row r="16" spans="1:66" ht="12.5" x14ac:dyDescent="0.25">
      <c r="A16" s="51" t="s">
        <v>154</v>
      </c>
      <c r="B16" s="18">
        <v>9</v>
      </c>
      <c r="C16" s="18" t="s">
        <v>213</v>
      </c>
      <c r="D16" s="18">
        <v>120</v>
      </c>
      <c r="E16" s="18" t="s">
        <v>213</v>
      </c>
      <c r="F16" s="18">
        <v>95</v>
      </c>
      <c r="G16" s="18">
        <v>740</v>
      </c>
      <c r="H16" s="18">
        <v>101</v>
      </c>
      <c r="I16" s="18">
        <v>323</v>
      </c>
      <c r="J16" s="18">
        <v>78</v>
      </c>
      <c r="K16" s="18">
        <v>96</v>
      </c>
      <c r="L16" s="18">
        <v>271</v>
      </c>
      <c r="M16" s="18">
        <v>146</v>
      </c>
      <c r="N16" s="18">
        <v>268</v>
      </c>
      <c r="O16" s="18">
        <v>1483</v>
      </c>
      <c r="P16" s="18">
        <v>2670</v>
      </c>
      <c r="Q16" s="18">
        <v>223</v>
      </c>
      <c r="R16" s="18">
        <v>106</v>
      </c>
      <c r="S16" s="18">
        <v>792</v>
      </c>
      <c r="T16" s="18">
        <v>6638</v>
      </c>
      <c r="U16" s="52">
        <v>14220</v>
      </c>
      <c r="X16" s="29" t="s">
        <v>154</v>
      </c>
      <c r="Y16" s="56" t="str">
        <f t="shared" si="0"/>
        <v/>
      </c>
      <c r="Z16" s="56">
        <f t="shared" si="0"/>
        <v>0.12</v>
      </c>
      <c r="AA16" s="56" t="str">
        <f t="shared" si="0"/>
        <v/>
      </c>
      <c r="AB16" s="56">
        <f t="shared" si="0"/>
        <v>9.5000000000000001E-2</v>
      </c>
      <c r="AC16" s="56">
        <f t="shared" si="0"/>
        <v>0.74</v>
      </c>
      <c r="AD16" s="56">
        <f t="shared" si="0"/>
        <v>0.10100000000000001</v>
      </c>
      <c r="AE16" s="56">
        <f t="shared" si="0"/>
        <v>0.32300000000000001</v>
      </c>
      <c r="AF16" s="56">
        <f t="shared" si="0"/>
        <v>7.8E-2</v>
      </c>
      <c r="AG16" s="56">
        <f t="shared" si="0"/>
        <v>9.6000000000000002E-2</v>
      </c>
      <c r="AH16" s="56">
        <f t="shared" si="0"/>
        <v>0.27100000000000002</v>
      </c>
      <c r="AI16" s="56">
        <f t="shared" si="0"/>
        <v>0.14599999999999999</v>
      </c>
      <c r="AJ16" s="56">
        <f t="shared" si="0"/>
        <v>0.26800000000000002</v>
      </c>
      <c r="AK16" s="56">
        <f t="shared" si="0"/>
        <v>1.4830000000000001</v>
      </c>
      <c r="AL16" s="56">
        <f t="shared" si="0"/>
        <v>2.67</v>
      </c>
      <c r="AM16" s="56">
        <f t="shared" si="0"/>
        <v>0.223</v>
      </c>
      <c r="AN16" s="56">
        <f t="shared" si="0"/>
        <v>0.106</v>
      </c>
      <c r="AO16" s="56">
        <f t="shared" si="1"/>
        <v>0.79200000000000004</v>
      </c>
      <c r="AP16" s="56">
        <f t="shared" si="1"/>
        <v>6.6379999999999999</v>
      </c>
      <c r="AQ16" s="56">
        <f t="shared" si="1"/>
        <v>14.22</v>
      </c>
      <c r="AT16" s="26"/>
      <c r="AU16" s="31" t="s">
        <v>154</v>
      </c>
      <c r="AV16" s="77"/>
      <c r="AW16" s="77">
        <f t="shared" si="2"/>
        <v>1.5974440894568689</v>
      </c>
      <c r="AX16" s="77"/>
      <c r="AY16" s="77">
        <f t="shared" si="2"/>
        <v>1.2646432374866881</v>
      </c>
      <c r="AZ16" s="77">
        <f t="shared" si="2"/>
        <v>9.850905218317358</v>
      </c>
      <c r="BA16" s="77">
        <f t="shared" si="2"/>
        <v>1.3445154419595315</v>
      </c>
      <c r="BB16" s="77">
        <f t="shared" si="2"/>
        <v>4.2997870074547393</v>
      </c>
      <c r="BC16" s="77">
        <f t="shared" si="2"/>
        <v>1.0383386581469649</v>
      </c>
      <c r="BD16" s="77">
        <f t="shared" si="2"/>
        <v>1.2779552715654954</v>
      </c>
      <c r="BE16" s="77">
        <f t="shared" si="2"/>
        <v>3.6075612353567625</v>
      </c>
      <c r="BF16" s="77">
        <f t="shared" si="2"/>
        <v>1.9435569755058575</v>
      </c>
      <c r="BG16" s="77">
        <f t="shared" si="2"/>
        <v>3.567625133120341</v>
      </c>
      <c r="BH16" s="77">
        <f t="shared" si="2"/>
        <v>19.741746538871141</v>
      </c>
      <c r="BI16" s="77">
        <f t="shared" si="2"/>
        <v>35.543130990415342</v>
      </c>
      <c r="BJ16" s="77">
        <f t="shared" si="2"/>
        <v>2.9685835995740151</v>
      </c>
      <c r="BK16" s="77">
        <f t="shared" si="2"/>
        <v>1.4110756123535677</v>
      </c>
      <c r="BL16" s="77">
        <f t="shared" si="2"/>
        <v>10.543130990415337</v>
      </c>
      <c r="BM16" s="116">
        <f t="shared" si="3"/>
        <v>100.00000000000001</v>
      </c>
      <c r="BN16" s="26"/>
    </row>
    <row r="17" spans="1:66" ht="12.5" x14ac:dyDescent="0.25">
      <c r="A17" s="51"/>
      <c r="X17" s="29"/>
      <c r="Y17" s="56"/>
      <c r="Z17" s="56"/>
      <c r="AA17" s="56"/>
      <c r="AB17" s="56"/>
      <c r="AC17" s="56"/>
      <c r="AD17" s="56"/>
      <c r="AE17" s="56"/>
      <c r="AF17" s="56"/>
      <c r="AG17" s="56"/>
      <c r="AH17" s="56"/>
      <c r="AI17" s="56"/>
      <c r="AJ17" s="56"/>
      <c r="AK17" s="56"/>
      <c r="AL17" s="56"/>
      <c r="AM17" s="56"/>
      <c r="AN17" s="56"/>
      <c r="AO17" s="56"/>
      <c r="AP17" s="56"/>
      <c r="AQ17" s="56"/>
      <c r="AT17" s="26"/>
      <c r="AU17" s="31"/>
      <c r="AV17" s="77"/>
      <c r="AW17" s="77"/>
      <c r="AX17" s="77"/>
      <c r="AY17" s="77"/>
      <c r="AZ17" s="77"/>
      <c r="BA17" s="77"/>
      <c r="BB17" s="77"/>
      <c r="BC17" s="77"/>
      <c r="BD17" s="77"/>
      <c r="BE17" s="77"/>
      <c r="BF17" s="77"/>
      <c r="BG17" s="77"/>
      <c r="BH17" s="77"/>
      <c r="BI17" s="77"/>
      <c r="BJ17" s="77"/>
      <c r="BK17" s="77"/>
      <c r="BL17" s="77"/>
      <c r="BM17" s="116"/>
      <c r="BN17" s="26"/>
    </row>
    <row r="18" spans="1:66" ht="12.5" x14ac:dyDescent="0.25">
      <c r="A18" s="51"/>
      <c r="X18" s="29"/>
      <c r="Y18" s="56"/>
      <c r="Z18" s="56"/>
      <c r="AA18" s="56"/>
      <c r="AB18" s="56"/>
      <c r="AC18" s="56"/>
      <c r="AD18" s="56"/>
      <c r="AE18" s="56"/>
      <c r="AF18" s="56"/>
      <c r="AG18" s="56"/>
      <c r="AH18" s="56"/>
      <c r="AI18" s="56"/>
      <c r="AJ18" s="56"/>
      <c r="AK18" s="56"/>
      <c r="AL18" s="56"/>
      <c r="AM18" s="56"/>
      <c r="AN18" s="56"/>
      <c r="AO18" s="56"/>
      <c r="AP18" s="56"/>
      <c r="AQ18" s="56"/>
      <c r="AT18" s="26"/>
      <c r="AU18" s="31"/>
      <c r="AV18" s="77"/>
      <c r="AW18" s="77"/>
      <c r="AX18" s="77"/>
      <c r="AY18" s="77"/>
      <c r="AZ18" s="77"/>
      <c r="BA18" s="77"/>
      <c r="BB18" s="77"/>
      <c r="BC18" s="77"/>
      <c r="BD18" s="77"/>
      <c r="BE18" s="77"/>
      <c r="BF18" s="77"/>
      <c r="BG18" s="77"/>
      <c r="BH18" s="77"/>
      <c r="BI18" s="77"/>
      <c r="BJ18" s="77"/>
      <c r="BK18" s="77"/>
      <c r="BL18" s="77"/>
      <c r="BM18" s="116"/>
      <c r="BN18" s="26"/>
    </row>
    <row r="19" spans="1:66" ht="12.5" x14ac:dyDescent="0.25">
      <c r="A19" s="51"/>
      <c r="X19" s="29"/>
      <c r="Y19" s="56"/>
      <c r="Z19" s="56"/>
      <c r="AA19" s="56"/>
      <c r="AB19" s="56"/>
      <c r="AC19" s="56"/>
      <c r="AD19" s="56"/>
      <c r="AE19" s="56"/>
      <c r="AF19" s="56"/>
      <c r="AG19" s="56"/>
      <c r="AH19" s="56"/>
      <c r="AI19" s="56"/>
      <c r="AJ19" s="56"/>
      <c r="AK19" s="56"/>
      <c r="AL19" s="56"/>
      <c r="AM19" s="56"/>
      <c r="AN19" s="56"/>
      <c r="AO19" s="56"/>
      <c r="AP19" s="56"/>
      <c r="AQ19" s="56"/>
      <c r="AT19" s="26"/>
      <c r="AU19" s="31"/>
      <c r="AV19" s="77"/>
      <c r="AW19" s="77"/>
      <c r="AX19" s="77"/>
      <c r="AY19" s="77"/>
      <c r="AZ19" s="77"/>
      <c r="BA19" s="77"/>
      <c r="BB19" s="77"/>
      <c r="BC19" s="77"/>
      <c r="BD19" s="77"/>
      <c r="BE19" s="77"/>
      <c r="BF19" s="77"/>
      <c r="BG19" s="77"/>
      <c r="BH19" s="77"/>
      <c r="BI19" s="77"/>
      <c r="BJ19" s="77"/>
      <c r="BK19" s="77"/>
      <c r="BL19" s="77"/>
      <c r="BM19" s="116"/>
      <c r="BN19" s="26"/>
    </row>
    <row r="20" spans="1:66" ht="12.5" x14ac:dyDescent="0.25">
      <c r="A20" s="51"/>
      <c r="X20" s="29"/>
      <c r="Y20" s="56"/>
      <c r="Z20" s="56"/>
      <c r="AA20" s="56"/>
      <c r="AB20" s="56"/>
      <c r="AC20" s="56"/>
      <c r="AD20" s="56"/>
      <c r="AE20" s="56"/>
      <c r="AF20" s="56"/>
      <c r="AG20" s="56"/>
      <c r="AH20" s="56"/>
      <c r="AI20" s="56"/>
      <c r="AJ20" s="56"/>
      <c r="AK20" s="56"/>
      <c r="AL20" s="56"/>
      <c r="AM20" s="56"/>
      <c r="AN20" s="56"/>
      <c r="AO20" s="56"/>
      <c r="AP20" s="56"/>
      <c r="AQ20" s="56"/>
      <c r="AT20" s="26"/>
      <c r="AU20" s="31"/>
      <c r="AV20" s="77"/>
      <c r="AW20" s="77"/>
      <c r="AX20" s="77"/>
      <c r="AY20" s="77"/>
      <c r="AZ20" s="77"/>
      <c r="BA20" s="77"/>
      <c r="BB20" s="77"/>
      <c r="BC20" s="77"/>
      <c r="BD20" s="77"/>
      <c r="BE20" s="77"/>
      <c r="BF20" s="77"/>
      <c r="BG20" s="77"/>
      <c r="BH20" s="77"/>
      <c r="BI20" s="77"/>
      <c r="BJ20" s="77"/>
      <c r="BK20" s="77"/>
      <c r="BL20" s="77"/>
      <c r="BM20" s="116"/>
      <c r="BN20" s="26"/>
    </row>
    <row r="21" spans="1:66" ht="12.5" x14ac:dyDescent="0.25">
      <c r="A21" s="51"/>
      <c r="X21" s="29"/>
      <c r="Y21" s="56"/>
      <c r="Z21" s="56"/>
      <c r="AA21" s="56"/>
      <c r="AB21" s="56"/>
      <c r="AC21" s="56"/>
      <c r="AD21" s="56"/>
      <c r="AE21" s="56"/>
      <c r="AF21" s="56"/>
      <c r="AG21" s="56"/>
      <c r="AH21" s="56"/>
      <c r="AI21" s="56"/>
      <c r="AJ21" s="56"/>
      <c r="AK21" s="56"/>
      <c r="AL21" s="56"/>
      <c r="AM21" s="56"/>
      <c r="AN21" s="56"/>
      <c r="AO21" s="56"/>
      <c r="AP21" s="56"/>
      <c r="AQ21" s="56"/>
      <c r="AT21" s="26"/>
      <c r="AU21" s="31"/>
      <c r="AV21" s="77"/>
      <c r="AW21" s="77"/>
      <c r="AX21" s="77"/>
      <c r="AY21" s="77"/>
      <c r="AZ21" s="77"/>
      <c r="BA21" s="77"/>
      <c r="BB21" s="77"/>
      <c r="BC21" s="77"/>
      <c r="BD21" s="77"/>
      <c r="BE21" s="77"/>
      <c r="BF21" s="77"/>
      <c r="BG21" s="77"/>
      <c r="BH21" s="77"/>
      <c r="BI21" s="77"/>
      <c r="BJ21" s="77"/>
      <c r="BK21" s="77"/>
      <c r="BL21" s="77"/>
      <c r="BM21" s="116"/>
      <c r="BN21" s="26"/>
    </row>
    <row r="22" spans="1:66" ht="12.5" x14ac:dyDescent="0.25">
      <c r="A22" s="51"/>
      <c r="X22" s="29"/>
      <c r="Y22" s="56"/>
      <c r="Z22" s="56"/>
      <c r="AA22" s="56"/>
      <c r="AB22" s="56"/>
      <c r="AC22" s="56"/>
      <c r="AD22" s="56"/>
      <c r="AE22" s="56"/>
      <c r="AF22" s="56"/>
      <c r="AG22" s="56"/>
      <c r="AH22" s="56"/>
      <c r="AI22" s="56"/>
      <c r="AJ22" s="56"/>
      <c r="AK22" s="56"/>
      <c r="AL22" s="56"/>
      <c r="AM22" s="56"/>
      <c r="AN22" s="56"/>
      <c r="AO22" s="56"/>
      <c r="AP22" s="56"/>
      <c r="AQ22" s="56"/>
      <c r="AT22" s="26"/>
      <c r="AU22" s="31"/>
      <c r="AV22" s="77"/>
      <c r="AW22" s="77"/>
      <c r="AX22" s="77"/>
      <c r="AY22" s="77"/>
      <c r="AZ22" s="77"/>
      <c r="BA22" s="77"/>
      <c r="BB22" s="77"/>
      <c r="BC22" s="77"/>
      <c r="BD22" s="77"/>
      <c r="BE22" s="77"/>
      <c r="BF22" s="77"/>
      <c r="BG22" s="77"/>
      <c r="BH22" s="77"/>
      <c r="BI22" s="77"/>
      <c r="BJ22" s="77"/>
      <c r="BK22" s="77"/>
      <c r="BL22" s="77"/>
      <c r="BM22" s="116"/>
      <c r="BN22" s="26"/>
    </row>
    <row r="23" spans="1:66" ht="12.5" x14ac:dyDescent="0.25">
      <c r="A23" s="51"/>
      <c r="X23" s="29"/>
      <c r="Y23" s="56"/>
      <c r="Z23" s="56"/>
      <c r="AA23" s="56"/>
      <c r="AB23" s="56"/>
      <c r="AC23" s="56"/>
      <c r="AD23" s="56"/>
      <c r="AE23" s="56"/>
      <c r="AF23" s="56"/>
      <c r="AG23" s="56"/>
      <c r="AH23" s="56"/>
      <c r="AI23" s="56"/>
      <c r="AJ23" s="56"/>
      <c r="AK23" s="56"/>
      <c r="AL23" s="56"/>
      <c r="AM23" s="56"/>
      <c r="AN23" s="56"/>
      <c r="AO23" s="56"/>
      <c r="AP23" s="56"/>
      <c r="AQ23" s="56"/>
      <c r="AT23" s="26"/>
      <c r="AU23" s="31"/>
      <c r="AV23" s="77"/>
      <c r="AW23" s="77"/>
      <c r="AX23" s="77"/>
      <c r="AY23" s="77"/>
      <c r="AZ23" s="77"/>
      <c r="BA23" s="77"/>
      <c r="BB23" s="77"/>
      <c r="BC23" s="77"/>
      <c r="BD23" s="77"/>
      <c r="BE23" s="77"/>
      <c r="BF23" s="77"/>
      <c r="BG23" s="77"/>
      <c r="BH23" s="77"/>
      <c r="BI23" s="77"/>
      <c r="BJ23" s="77"/>
      <c r="BK23" s="77"/>
      <c r="BL23" s="77"/>
      <c r="BM23" s="116"/>
      <c r="BN23" s="26"/>
    </row>
    <row r="24" spans="1:66" ht="12.5" x14ac:dyDescent="0.25">
      <c r="A24" s="51"/>
      <c r="X24" s="29"/>
      <c r="Y24" s="56"/>
      <c r="Z24" s="56"/>
      <c r="AA24" s="56"/>
      <c r="AB24" s="56"/>
      <c r="AC24" s="56"/>
      <c r="AD24" s="56"/>
      <c r="AE24" s="56"/>
      <c r="AF24" s="56"/>
      <c r="AG24" s="56"/>
      <c r="AH24" s="56"/>
      <c r="AI24" s="56"/>
      <c r="AJ24" s="56"/>
      <c r="AK24" s="56"/>
      <c r="AL24" s="56"/>
      <c r="AM24" s="56"/>
      <c r="AN24" s="56"/>
      <c r="AO24" s="56"/>
      <c r="AP24" s="56"/>
      <c r="AQ24" s="56"/>
      <c r="AT24" s="26"/>
      <c r="AU24" s="31"/>
      <c r="AV24" s="77"/>
      <c r="AW24" s="77"/>
      <c r="AX24" s="77"/>
      <c r="AY24" s="77"/>
      <c r="AZ24" s="77"/>
      <c r="BA24" s="77"/>
      <c r="BB24" s="77"/>
      <c r="BC24" s="77"/>
      <c r="BD24" s="77"/>
      <c r="BE24" s="77"/>
      <c r="BF24" s="77"/>
      <c r="BG24" s="77"/>
      <c r="BH24" s="77"/>
      <c r="BI24" s="77"/>
      <c r="BJ24" s="77"/>
      <c r="BK24" s="77"/>
      <c r="BL24" s="77"/>
      <c r="BM24" s="116"/>
      <c r="BN24" s="26"/>
    </row>
    <row r="25" spans="1:66" ht="12.5" x14ac:dyDescent="0.25">
      <c r="A25" s="51"/>
      <c r="X25" s="29"/>
      <c r="Y25" s="56"/>
      <c r="Z25" s="56"/>
      <c r="AA25" s="56"/>
      <c r="AB25" s="56"/>
      <c r="AC25" s="56"/>
      <c r="AD25" s="56"/>
      <c r="AE25" s="56"/>
      <c r="AF25" s="56"/>
      <c r="AG25" s="56"/>
      <c r="AH25" s="56"/>
      <c r="AI25" s="56"/>
      <c r="AJ25" s="56"/>
      <c r="AK25" s="56"/>
      <c r="AL25" s="56"/>
      <c r="AM25" s="56"/>
      <c r="AN25" s="56"/>
      <c r="AO25" s="56"/>
      <c r="AP25" s="56"/>
      <c r="AQ25" s="56"/>
      <c r="AT25" s="26"/>
      <c r="AU25" s="31" t="s">
        <v>212</v>
      </c>
      <c r="AV25" s="77">
        <f>IFERROR(IF(Y27&gt;0,Y27,"x")/SUM($Y27:$AO27),"")*100</f>
        <v>1.680442573000565</v>
      </c>
      <c r="AW25" s="77">
        <f t="shared" ref="AW25:BL25" si="5">IFERROR(IF(Z27&gt;0,Z27,"x")/SUM($Y27:$AO27),"")*100</f>
        <v>7.7054521733735131</v>
      </c>
      <c r="AX25" s="77">
        <f t="shared" si="5"/>
        <v>1.0381818151328708</v>
      </c>
      <c r="AY25" s="77">
        <f t="shared" si="5"/>
        <v>3.3830205037135417</v>
      </c>
      <c r="AZ25" s="77">
        <f t="shared" si="5"/>
        <v>26.631015325381373</v>
      </c>
      <c r="BA25" s="77">
        <f t="shared" si="5"/>
        <v>4.7074527401728234</v>
      </c>
      <c r="BB25" s="77">
        <f t="shared" si="5"/>
        <v>14.075236739327654</v>
      </c>
      <c r="BC25" s="77">
        <f t="shared" si="5"/>
        <v>4.806055697255383</v>
      </c>
      <c r="BD25" s="77">
        <f t="shared" si="5"/>
        <v>1.7629470881104621</v>
      </c>
      <c r="BE25" s="77">
        <f t="shared" si="5"/>
        <v>0.93471578703773572</v>
      </c>
      <c r="BF25" s="77">
        <f t="shared" si="5"/>
        <v>8.952410657839355</v>
      </c>
      <c r="BG25" s="77">
        <f t="shared" si="5"/>
        <v>5.4176288001126895</v>
      </c>
      <c r="BH25" s="77">
        <f t="shared" si="5"/>
        <v>1.9539483944319511</v>
      </c>
      <c r="BI25" s="77">
        <f t="shared" si="5"/>
        <v>3.7445646796829277</v>
      </c>
      <c r="BJ25" s="77">
        <f t="shared" si="5"/>
        <v>7.8453073880110207</v>
      </c>
      <c r="BK25" s="77">
        <f t="shared" si="5"/>
        <v>3.3685989827796976</v>
      </c>
      <c r="BL25" s="77">
        <f t="shared" si="5"/>
        <v>1.9930206546364353</v>
      </c>
      <c r="BM25" s="116"/>
      <c r="BN25" s="26"/>
    </row>
    <row r="26" spans="1:66" ht="12.5" x14ac:dyDescent="0.25">
      <c r="X26" s="29"/>
      <c r="Y26" s="56"/>
      <c r="Z26" s="56"/>
      <c r="AA26" s="56"/>
      <c r="AB26" s="56"/>
      <c r="AC26" s="56"/>
      <c r="AD26" s="56"/>
      <c r="AE26" s="56"/>
      <c r="AF26" s="56"/>
      <c r="AG26" s="56"/>
      <c r="AH26" s="56"/>
      <c r="AI26" s="56"/>
      <c r="AJ26" s="56"/>
      <c r="AK26" s="56"/>
      <c r="AL26" s="56"/>
      <c r="AM26" s="56"/>
      <c r="AN26" s="56"/>
      <c r="AO26" s="56"/>
      <c r="AP26" s="56"/>
      <c r="AQ26" s="56"/>
      <c r="AT26" s="26"/>
      <c r="AU26" s="28"/>
      <c r="AV26" s="28"/>
      <c r="AW26" s="28"/>
      <c r="AX26" s="28"/>
      <c r="AY26" s="28"/>
      <c r="AZ26" s="28"/>
      <c r="BA26" s="28"/>
      <c r="BB26" s="28"/>
      <c r="BC26" s="28"/>
      <c r="BD26" s="28"/>
      <c r="BE26" s="28"/>
      <c r="BF26" s="28"/>
      <c r="BG26" s="28"/>
      <c r="BH26" s="28"/>
      <c r="BI26" s="28"/>
      <c r="BJ26" s="28"/>
      <c r="BK26" s="28"/>
      <c r="BL26" s="28"/>
      <c r="BM26" s="34"/>
      <c r="BN26" s="26"/>
    </row>
    <row r="27" spans="1:66" ht="12.5" x14ac:dyDescent="0.25">
      <c r="B27" s="117" t="str">
        <f>Tabel_1!B25</f>
        <v>Total</v>
      </c>
      <c r="C27" s="117">
        <f>Tabel_1!C25</f>
        <v>10021</v>
      </c>
      <c r="D27" s="117">
        <f>Tabel_1!D25</f>
        <v>45950</v>
      </c>
      <c r="E27" s="117">
        <f>Tabel_1!E25</f>
        <v>6191</v>
      </c>
      <c r="F27" s="117">
        <f>Tabel_1!F25</f>
        <v>20174</v>
      </c>
      <c r="G27" s="117">
        <f>Tabel_1!G25</f>
        <v>158809</v>
      </c>
      <c r="H27" s="117">
        <f>Tabel_1!H25</f>
        <v>28072</v>
      </c>
      <c r="I27" s="117">
        <f>Tabel_1!I25</f>
        <v>83935</v>
      </c>
      <c r="J27" s="117">
        <f>Tabel_1!J25</f>
        <v>28660</v>
      </c>
      <c r="K27" s="117">
        <f>Tabel_1!K25</f>
        <v>10513</v>
      </c>
      <c r="L27" s="117">
        <f>Tabel_1!L25</f>
        <v>5574</v>
      </c>
      <c r="M27" s="117">
        <f>Tabel_1!M25</f>
        <v>53386</v>
      </c>
      <c r="N27" s="117">
        <f>Tabel_1!N25</f>
        <v>32307</v>
      </c>
      <c r="O27" s="117">
        <f>Tabel_1!O25</f>
        <v>11652</v>
      </c>
      <c r="P27" s="117">
        <f>Tabel_1!P25</f>
        <v>22330</v>
      </c>
      <c r="Q27" s="117">
        <f>Tabel_1!Q25</f>
        <v>46784</v>
      </c>
      <c r="R27" s="117">
        <f>Tabel_1!R25</f>
        <v>20088</v>
      </c>
      <c r="S27" s="117">
        <f>Tabel_1!S25</f>
        <v>11885</v>
      </c>
      <c r="T27" s="117">
        <f>Tabel_1!T25</f>
        <v>147974</v>
      </c>
      <c r="U27" s="117">
        <f>Tabel_1!U25</f>
        <v>704347</v>
      </c>
      <c r="X27" s="29" t="s">
        <v>2</v>
      </c>
      <c r="Y27" s="56">
        <f t="shared" ref="Y27:AQ27" si="6">IFERROR(C27/1000,"")</f>
        <v>10.021000000000001</v>
      </c>
      <c r="Z27" s="56">
        <f t="shared" si="6"/>
        <v>45.95</v>
      </c>
      <c r="AA27" s="56">
        <f t="shared" si="6"/>
        <v>6.1909999999999998</v>
      </c>
      <c r="AB27" s="56">
        <f t="shared" si="6"/>
        <v>20.173999999999999</v>
      </c>
      <c r="AC27" s="56">
        <f t="shared" si="6"/>
        <v>158.809</v>
      </c>
      <c r="AD27" s="56">
        <f t="shared" si="6"/>
        <v>28.071999999999999</v>
      </c>
      <c r="AE27" s="56">
        <f t="shared" si="6"/>
        <v>83.935000000000002</v>
      </c>
      <c r="AF27" s="56">
        <f t="shared" si="6"/>
        <v>28.66</v>
      </c>
      <c r="AG27" s="56">
        <f t="shared" si="6"/>
        <v>10.513</v>
      </c>
      <c r="AH27" s="56">
        <f t="shared" si="6"/>
        <v>5.5739999999999998</v>
      </c>
      <c r="AI27" s="56">
        <f t="shared" si="6"/>
        <v>53.386000000000003</v>
      </c>
      <c r="AJ27" s="56">
        <f t="shared" si="6"/>
        <v>32.307000000000002</v>
      </c>
      <c r="AK27" s="56">
        <f t="shared" si="6"/>
        <v>11.651999999999999</v>
      </c>
      <c r="AL27" s="56">
        <f t="shared" si="6"/>
        <v>22.33</v>
      </c>
      <c r="AM27" s="56">
        <f t="shared" si="6"/>
        <v>46.783999999999999</v>
      </c>
      <c r="AN27" s="56">
        <f t="shared" si="6"/>
        <v>20.088000000000001</v>
      </c>
      <c r="AO27" s="56">
        <f t="shared" si="6"/>
        <v>11.885</v>
      </c>
      <c r="AP27" s="56">
        <f t="shared" si="6"/>
        <v>147.97399999999999</v>
      </c>
      <c r="AQ27" s="56">
        <f t="shared" si="6"/>
        <v>704.34699999999998</v>
      </c>
      <c r="AT27" s="24"/>
      <c r="AU27" s="28"/>
      <c r="AV27" s="58"/>
      <c r="AW27" s="58"/>
      <c r="AX27" s="58"/>
      <c r="AY27" s="58"/>
      <c r="AZ27" s="58"/>
      <c r="BA27" s="58"/>
      <c r="BB27" s="58"/>
      <c r="BC27" s="58"/>
      <c r="BD27" s="58"/>
      <c r="BE27" s="58"/>
      <c r="BF27" s="58"/>
      <c r="BG27" s="58"/>
      <c r="BH27" s="58"/>
      <c r="BI27" s="58"/>
      <c r="BJ27" s="58"/>
      <c r="BK27" s="58"/>
      <c r="BL27" s="58"/>
      <c r="BM27" s="59"/>
      <c r="BN27" s="59"/>
    </row>
    <row r="28" spans="1:66" ht="12.75" customHeight="1" x14ac:dyDescent="0.25">
      <c r="AT28" s="24"/>
      <c r="AU28" s="28"/>
      <c r="AV28" s="25"/>
      <c r="AW28" s="25"/>
      <c r="AX28" s="25"/>
      <c r="AY28" s="25"/>
      <c r="AZ28" s="25"/>
      <c r="BA28" s="25"/>
      <c r="BB28" s="25"/>
      <c r="BC28" s="25"/>
      <c r="BD28" s="25"/>
      <c r="BE28" s="25"/>
      <c r="BF28" s="25"/>
      <c r="BG28" s="25"/>
      <c r="BH28" s="25"/>
      <c r="BI28" s="25"/>
      <c r="BJ28" s="25"/>
      <c r="BK28" s="25"/>
      <c r="BL28" s="25"/>
      <c r="BM28" s="24"/>
      <c r="BN28" s="24"/>
    </row>
  </sheetData>
  <conditionalFormatting sqref="AV8:BL25">
    <cfRule type="cellIs" dxfId="2" priority="1" operator="greaterThan">
      <formula>20</formula>
    </cfRule>
    <cfRule type="colorScale" priority="2">
      <colorScale>
        <cfvo type="min"/>
        <cfvo type="max"/>
        <color rgb="FFFCFCFF"/>
        <color rgb="FF0070C0"/>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79295-BD57-488F-A909-E8CFAFDDCB87}">
  <dimension ref="A2:Z195"/>
  <sheetViews>
    <sheetView topLeftCell="A114" zoomScale="55" zoomScaleNormal="55" workbookViewId="0">
      <selection activeCell="Z56" sqref="Z56:Z88"/>
    </sheetView>
  </sheetViews>
  <sheetFormatPr defaultColWidth="9.1796875" defaultRowHeight="12.5" x14ac:dyDescent="0.25"/>
  <cols>
    <col min="1" max="1" width="23" style="60" bestFit="1" customWidth="1"/>
    <col min="2" max="2" width="8.453125" style="60" bestFit="1" customWidth="1"/>
    <col min="3" max="16384" width="9.1796875" style="60"/>
  </cols>
  <sheetData>
    <row r="2" spans="1:20" x14ac:dyDescent="0.25">
      <c r="A2" s="5" t="s">
        <v>187</v>
      </c>
    </row>
    <row r="3" spans="1:20" x14ac:dyDescent="0.25">
      <c r="B3" s="1"/>
      <c r="C3" s="1"/>
      <c r="D3" s="1"/>
      <c r="E3" s="1"/>
      <c r="F3" s="1"/>
      <c r="G3" s="1"/>
      <c r="H3" s="1"/>
      <c r="I3" s="1"/>
      <c r="J3" s="1"/>
      <c r="K3" s="1"/>
      <c r="L3" s="1"/>
      <c r="M3" s="1"/>
      <c r="N3" s="1"/>
      <c r="O3" s="1"/>
      <c r="P3" s="1"/>
      <c r="Q3" s="1"/>
      <c r="R3" s="61" t="s">
        <v>155</v>
      </c>
      <c r="S3" s="62"/>
      <c r="T3" s="62"/>
    </row>
    <row r="4" spans="1:20" ht="13" x14ac:dyDescent="0.3">
      <c r="A4" s="1"/>
      <c r="B4" s="17">
        <v>2011</v>
      </c>
      <c r="C4" s="17">
        <v>2012</v>
      </c>
      <c r="D4" s="17">
        <v>2013</v>
      </c>
      <c r="E4" s="17">
        <v>2014</v>
      </c>
      <c r="F4" s="17">
        <v>2015</v>
      </c>
      <c r="G4" s="17">
        <v>2016</v>
      </c>
      <c r="H4" s="17">
        <v>2017</v>
      </c>
      <c r="I4" s="17">
        <v>2018</v>
      </c>
      <c r="J4" s="17">
        <v>2019</v>
      </c>
      <c r="K4" s="17">
        <v>2020</v>
      </c>
      <c r="L4" s="17">
        <v>2021</v>
      </c>
      <c r="M4" s="17">
        <v>2022</v>
      </c>
      <c r="N4" s="17">
        <v>2023</v>
      </c>
      <c r="O4" s="17">
        <v>2024</v>
      </c>
      <c r="P4" s="17"/>
      <c r="R4" s="62"/>
      <c r="S4" s="30">
        <v>2011</v>
      </c>
      <c r="T4" s="30">
        <v>2024</v>
      </c>
    </row>
    <row r="5" spans="1:20" x14ac:dyDescent="0.25">
      <c r="A5" s="1" t="s">
        <v>146</v>
      </c>
      <c r="B5" s="2" t="e">
        <f>#REF!</f>
        <v>#REF!</v>
      </c>
      <c r="C5" s="2" t="e">
        <f>#REF!</f>
        <v>#REF!</v>
      </c>
      <c r="D5" s="2" t="e">
        <f>#REF!</f>
        <v>#REF!</v>
      </c>
      <c r="E5" s="2" t="e">
        <f>#REF!</f>
        <v>#REF!</v>
      </c>
      <c r="F5" s="2" t="e">
        <f>#REF!</f>
        <v>#REF!</v>
      </c>
      <c r="G5" s="2" t="e">
        <f>#REF!</f>
        <v>#REF!</v>
      </c>
      <c r="H5" s="2" t="e">
        <f>#REF!</f>
        <v>#REF!</v>
      </c>
      <c r="I5" s="2" t="e">
        <f>#REF!</f>
        <v>#REF!</v>
      </c>
      <c r="J5" s="2" t="e">
        <f>#REF!</f>
        <v>#REF!</v>
      </c>
      <c r="K5" s="2" t="e">
        <f>#REF!</f>
        <v>#REF!</v>
      </c>
      <c r="L5" s="2" t="e">
        <f>#REF!</f>
        <v>#REF!</v>
      </c>
      <c r="M5" s="2" t="e">
        <f>#REF!</f>
        <v>#REF!</v>
      </c>
      <c r="N5" s="2" t="e">
        <f>#REF!</f>
        <v>#REF!</v>
      </c>
      <c r="O5" s="2" t="e">
        <f>#REF!</f>
        <v>#REF!</v>
      </c>
      <c r="P5" s="11"/>
      <c r="R5" s="5" t="s">
        <v>146</v>
      </c>
      <c r="S5" s="63" t="e">
        <f>B5/1000</f>
        <v>#REF!</v>
      </c>
      <c r="T5" s="63" t="e">
        <f>O5/1000</f>
        <v>#REF!</v>
      </c>
    </row>
    <row r="6" spans="1:20" x14ac:dyDescent="0.25">
      <c r="A6" s="1" t="s">
        <v>147</v>
      </c>
      <c r="B6" s="2" t="e">
        <f>#REF!</f>
        <v>#REF!</v>
      </c>
      <c r="C6" s="2" t="e">
        <f>#REF!</f>
        <v>#REF!</v>
      </c>
      <c r="D6" s="2" t="e">
        <f>#REF!</f>
        <v>#REF!</v>
      </c>
      <c r="E6" s="2" t="e">
        <f>#REF!</f>
        <v>#REF!</v>
      </c>
      <c r="F6" s="2" t="e">
        <f>#REF!</f>
        <v>#REF!</v>
      </c>
      <c r="G6" s="2" t="e">
        <f>#REF!</f>
        <v>#REF!</v>
      </c>
      <c r="H6" s="2" t="e">
        <f>#REF!</f>
        <v>#REF!</v>
      </c>
      <c r="I6" s="2" t="e">
        <f>#REF!</f>
        <v>#REF!</v>
      </c>
      <c r="J6" s="2" t="e">
        <f>#REF!</f>
        <v>#REF!</v>
      </c>
      <c r="K6" s="2" t="e">
        <f>#REF!</f>
        <v>#REF!</v>
      </c>
      <c r="L6" s="2" t="e">
        <f>#REF!</f>
        <v>#REF!</v>
      </c>
      <c r="M6" s="2" t="e">
        <f>#REF!</f>
        <v>#REF!</v>
      </c>
      <c r="N6" s="2" t="e">
        <f>#REF!</f>
        <v>#REF!</v>
      </c>
      <c r="O6" s="2" t="e">
        <f>#REF!</f>
        <v>#REF!</v>
      </c>
      <c r="P6" s="11"/>
      <c r="R6" s="5" t="s">
        <v>147</v>
      </c>
      <c r="S6" s="63" t="e">
        <f t="shared" ref="S6:S13" si="0">B6/1000</f>
        <v>#REF!</v>
      </c>
      <c r="T6" s="63" t="e">
        <f t="shared" ref="T6:T13" si="1">O6/1000</f>
        <v>#REF!</v>
      </c>
    </row>
    <row r="7" spans="1:20" x14ac:dyDescent="0.25">
      <c r="A7" s="1" t="s">
        <v>148</v>
      </c>
      <c r="B7" s="2" t="e">
        <f>#REF!</f>
        <v>#REF!</v>
      </c>
      <c r="C7" s="2" t="e">
        <f>#REF!</f>
        <v>#REF!</v>
      </c>
      <c r="D7" s="2" t="e">
        <f>#REF!</f>
        <v>#REF!</v>
      </c>
      <c r="E7" s="2" t="e">
        <f>#REF!</f>
        <v>#REF!</v>
      </c>
      <c r="F7" s="2" t="e">
        <f>#REF!</f>
        <v>#REF!</v>
      </c>
      <c r="G7" s="2" t="e">
        <f>#REF!</f>
        <v>#REF!</v>
      </c>
      <c r="H7" s="2" t="e">
        <f>#REF!</f>
        <v>#REF!</v>
      </c>
      <c r="I7" s="2" t="e">
        <f>#REF!</f>
        <v>#REF!</v>
      </c>
      <c r="J7" s="2" t="e">
        <f>#REF!</f>
        <v>#REF!</v>
      </c>
      <c r="K7" s="2" t="e">
        <f>#REF!</f>
        <v>#REF!</v>
      </c>
      <c r="L7" s="2" t="e">
        <f>#REF!</f>
        <v>#REF!</v>
      </c>
      <c r="M7" s="2" t="e">
        <f>#REF!</f>
        <v>#REF!</v>
      </c>
      <c r="N7" s="2" t="e">
        <f>#REF!</f>
        <v>#REF!</v>
      </c>
      <c r="O7" s="2" t="e">
        <f>#REF!</f>
        <v>#REF!</v>
      </c>
      <c r="P7" s="11"/>
      <c r="R7" s="5" t="s">
        <v>148</v>
      </c>
      <c r="S7" s="63" t="e">
        <f t="shared" si="0"/>
        <v>#REF!</v>
      </c>
      <c r="T7" s="63" t="e">
        <f t="shared" si="1"/>
        <v>#REF!</v>
      </c>
    </row>
    <row r="8" spans="1:20" x14ac:dyDescent="0.25">
      <c r="A8" s="1" t="s">
        <v>149</v>
      </c>
      <c r="B8" s="2" t="e">
        <f>#REF!</f>
        <v>#REF!</v>
      </c>
      <c r="C8" s="2" t="e">
        <f>#REF!</f>
        <v>#REF!</v>
      </c>
      <c r="D8" s="2" t="e">
        <f>#REF!</f>
        <v>#REF!</v>
      </c>
      <c r="E8" s="2" t="e">
        <f>#REF!</f>
        <v>#REF!</v>
      </c>
      <c r="F8" s="2" t="e">
        <f>#REF!</f>
        <v>#REF!</v>
      </c>
      <c r="G8" s="2" t="e">
        <f>#REF!</f>
        <v>#REF!</v>
      </c>
      <c r="H8" s="2" t="e">
        <f>#REF!</f>
        <v>#REF!</v>
      </c>
      <c r="I8" s="2" t="e">
        <f>#REF!</f>
        <v>#REF!</v>
      </c>
      <c r="J8" s="2" t="e">
        <f>#REF!</f>
        <v>#REF!</v>
      </c>
      <c r="K8" s="2" t="e">
        <f>#REF!</f>
        <v>#REF!</v>
      </c>
      <c r="L8" s="2" t="e">
        <f>#REF!</f>
        <v>#REF!</v>
      </c>
      <c r="M8" s="2" t="e">
        <f>#REF!</f>
        <v>#REF!</v>
      </c>
      <c r="N8" s="2" t="e">
        <f>#REF!</f>
        <v>#REF!</v>
      </c>
      <c r="O8" s="2" t="e">
        <f>#REF!</f>
        <v>#REF!</v>
      </c>
      <c r="P8" s="11"/>
      <c r="R8" s="5" t="s">
        <v>215</v>
      </c>
      <c r="S8" s="63" t="e">
        <f t="shared" si="0"/>
        <v>#REF!</v>
      </c>
      <c r="T8" s="63" t="e">
        <f t="shared" si="1"/>
        <v>#REF!</v>
      </c>
    </row>
    <row r="9" spans="1:20" x14ac:dyDescent="0.25">
      <c r="A9" s="1" t="s">
        <v>150</v>
      </c>
      <c r="B9" s="2" t="e">
        <f>#REF!</f>
        <v>#REF!</v>
      </c>
      <c r="C9" s="2" t="e">
        <f>#REF!</f>
        <v>#REF!</v>
      </c>
      <c r="D9" s="2" t="e">
        <f>#REF!</f>
        <v>#REF!</v>
      </c>
      <c r="E9" s="2" t="e">
        <f>#REF!</f>
        <v>#REF!</v>
      </c>
      <c r="F9" s="2" t="e">
        <f>#REF!</f>
        <v>#REF!</v>
      </c>
      <c r="G9" s="2" t="e">
        <f>#REF!</f>
        <v>#REF!</v>
      </c>
      <c r="H9" s="2" t="e">
        <f>#REF!</f>
        <v>#REF!</v>
      </c>
      <c r="I9" s="2" t="e">
        <f>#REF!</f>
        <v>#REF!</v>
      </c>
      <c r="J9" s="2" t="e">
        <f>#REF!</f>
        <v>#REF!</v>
      </c>
      <c r="K9" s="2" t="e">
        <f>#REF!</f>
        <v>#REF!</v>
      </c>
      <c r="L9" s="2" t="e">
        <f>#REF!</f>
        <v>#REF!</v>
      </c>
      <c r="M9" s="2" t="e">
        <f>#REF!</f>
        <v>#REF!</v>
      </c>
      <c r="N9" s="2" t="e">
        <f>#REF!</f>
        <v>#REF!</v>
      </c>
      <c r="O9" s="2" t="e">
        <f>#REF!</f>
        <v>#REF!</v>
      </c>
      <c r="P9" s="11"/>
      <c r="R9" s="5" t="s">
        <v>150</v>
      </c>
      <c r="S9" s="63" t="e">
        <f t="shared" si="0"/>
        <v>#REF!</v>
      </c>
      <c r="T9" s="63" t="e">
        <f t="shared" si="1"/>
        <v>#REF!</v>
      </c>
    </row>
    <row r="10" spans="1:20" x14ac:dyDescent="0.25">
      <c r="A10" s="1" t="s">
        <v>151</v>
      </c>
      <c r="B10" s="2" t="e">
        <f>#REF!</f>
        <v>#REF!</v>
      </c>
      <c r="C10" s="2" t="e">
        <f>#REF!</f>
        <v>#REF!</v>
      </c>
      <c r="D10" s="2" t="e">
        <f>#REF!</f>
        <v>#REF!</v>
      </c>
      <c r="E10" s="2" t="e">
        <f>#REF!</f>
        <v>#REF!</v>
      </c>
      <c r="F10" s="2" t="e">
        <f>#REF!</f>
        <v>#REF!</v>
      </c>
      <c r="G10" s="2" t="e">
        <f>#REF!</f>
        <v>#REF!</v>
      </c>
      <c r="H10" s="2" t="e">
        <f>#REF!</f>
        <v>#REF!</v>
      </c>
      <c r="I10" s="2" t="e">
        <f>#REF!</f>
        <v>#REF!</v>
      </c>
      <c r="J10" s="2" t="e">
        <f>#REF!</f>
        <v>#REF!</v>
      </c>
      <c r="K10" s="2" t="e">
        <f>#REF!</f>
        <v>#REF!</v>
      </c>
      <c r="L10" s="2" t="e">
        <f>#REF!</f>
        <v>#REF!</v>
      </c>
      <c r="M10" s="2" t="e">
        <f>#REF!</f>
        <v>#REF!</v>
      </c>
      <c r="N10" s="2" t="e">
        <f>#REF!</f>
        <v>#REF!</v>
      </c>
      <c r="O10" s="2" t="e">
        <f>#REF!</f>
        <v>#REF!</v>
      </c>
      <c r="P10" s="11"/>
      <c r="R10" s="5" t="s">
        <v>151</v>
      </c>
      <c r="S10" s="63" t="e">
        <f t="shared" si="0"/>
        <v>#REF!</v>
      </c>
      <c r="T10" s="63" t="e">
        <f t="shared" si="1"/>
        <v>#REF!</v>
      </c>
    </row>
    <row r="11" spans="1:20" x14ac:dyDescent="0.25">
      <c r="A11" s="1" t="s">
        <v>153</v>
      </c>
      <c r="B11" s="2" t="e">
        <f>#REF!</f>
        <v>#REF!</v>
      </c>
      <c r="C11" s="2" t="e">
        <f>#REF!</f>
        <v>#REF!</v>
      </c>
      <c r="D11" s="2" t="e">
        <f>#REF!</f>
        <v>#REF!</v>
      </c>
      <c r="E11" s="2" t="e">
        <f>#REF!</f>
        <v>#REF!</v>
      </c>
      <c r="F11" s="2" t="e">
        <f>#REF!</f>
        <v>#REF!</v>
      </c>
      <c r="G11" s="2" t="e">
        <f>#REF!</f>
        <v>#REF!</v>
      </c>
      <c r="H11" s="2" t="e">
        <f>#REF!</f>
        <v>#REF!</v>
      </c>
      <c r="I11" s="2" t="e">
        <f>#REF!</f>
        <v>#REF!</v>
      </c>
      <c r="J11" s="2" t="e">
        <f>#REF!</f>
        <v>#REF!</v>
      </c>
      <c r="K11" s="2" t="e">
        <f>#REF!</f>
        <v>#REF!</v>
      </c>
      <c r="L11" s="2" t="e">
        <f>#REF!</f>
        <v>#REF!</v>
      </c>
      <c r="M11" s="2" t="e">
        <f>#REF!</f>
        <v>#REF!</v>
      </c>
      <c r="N11" s="2" t="e">
        <f>#REF!</f>
        <v>#REF!</v>
      </c>
      <c r="O11" s="2" t="e">
        <f>#REF!</f>
        <v>#REF!</v>
      </c>
      <c r="P11" s="11"/>
      <c r="R11" s="5" t="s">
        <v>153</v>
      </c>
      <c r="S11" s="63" t="e">
        <f t="shared" si="0"/>
        <v>#REF!</v>
      </c>
      <c r="T11" s="63" t="e">
        <f t="shared" si="1"/>
        <v>#REF!</v>
      </c>
    </row>
    <row r="12" spans="1:20" x14ac:dyDescent="0.25">
      <c r="A12" s="1" t="s">
        <v>152</v>
      </c>
      <c r="B12" s="2" t="e">
        <f>#REF!</f>
        <v>#REF!</v>
      </c>
      <c r="C12" s="2" t="e">
        <f>#REF!</f>
        <v>#REF!</v>
      </c>
      <c r="D12" s="2" t="e">
        <f>#REF!</f>
        <v>#REF!</v>
      </c>
      <c r="E12" s="2" t="e">
        <f>#REF!</f>
        <v>#REF!</v>
      </c>
      <c r="F12" s="2" t="e">
        <f>#REF!</f>
        <v>#REF!</v>
      </c>
      <c r="G12" s="2" t="e">
        <f>#REF!</f>
        <v>#REF!</v>
      </c>
      <c r="H12" s="2" t="e">
        <f>#REF!</f>
        <v>#REF!</v>
      </c>
      <c r="I12" s="2" t="e">
        <f>#REF!</f>
        <v>#REF!</v>
      </c>
      <c r="J12" s="2" t="e">
        <f>#REF!</f>
        <v>#REF!</v>
      </c>
      <c r="K12" s="2" t="e">
        <f>#REF!</f>
        <v>#REF!</v>
      </c>
      <c r="L12" s="2" t="e">
        <f>#REF!</f>
        <v>#REF!</v>
      </c>
      <c r="M12" s="2" t="e">
        <f>#REF!</f>
        <v>#REF!</v>
      </c>
      <c r="N12" s="2" t="e">
        <f>#REF!</f>
        <v>#REF!</v>
      </c>
      <c r="O12" s="2" t="e">
        <f>#REF!</f>
        <v>#REF!</v>
      </c>
      <c r="P12" s="11"/>
      <c r="R12" s="5" t="s">
        <v>152</v>
      </c>
      <c r="S12" s="63" t="e">
        <f t="shared" si="0"/>
        <v>#REF!</v>
      </c>
      <c r="T12" s="63" t="e">
        <f t="shared" si="1"/>
        <v>#REF!</v>
      </c>
    </row>
    <row r="13" spans="1:20" x14ac:dyDescent="0.25">
      <c r="A13" s="1" t="s">
        <v>154</v>
      </c>
      <c r="B13" s="2" t="e">
        <f>#REF!</f>
        <v>#REF!</v>
      </c>
      <c r="C13" s="2" t="e">
        <f>#REF!</f>
        <v>#REF!</v>
      </c>
      <c r="D13" s="2" t="e">
        <f>#REF!</f>
        <v>#REF!</v>
      </c>
      <c r="E13" s="2" t="e">
        <f>#REF!</f>
        <v>#REF!</v>
      </c>
      <c r="F13" s="2" t="e">
        <f>#REF!</f>
        <v>#REF!</v>
      </c>
      <c r="G13" s="2" t="e">
        <f>#REF!</f>
        <v>#REF!</v>
      </c>
      <c r="H13" s="2" t="e">
        <f>#REF!</f>
        <v>#REF!</v>
      </c>
      <c r="I13" s="2" t="e">
        <f>#REF!</f>
        <v>#REF!</v>
      </c>
      <c r="J13" s="2" t="e">
        <f>#REF!</f>
        <v>#REF!</v>
      </c>
      <c r="K13" s="2" t="e">
        <f>#REF!</f>
        <v>#REF!</v>
      </c>
      <c r="L13" s="2" t="e">
        <f>#REF!</f>
        <v>#REF!</v>
      </c>
      <c r="M13" s="2" t="e">
        <f>#REF!</f>
        <v>#REF!</v>
      </c>
      <c r="N13" s="2" t="e">
        <f>#REF!</f>
        <v>#REF!</v>
      </c>
      <c r="O13" s="2" t="e">
        <f>#REF!</f>
        <v>#REF!</v>
      </c>
      <c r="P13" s="11"/>
      <c r="R13" s="5" t="s">
        <v>154</v>
      </c>
      <c r="S13" s="63" t="e">
        <f t="shared" si="0"/>
        <v>#REF!</v>
      </c>
      <c r="T13" s="63" t="e">
        <f t="shared" si="1"/>
        <v>#REF!</v>
      </c>
    </row>
    <row r="14" spans="1:20" x14ac:dyDescent="0.25">
      <c r="A14" s="1"/>
      <c r="B14" s="11"/>
      <c r="C14" s="11"/>
      <c r="D14" s="11"/>
      <c r="E14" s="11"/>
      <c r="F14" s="11"/>
      <c r="G14" s="11"/>
      <c r="H14" s="11"/>
      <c r="I14" s="11"/>
      <c r="J14" s="11"/>
      <c r="K14" s="11"/>
      <c r="L14" s="11"/>
      <c r="M14" s="11"/>
      <c r="N14" s="11"/>
      <c r="O14" s="11"/>
      <c r="P14" s="11"/>
      <c r="R14" s="5"/>
      <c r="S14" s="63"/>
      <c r="T14" s="63"/>
    </row>
    <row r="15" spans="1:20" x14ac:dyDescent="0.25">
      <c r="A15" s="1"/>
      <c r="B15" s="11"/>
      <c r="C15" s="11"/>
      <c r="D15" s="11"/>
      <c r="E15" s="11"/>
      <c r="F15" s="11"/>
      <c r="G15" s="11"/>
      <c r="H15" s="11"/>
      <c r="I15" s="11"/>
      <c r="J15" s="11"/>
      <c r="K15" s="11"/>
      <c r="L15" s="11"/>
      <c r="M15" s="11"/>
      <c r="N15" s="11"/>
      <c r="O15" s="11"/>
      <c r="P15" s="11"/>
      <c r="R15" s="5"/>
      <c r="S15" s="63"/>
      <c r="T15" s="63"/>
    </row>
    <row r="16" spans="1:20" x14ac:dyDescent="0.25">
      <c r="A16" s="1"/>
      <c r="B16" s="11"/>
      <c r="C16" s="11"/>
      <c r="D16" s="11"/>
      <c r="E16" s="11"/>
      <c r="F16" s="11"/>
      <c r="G16" s="11"/>
      <c r="H16" s="11"/>
      <c r="I16" s="11"/>
      <c r="J16" s="11"/>
      <c r="K16" s="11"/>
      <c r="L16" s="11"/>
      <c r="M16" s="11"/>
      <c r="N16" s="11"/>
      <c r="O16" s="11"/>
      <c r="P16" s="11"/>
      <c r="R16" s="5"/>
      <c r="S16" s="63"/>
      <c r="T16" s="63"/>
    </row>
    <row r="17" spans="1:20" x14ac:dyDescent="0.25">
      <c r="A17" s="1"/>
      <c r="B17" s="11"/>
      <c r="C17" s="11"/>
      <c r="D17" s="11"/>
      <c r="E17" s="11"/>
      <c r="F17" s="11"/>
      <c r="G17" s="11"/>
      <c r="H17" s="11"/>
      <c r="I17" s="11"/>
      <c r="J17" s="11"/>
      <c r="K17" s="11"/>
      <c r="L17" s="11"/>
      <c r="M17" s="11"/>
      <c r="N17" s="11"/>
      <c r="O17" s="11"/>
      <c r="P17" s="11"/>
      <c r="R17" s="5"/>
      <c r="S17" s="63"/>
      <c r="T17" s="63"/>
    </row>
    <row r="18" spans="1:20" x14ac:dyDescent="0.25">
      <c r="A18" s="1"/>
      <c r="B18" s="11"/>
      <c r="C18" s="11"/>
      <c r="D18" s="11"/>
      <c r="E18" s="11"/>
      <c r="F18" s="11"/>
      <c r="G18" s="11"/>
      <c r="H18" s="11"/>
      <c r="I18" s="11"/>
      <c r="J18" s="11"/>
      <c r="K18" s="11"/>
      <c r="L18" s="11"/>
      <c r="M18" s="11"/>
      <c r="N18" s="11"/>
      <c r="O18" s="11"/>
      <c r="P18" s="11"/>
      <c r="R18" s="5"/>
      <c r="S18" s="63"/>
      <c r="T18" s="63"/>
    </row>
    <row r="19" spans="1:20" x14ac:dyDescent="0.25">
      <c r="A19" s="1"/>
      <c r="B19" s="11"/>
      <c r="C19" s="11"/>
      <c r="D19" s="11"/>
      <c r="E19" s="11"/>
      <c r="F19" s="11"/>
      <c r="G19" s="11"/>
      <c r="H19" s="11"/>
      <c r="I19" s="11"/>
      <c r="J19" s="11"/>
      <c r="K19" s="11"/>
      <c r="L19" s="11"/>
      <c r="M19" s="11"/>
      <c r="N19" s="11"/>
      <c r="O19" s="11"/>
      <c r="P19" s="11"/>
      <c r="R19" s="5"/>
      <c r="S19" s="63"/>
      <c r="T19" s="63"/>
    </row>
    <row r="20" spans="1:20" x14ac:dyDescent="0.25">
      <c r="A20" s="1"/>
      <c r="B20" s="11"/>
      <c r="C20" s="11"/>
      <c r="D20" s="11"/>
      <c r="E20" s="11"/>
      <c r="F20" s="11"/>
      <c r="G20" s="11"/>
      <c r="H20" s="11"/>
      <c r="I20" s="11"/>
      <c r="J20" s="11"/>
      <c r="K20" s="11"/>
      <c r="L20" s="11"/>
      <c r="M20" s="11"/>
      <c r="N20" s="11"/>
      <c r="O20" s="11"/>
      <c r="P20" s="11"/>
      <c r="R20" s="5"/>
      <c r="S20" s="63"/>
      <c r="T20" s="63"/>
    </row>
    <row r="21" spans="1:20" x14ac:dyDescent="0.25">
      <c r="A21" s="1"/>
      <c r="B21" s="11"/>
      <c r="C21" s="11"/>
      <c r="D21" s="11"/>
      <c r="E21" s="11"/>
      <c r="F21" s="11"/>
      <c r="G21" s="11"/>
      <c r="H21" s="11"/>
      <c r="I21" s="11"/>
      <c r="J21" s="11"/>
      <c r="K21" s="11"/>
      <c r="L21" s="11"/>
      <c r="M21" s="11"/>
      <c r="N21" s="11"/>
      <c r="O21" s="11"/>
      <c r="P21" s="11"/>
      <c r="R21" s="5"/>
      <c r="S21" s="63"/>
      <c r="T21" s="63"/>
    </row>
    <row r="22" spans="1:20" x14ac:dyDescent="0.25">
      <c r="A22" s="1"/>
      <c r="B22" s="11"/>
      <c r="C22" s="11"/>
      <c r="D22" s="11"/>
      <c r="E22" s="11"/>
      <c r="F22" s="11"/>
      <c r="G22" s="11"/>
      <c r="H22" s="11"/>
      <c r="I22" s="11"/>
      <c r="J22" s="11"/>
      <c r="K22" s="11"/>
      <c r="L22" s="11"/>
      <c r="M22" s="11"/>
      <c r="N22" s="11"/>
      <c r="O22" s="11"/>
      <c r="P22" s="11"/>
      <c r="R22" s="5"/>
      <c r="S22" s="63"/>
      <c r="T22" s="63"/>
    </row>
    <row r="23" spans="1:20" x14ac:dyDescent="0.25">
      <c r="A23" s="1"/>
      <c r="B23" s="11"/>
      <c r="C23" s="11"/>
      <c r="D23" s="11"/>
      <c r="E23" s="11"/>
      <c r="F23" s="11"/>
      <c r="G23" s="11"/>
      <c r="H23" s="11"/>
      <c r="I23" s="11"/>
      <c r="J23" s="11"/>
      <c r="K23" s="11"/>
      <c r="L23" s="11"/>
      <c r="M23" s="11"/>
      <c r="N23" s="11"/>
      <c r="O23" s="11"/>
      <c r="P23" s="11"/>
      <c r="R23" s="5"/>
      <c r="S23" s="63"/>
      <c r="T23" s="63"/>
    </row>
    <row r="24" spans="1:20" x14ac:dyDescent="0.25">
      <c r="A24" s="1"/>
      <c r="B24" s="11"/>
      <c r="C24" s="11"/>
      <c r="D24" s="11"/>
      <c r="E24" s="11"/>
      <c r="F24" s="11"/>
      <c r="G24" s="11"/>
      <c r="H24" s="11"/>
      <c r="I24" s="11"/>
      <c r="J24" s="11"/>
      <c r="K24" s="11"/>
      <c r="L24" s="11"/>
      <c r="M24" s="11"/>
      <c r="N24" s="11"/>
      <c r="O24" s="11"/>
      <c r="P24" s="11"/>
      <c r="R24" s="5"/>
      <c r="S24" s="63"/>
      <c r="T24" s="63"/>
    </row>
    <row r="25" spans="1:20" x14ac:dyDescent="0.25">
      <c r="A25" s="1"/>
      <c r="B25" s="11"/>
      <c r="C25" s="11"/>
      <c r="D25" s="11"/>
      <c r="E25" s="11"/>
      <c r="F25" s="11"/>
      <c r="G25" s="11"/>
      <c r="H25" s="11"/>
      <c r="I25" s="11"/>
      <c r="J25" s="11"/>
      <c r="K25" s="11"/>
      <c r="L25" s="11"/>
      <c r="M25" s="11"/>
      <c r="N25" s="11"/>
      <c r="O25" s="11"/>
      <c r="P25" s="11"/>
      <c r="R25" s="5"/>
      <c r="S25" s="63"/>
      <c r="T25" s="63"/>
    </row>
    <row r="26" spans="1:20" x14ac:dyDescent="0.25">
      <c r="B26" s="11"/>
      <c r="C26" s="11"/>
      <c r="D26" s="11"/>
      <c r="E26" s="11"/>
      <c r="F26" s="11"/>
      <c r="G26" s="11"/>
      <c r="H26" s="11"/>
      <c r="I26" s="11"/>
      <c r="J26" s="11"/>
      <c r="K26" s="11"/>
      <c r="L26" s="11"/>
      <c r="M26" s="11"/>
      <c r="N26" s="11"/>
      <c r="O26" s="11"/>
      <c r="P26" s="11"/>
      <c r="R26" s="64"/>
      <c r="S26" s="63"/>
      <c r="T26" s="63"/>
    </row>
    <row r="28" spans="1:20" s="54" customFormat="1" x14ac:dyDescent="0.25"/>
    <row r="29" spans="1:20" s="54" customFormat="1" x14ac:dyDescent="0.25"/>
    <row r="30" spans="1:20" x14ac:dyDescent="0.25">
      <c r="A30" s="5" t="s">
        <v>33</v>
      </c>
    </row>
    <row r="32" spans="1:20" s="54" customFormat="1" x14ac:dyDescent="0.25">
      <c r="R32" s="62" t="s">
        <v>155</v>
      </c>
      <c r="S32" s="62"/>
      <c r="T32" s="62"/>
    </row>
    <row r="33" spans="1:20" s="54" customFormat="1" x14ac:dyDescent="0.25">
      <c r="B33" s="54" t="s">
        <v>34</v>
      </c>
      <c r="C33" s="54" t="s">
        <v>35</v>
      </c>
      <c r="D33" s="54" t="s">
        <v>2</v>
      </c>
      <c r="R33" s="62"/>
      <c r="S33" s="62" t="s">
        <v>34</v>
      </c>
      <c r="T33" s="62" t="s">
        <v>35</v>
      </c>
    </row>
    <row r="34" spans="1:20" s="54" customFormat="1" x14ac:dyDescent="0.25">
      <c r="A34" s="1" t="s">
        <v>146</v>
      </c>
      <c r="B34" s="54">
        <v>53519</v>
      </c>
      <c r="C34" s="54">
        <v>19562</v>
      </c>
      <c r="D34" s="54">
        <v>73081</v>
      </c>
      <c r="E34" s="54" t="e">
        <f>D34=O5</f>
        <v>#REF!</v>
      </c>
      <c r="R34" s="5" t="s">
        <v>146</v>
      </c>
      <c r="S34" s="8">
        <f t="shared" ref="S34:T42" si="2">B34/$D34</f>
        <v>0.73232440716465297</v>
      </c>
      <c r="T34" s="8">
        <f t="shared" si="2"/>
        <v>0.26767559283534709</v>
      </c>
    </row>
    <row r="35" spans="1:20" s="54" customFormat="1" x14ac:dyDescent="0.25">
      <c r="A35" s="1" t="s">
        <v>147</v>
      </c>
      <c r="B35" s="54">
        <v>127839</v>
      </c>
      <c r="C35" s="54">
        <v>29272</v>
      </c>
      <c r="D35" s="54">
        <v>157111</v>
      </c>
      <c r="E35" s="54" t="e">
        <f t="shared" ref="E35:E42" si="3">D35=O6</f>
        <v>#REF!</v>
      </c>
      <c r="R35" s="5" t="s">
        <v>147</v>
      </c>
      <c r="S35" s="8">
        <f t="shared" si="2"/>
        <v>0.81368586540725985</v>
      </c>
      <c r="T35" s="8">
        <f t="shared" si="2"/>
        <v>0.18631413459274015</v>
      </c>
    </row>
    <row r="36" spans="1:20" s="54" customFormat="1" x14ac:dyDescent="0.25">
      <c r="A36" s="1" t="s">
        <v>148</v>
      </c>
      <c r="B36" s="54">
        <v>190141</v>
      </c>
      <c r="C36" s="54">
        <v>69066</v>
      </c>
      <c r="D36" s="54">
        <v>259207</v>
      </c>
      <c r="E36" s="54" t="e">
        <f t="shared" si="3"/>
        <v>#REF!</v>
      </c>
      <c r="R36" s="5" t="s">
        <v>148</v>
      </c>
      <c r="S36" s="8">
        <f t="shared" si="2"/>
        <v>0.73354886249213946</v>
      </c>
      <c r="T36" s="8">
        <f t="shared" si="2"/>
        <v>0.26645113750786054</v>
      </c>
    </row>
    <row r="37" spans="1:20" s="54" customFormat="1" x14ac:dyDescent="0.25">
      <c r="A37" s="1" t="s">
        <v>149</v>
      </c>
      <c r="B37" s="54">
        <v>29397</v>
      </c>
      <c r="C37" s="54">
        <v>159790</v>
      </c>
      <c r="D37" s="54">
        <v>189187</v>
      </c>
      <c r="E37" s="54" t="e">
        <f t="shared" si="3"/>
        <v>#REF!</v>
      </c>
      <c r="R37" s="5" t="s">
        <v>215</v>
      </c>
      <c r="S37" s="8">
        <f t="shared" si="2"/>
        <v>0.15538594089445892</v>
      </c>
      <c r="T37" s="8">
        <f t="shared" si="2"/>
        <v>0.8446140591055411</v>
      </c>
    </row>
    <row r="38" spans="1:20" s="54" customFormat="1" x14ac:dyDescent="0.25">
      <c r="A38" s="1" t="s">
        <v>150</v>
      </c>
      <c r="B38" s="54">
        <v>73050</v>
      </c>
      <c r="C38" s="54">
        <v>110901</v>
      </c>
      <c r="D38" s="54">
        <v>183951</v>
      </c>
      <c r="E38" s="54" t="e">
        <f t="shared" si="3"/>
        <v>#REF!</v>
      </c>
      <c r="R38" s="5" t="s">
        <v>150</v>
      </c>
      <c r="S38" s="8">
        <f t="shared" si="2"/>
        <v>0.3971166234486358</v>
      </c>
      <c r="T38" s="8">
        <f t="shared" si="2"/>
        <v>0.60288337655136426</v>
      </c>
    </row>
    <row r="39" spans="1:20" s="54" customFormat="1" x14ac:dyDescent="0.25">
      <c r="A39" s="1" t="s">
        <v>151</v>
      </c>
      <c r="B39" s="54">
        <v>110775</v>
      </c>
      <c r="C39" s="54">
        <v>446536</v>
      </c>
      <c r="D39" s="54">
        <v>557311</v>
      </c>
      <c r="E39" s="54" t="e">
        <f t="shared" si="3"/>
        <v>#REF!</v>
      </c>
      <c r="R39" s="5" t="s">
        <v>151</v>
      </c>
      <c r="S39" s="8">
        <f t="shared" si="2"/>
        <v>0.19876693623488501</v>
      </c>
      <c r="T39" s="8">
        <f t="shared" si="2"/>
        <v>0.80123306376511494</v>
      </c>
    </row>
    <row r="40" spans="1:20" s="54" customFormat="1" x14ac:dyDescent="0.25">
      <c r="A40" s="1" t="s">
        <v>153</v>
      </c>
      <c r="B40" s="54">
        <v>74612</v>
      </c>
      <c r="C40" s="54">
        <v>441578</v>
      </c>
      <c r="D40" s="54">
        <v>516190</v>
      </c>
      <c r="E40" s="54" t="e">
        <f t="shared" si="3"/>
        <v>#REF!</v>
      </c>
      <c r="R40" s="5" t="s">
        <v>153</v>
      </c>
      <c r="S40" s="8">
        <f t="shared" si="2"/>
        <v>0.14454367577829869</v>
      </c>
      <c r="T40" s="8">
        <f t="shared" si="2"/>
        <v>0.85545632422170126</v>
      </c>
    </row>
    <row r="41" spans="1:20" s="54" customFormat="1" x14ac:dyDescent="0.25">
      <c r="A41" s="1" t="s">
        <v>152</v>
      </c>
      <c r="B41" s="54">
        <v>12769</v>
      </c>
      <c r="C41" s="54">
        <v>147939</v>
      </c>
      <c r="D41" s="54">
        <v>160708</v>
      </c>
      <c r="E41" s="54" t="e">
        <f t="shared" si="3"/>
        <v>#REF!</v>
      </c>
      <c r="R41" s="5" t="s">
        <v>152</v>
      </c>
      <c r="S41" s="8">
        <f t="shared" si="2"/>
        <v>7.9454663115712976E-2</v>
      </c>
      <c r="T41" s="8">
        <f t="shared" si="2"/>
        <v>0.92054533688428708</v>
      </c>
    </row>
    <row r="42" spans="1:20" s="54" customFormat="1" x14ac:dyDescent="0.25">
      <c r="A42" s="1" t="s">
        <v>154</v>
      </c>
      <c r="B42" s="54">
        <v>6722</v>
      </c>
      <c r="C42" s="54">
        <v>112525</v>
      </c>
      <c r="D42" s="54">
        <v>119247</v>
      </c>
      <c r="E42" s="54" t="e">
        <f t="shared" si="3"/>
        <v>#REF!</v>
      </c>
      <c r="R42" s="5" t="s">
        <v>154</v>
      </c>
      <c r="S42" s="8">
        <f t="shared" si="2"/>
        <v>5.6370390869371977E-2</v>
      </c>
      <c r="T42" s="8">
        <f t="shared" si="2"/>
        <v>0.94362960913062799</v>
      </c>
    </row>
    <row r="43" spans="1:20" s="54" customFormat="1" x14ac:dyDescent="0.25">
      <c r="R43" s="5"/>
      <c r="S43" s="8"/>
      <c r="T43" s="8"/>
    </row>
    <row r="44" spans="1:20" s="54" customFormat="1" x14ac:dyDescent="0.25">
      <c r="A44" s="1"/>
      <c r="R44" s="5"/>
      <c r="S44" s="8"/>
      <c r="T44" s="8"/>
    </row>
    <row r="45" spans="1:20" s="54" customFormat="1" x14ac:dyDescent="0.25">
      <c r="A45" s="1"/>
      <c r="R45" s="5"/>
      <c r="S45" s="8"/>
      <c r="T45" s="8"/>
    </row>
    <row r="46" spans="1:20" s="54" customFormat="1" x14ac:dyDescent="0.25">
      <c r="A46" s="1"/>
      <c r="R46" s="5"/>
      <c r="S46" s="8"/>
      <c r="T46" s="8"/>
    </row>
    <row r="47" spans="1:20" s="54" customFormat="1" x14ac:dyDescent="0.25">
      <c r="A47" s="1"/>
      <c r="R47" s="5"/>
      <c r="S47" s="8"/>
      <c r="T47" s="8"/>
    </row>
    <row r="48" spans="1:20" s="54" customFormat="1" x14ac:dyDescent="0.25">
      <c r="A48" s="1"/>
      <c r="R48" s="5"/>
      <c r="S48" s="8"/>
      <c r="T48" s="8"/>
    </row>
    <row r="49" spans="1:26" s="54" customFormat="1" x14ac:dyDescent="0.25">
      <c r="A49" s="1"/>
      <c r="R49" s="5"/>
      <c r="S49" s="8"/>
      <c r="T49" s="8"/>
    </row>
    <row r="50" spans="1:26" s="54" customFormat="1" x14ac:dyDescent="0.25">
      <c r="A50" s="1"/>
      <c r="R50" s="5"/>
      <c r="S50" s="8"/>
      <c r="T50" s="8"/>
    </row>
    <row r="51" spans="1:26" s="54" customFormat="1" x14ac:dyDescent="0.25">
      <c r="A51" s="1"/>
      <c r="R51" s="5"/>
      <c r="S51" s="8"/>
      <c r="T51" s="8"/>
    </row>
    <row r="52" spans="1:26" s="54" customFormat="1" x14ac:dyDescent="0.25">
      <c r="A52" s="1"/>
      <c r="R52" s="5"/>
      <c r="S52" s="8"/>
      <c r="T52" s="8"/>
    </row>
    <row r="53" spans="1:26" s="54" customFormat="1" x14ac:dyDescent="0.25">
      <c r="A53" s="1"/>
      <c r="R53" s="5"/>
      <c r="S53" s="8"/>
      <c r="T53" s="8"/>
    </row>
    <row r="54" spans="1:26" s="54" customFormat="1" x14ac:dyDescent="0.25">
      <c r="A54" s="1"/>
      <c r="R54" s="5"/>
      <c r="S54" s="8"/>
      <c r="T54" s="8"/>
    </row>
    <row r="55" spans="1:26" s="54" customFormat="1" ht="12.75" customHeight="1" x14ac:dyDescent="0.25">
      <c r="A55" s="1"/>
      <c r="R55" s="64" t="s">
        <v>31</v>
      </c>
      <c r="S55" s="8">
        <f t="shared" ref="S55:T55" si="4">B56/$D56</f>
        <v>0.50809152640147881</v>
      </c>
      <c r="T55" s="8">
        <f t="shared" si="4"/>
        <v>0.49190847359852119</v>
      </c>
    </row>
    <row r="56" spans="1:26" s="54" customFormat="1" x14ac:dyDescent="0.25">
      <c r="A56" s="60" t="s">
        <v>52</v>
      </c>
      <c r="B56" s="54">
        <v>4197746</v>
      </c>
      <c r="C56" s="54">
        <v>4064045</v>
      </c>
      <c r="D56" s="54">
        <v>8261791</v>
      </c>
    </row>
    <row r="57" spans="1:26" x14ac:dyDescent="0.25">
      <c r="Z57" s="54"/>
    </row>
    <row r="58" spans="1:26" x14ac:dyDescent="0.25">
      <c r="Z58" s="54"/>
    </row>
    <row r="59" spans="1:26" x14ac:dyDescent="0.25">
      <c r="Z59" s="54"/>
    </row>
    <row r="60" spans="1:26" x14ac:dyDescent="0.25">
      <c r="B60" s="60" t="s">
        <v>39</v>
      </c>
      <c r="R60" s="62" t="s">
        <v>155</v>
      </c>
      <c r="S60" s="62"/>
      <c r="T60" s="62"/>
      <c r="U60" s="64"/>
      <c r="V60" s="64"/>
      <c r="W60" s="64"/>
      <c r="X60" s="64"/>
      <c r="Y60" s="64"/>
      <c r="Z60" s="54"/>
    </row>
    <row r="61" spans="1:26" x14ac:dyDescent="0.25">
      <c r="A61" s="54"/>
      <c r="B61" s="60" t="s">
        <v>40</v>
      </c>
      <c r="C61" s="60" t="s">
        <v>41</v>
      </c>
      <c r="D61" s="60" t="s">
        <v>42</v>
      </c>
      <c r="E61" s="60" t="s">
        <v>43</v>
      </c>
      <c r="F61" s="60" t="s">
        <v>44</v>
      </c>
      <c r="G61" s="60" t="s">
        <v>45</v>
      </c>
      <c r="H61" s="60" t="s">
        <v>2</v>
      </c>
      <c r="R61" s="62"/>
      <c r="S61" s="5" t="s">
        <v>40</v>
      </c>
      <c r="T61" s="5" t="s">
        <v>41</v>
      </c>
      <c r="U61" s="5" t="s">
        <v>42</v>
      </c>
      <c r="V61" s="5" t="s">
        <v>43</v>
      </c>
      <c r="W61" s="5" t="s">
        <v>44</v>
      </c>
      <c r="X61" s="5" t="s">
        <v>45</v>
      </c>
      <c r="Y61" s="64"/>
      <c r="Z61" s="54"/>
    </row>
    <row r="62" spans="1:26" x14ac:dyDescent="0.25">
      <c r="A62" s="1" t="s">
        <v>146</v>
      </c>
      <c r="B62" s="60">
        <v>2464</v>
      </c>
      <c r="C62" s="60">
        <v>15510</v>
      </c>
      <c r="D62" s="60">
        <v>16188</v>
      </c>
      <c r="E62" s="60">
        <v>17705</v>
      </c>
      <c r="F62" s="60">
        <v>19246</v>
      </c>
      <c r="G62" s="60">
        <v>1968</v>
      </c>
      <c r="H62" s="60">
        <v>73081</v>
      </c>
      <c r="I62" s="60" t="e">
        <f>H62=O5</f>
        <v>#REF!</v>
      </c>
      <c r="R62" s="5" t="s">
        <v>146</v>
      </c>
      <c r="S62" s="8">
        <f t="shared" ref="S62:X70" si="5">B62/$H62</f>
        <v>3.3716013738180922E-2</v>
      </c>
      <c r="T62" s="8">
        <f t="shared" si="5"/>
        <v>0.21223026504837098</v>
      </c>
      <c r="U62" s="8">
        <f t="shared" si="5"/>
        <v>0.22150764220522434</v>
      </c>
      <c r="V62" s="8">
        <f t="shared" si="5"/>
        <v>0.24226543150750537</v>
      </c>
      <c r="W62" s="8">
        <f t="shared" si="5"/>
        <v>0.26335162354100244</v>
      </c>
      <c r="X62" s="8">
        <f t="shared" si="5"/>
        <v>2.6929023959715932E-2</v>
      </c>
      <c r="Y62" s="64"/>
      <c r="Z62" s="54"/>
    </row>
    <row r="63" spans="1:26" x14ac:dyDescent="0.25">
      <c r="A63" s="1" t="s">
        <v>147</v>
      </c>
      <c r="B63" s="60">
        <v>8507</v>
      </c>
      <c r="C63" s="60">
        <v>37302</v>
      </c>
      <c r="D63" s="60">
        <v>36435</v>
      </c>
      <c r="E63" s="60">
        <v>35474</v>
      </c>
      <c r="F63" s="60">
        <v>34439</v>
      </c>
      <c r="G63" s="60">
        <v>4954</v>
      </c>
      <c r="H63" s="60">
        <v>157111</v>
      </c>
      <c r="I63" s="60" t="e">
        <f t="shared" ref="I63:I70" si="6">H63=O6</f>
        <v>#REF!</v>
      </c>
      <c r="R63" s="5" t="s">
        <v>147</v>
      </c>
      <c r="S63" s="8">
        <f t="shared" si="5"/>
        <v>5.4146431503841234E-2</v>
      </c>
      <c r="T63" s="8">
        <f t="shared" si="5"/>
        <v>0.23742449605692789</v>
      </c>
      <c r="U63" s="8">
        <f t="shared" si="5"/>
        <v>0.2319061046012055</v>
      </c>
      <c r="V63" s="8">
        <f t="shared" si="5"/>
        <v>0.22578941003494346</v>
      </c>
      <c r="W63" s="8">
        <f t="shared" si="5"/>
        <v>0.21920171089229906</v>
      </c>
      <c r="X63" s="8">
        <f t="shared" si="5"/>
        <v>3.1531846910782819E-2</v>
      </c>
      <c r="Y63" s="64"/>
      <c r="Z63" s="54"/>
    </row>
    <row r="64" spans="1:26" x14ac:dyDescent="0.25">
      <c r="A64" s="1" t="s">
        <v>148</v>
      </c>
      <c r="B64" s="60">
        <v>17465</v>
      </c>
      <c r="C64" s="60">
        <v>89854</v>
      </c>
      <c r="D64" s="60">
        <v>72489</v>
      </c>
      <c r="E64" s="60">
        <v>45669</v>
      </c>
      <c r="F64" s="60">
        <v>30166</v>
      </c>
      <c r="G64" s="60">
        <v>3564</v>
      </c>
      <c r="H64" s="60">
        <v>259207</v>
      </c>
      <c r="I64" s="60" t="e">
        <f t="shared" si="6"/>
        <v>#REF!</v>
      </c>
      <c r="R64" s="5" t="s">
        <v>148</v>
      </c>
      <c r="S64" s="8">
        <f t="shared" si="5"/>
        <v>6.7378581596947609E-2</v>
      </c>
      <c r="T64" s="8">
        <f t="shared" si="5"/>
        <v>0.34664958893857034</v>
      </c>
      <c r="U64" s="8">
        <f t="shared" si="5"/>
        <v>0.27965679939199173</v>
      </c>
      <c r="V64" s="8">
        <f t="shared" si="5"/>
        <v>0.17618737148302321</v>
      </c>
      <c r="W64" s="8">
        <f t="shared" si="5"/>
        <v>0.11637802991431559</v>
      </c>
      <c r="X64" s="8">
        <f t="shared" si="5"/>
        <v>1.374962867515152E-2</v>
      </c>
      <c r="Y64" s="64"/>
      <c r="Z64" s="54"/>
    </row>
    <row r="65" spans="1:26" x14ac:dyDescent="0.25">
      <c r="A65" s="1" t="s">
        <v>149</v>
      </c>
      <c r="B65" s="60">
        <v>11873</v>
      </c>
      <c r="C65" s="60">
        <v>40588</v>
      </c>
      <c r="D65" s="60">
        <v>52275</v>
      </c>
      <c r="E65" s="60">
        <v>42191</v>
      </c>
      <c r="F65" s="60">
        <v>35474</v>
      </c>
      <c r="G65" s="60">
        <v>6786</v>
      </c>
      <c r="H65" s="60">
        <v>189187</v>
      </c>
      <c r="I65" s="60" t="e">
        <f t="shared" si="6"/>
        <v>#REF!</v>
      </c>
      <c r="R65" s="5" t="s">
        <v>215</v>
      </c>
      <c r="S65" s="8">
        <f t="shared" si="5"/>
        <v>6.2758011914137865E-2</v>
      </c>
      <c r="T65" s="8">
        <f t="shared" si="5"/>
        <v>0.21453905395191</v>
      </c>
      <c r="U65" s="8">
        <f t="shared" si="5"/>
        <v>0.27631391163240604</v>
      </c>
      <c r="V65" s="8">
        <f t="shared" si="5"/>
        <v>0.22301215199775884</v>
      </c>
      <c r="W65" s="8">
        <f t="shared" si="5"/>
        <v>0.18750759830220892</v>
      </c>
      <c r="X65" s="8">
        <f t="shared" si="5"/>
        <v>3.5869272201578331E-2</v>
      </c>
      <c r="Y65" s="64"/>
      <c r="Z65" s="54"/>
    </row>
    <row r="66" spans="1:26" x14ac:dyDescent="0.25">
      <c r="A66" s="1" t="s">
        <v>150</v>
      </c>
      <c r="B66" s="60">
        <v>8920</v>
      </c>
      <c r="C66" s="60">
        <v>35680</v>
      </c>
      <c r="D66" s="60">
        <v>45043</v>
      </c>
      <c r="E66" s="60">
        <v>43518</v>
      </c>
      <c r="F66" s="60">
        <v>43226</v>
      </c>
      <c r="G66" s="60">
        <v>7564</v>
      </c>
      <c r="H66" s="60">
        <v>183951</v>
      </c>
      <c r="I66" s="60" t="e">
        <f t="shared" si="6"/>
        <v>#REF!</v>
      </c>
      <c r="R66" s="5" t="s">
        <v>150</v>
      </c>
      <c r="S66" s="8">
        <f t="shared" si="5"/>
        <v>4.8491174280107199E-2</v>
      </c>
      <c r="T66" s="8">
        <f t="shared" si="5"/>
        <v>0.1939646971204288</v>
      </c>
      <c r="U66" s="8">
        <f t="shared" si="5"/>
        <v>0.24486412142364</v>
      </c>
      <c r="V66" s="8">
        <f t="shared" si="5"/>
        <v>0.2365738702154378</v>
      </c>
      <c r="W66" s="8">
        <f t="shared" si="5"/>
        <v>0.23498649096770335</v>
      </c>
      <c r="X66" s="8">
        <f t="shared" si="5"/>
        <v>4.1119645992682835E-2</v>
      </c>
      <c r="Y66" s="64"/>
      <c r="Z66" s="54"/>
    </row>
    <row r="67" spans="1:26" x14ac:dyDescent="0.25">
      <c r="A67" s="1" t="s">
        <v>151</v>
      </c>
      <c r="B67" s="60">
        <v>45381</v>
      </c>
      <c r="C67" s="60">
        <v>144240</v>
      </c>
      <c r="D67" s="60">
        <v>120184</v>
      </c>
      <c r="E67" s="60">
        <v>110422</v>
      </c>
      <c r="F67" s="60">
        <v>118627</v>
      </c>
      <c r="G67" s="60">
        <v>18457</v>
      </c>
      <c r="H67" s="60">
        <v>557311</v>
      </c>
      <c r="I67" s="60" t="e">
        <f t="shared" si="6"/>
        <v>#REF!</v>
      </c>
      <c r="R67" s="5" t="s">
        <v>151</v>
      </c>
      <c r="S67" s="8">
        <f t="shared" si="5"/>
        <v>8.1428502218689386E-2</v>
      </c>
      <c r="T67" s="8">
        <f t="shared" si="5"/>
        <v>0.25881419889433366</v>
      </c>
      <c r="U67" s="8">
        <f t="shared" si="5"/>
        <v>0.21564978979420826</v>
      </c>
      <c r="V67" s="8">
        <f t="shared" si="5"/>
        <v>0.19813353764774067</v>
      </c>
      <c r="W67" s="8">
        <f t="shared" si="5"/>
        <v>0.21285601755572742</v>
      </c>
      <c r="X67" s="8">
        <f t="shared" si="5"/>
        <v>3.311795388930059E-2</v>
      </c>
      <c r="Y67" s="64"/>
      <c r="Z67" s="54"/>
    </row>
    <row r="68" spans="1:26" x14ac:dyDescent="0.25">
      <c r="A68" s="1" t="s">
        <v>153</v>
      </c>
      <c r="B68" s="60">
        <v>68423</v>
      </c>
      <c r="C68" s="60">
        <v>99437</v>
      </c>
      <c r="D68" s="60">
        <v>93733</v>
      </c>
      <c r="E68" s="60">
        <v>103832</v>
      </c>
      <c r="F68" s="60">
        <v>129812</v>
      </c>
      <c r="G68" s="60">
        <v>20953</v>
      </c>
      <c r="H68" s="60">
        <v>516190</v>
      </c>
      <c r="I68" s="60" t="e">
        <f t="shared" si="6"/>
        <v>#REF!</v>
      </c>
      <c r="R68" s="5" t="s">
        <v>153</v>
      </c>
      <c r="S68" s="8">
        <f t="shared" si="5"/>
        <v>0.13255390457002267</v>
      </c>
      <c r="T68" s="8">
        <f t="shared" si="5"/>
        <v>0.19263643232143204</v>
      </c>
      <c r="U68" s="8">
        <f t="shared" si="5"/>
        <v>0.18158623762568046</v>
      </c>
      <c r="V68" s="8">
        <f t="shared" si="5"/>
        <v>0.20115073906894748</v>
      </c>
      <c r="W68" s="8">
        <f t="shared" si="5"/>
        <v>0.25148104380170094</v>
      </c>
      <c r="X68" s="8">
        <f t="shared" si="5"/>
        <v>4.0591642612216434E-2</v>
      </c>
      <c r="Y68" s="64"/>
      <c r="Z68" s="54"/>
    </row>
    <row r="69" spans="1:26" x14ac:dyDescent="0.25">
      <c r="A69" s="1" t="s">
        <v>152</v>
      </c>
      <c r="B69" s="60">
        <v>20740</v>
      </c>
      <c r="C69" s="60">
        <v>24921</v>
      </c>
      <c r="D69" s="60">
        <v>28088</v>
      </c>
      <c r="E69" s="60">
        <v>33064</v>
      </c>
      <c r="F69" s="60">
        <v>45399</v>
      </c>
      <c r="G69" s="60">
        <v>8496</v>
      </c>
      <c r="H69" s="60">
        <v>160708</v>
      </c>
      <c r="I69" s="60" t="e">
        <f t="shared" si="6"/>
        <v>#REF!</v>
      </c>
      <c r="R69" s="5" t="s">
        <v>152</v>
      </c>
      <c r="S69" s="8">
        <f t="shared" si="5"/>
        <v>0.12905393633173209</v>
      </c>
      <c r="T69" s="8">
        <f t="shared" si="5"/>
        <v>0.15507006496254075</v>
      </c>
      <c r="U69" s="8">
        <f t="shared" si="5"/>
        <v>0.17477661348532741</v>
      </c>
      <c r="V69" s="8">
        <f t="shared" si="5"/>
        <v>0.20573960225999952</v>
      </c>
      <c r="W69" s="8">
        <f t="shared" si="5"/>
        <v>0.28249371530975431</v>
      </c>
      <c r="X69" s="8">
        <f t="shared" si="5"/>
        <v>5.2866067650645894E-2</v>
      </c>
      <c r="Y69" s="64"/>
      <c r="Z69" s="54"/>
    </row>
    <row r="70" spans="1:26" x14ac:dyDescent="0.25">
      <c r="A70" s="1" t="s">
        <v>154</v>
      </c>
      <c r="B70" s="60">
        <v>20618</v>
      </c>
      <c r="C70" s="60">
        <v>35144</v>
      </c>
      <c r="D70" s="60">
        <v>29851</v>
      </c>
      <c r="E70" s="60">
        <v>18670</v>
      </c>
      <c r="F70" s="60">
        <v>13010</v>
      </c>
      <c r="G70" s="60">
        <v>1954</v>
      </c>
      <c r="H70" s="60">
        <v>119247</v>
      </c>
      <c r="I70" s="60" t="e">
        <f t="shared" si="6"/>
        <v>#REF!</v>
      </c>
      <c r="R70" s="5" t="s">
        <v>154</v>
      </c>
      <c r="S70" s="8">
        <f t="shared" si="5"/>
        <v>0.17290162435952267</v>
      </c>
      <c r="T70" s="8">
        <f t="shared" si="5"/>
        <v>0.29471600962707656</v>
      </c>
      <c r="U70" s="8">
        <f t="shared" si="5"/>
        <v>0.25032914874168744</v>
      </c>
      <c r="V70" s="8">
        <f t="shared" si="5"/>
        <v>0.15656578362558388</v>
      </c>
      <c r="W70" s="8">
        <f t="shared" si="5"/>
        <v>0.1091012771809773</v>
      </c>
      <c r="X70" s="8">
        <f t="shared" si="5"/>
        <v>1.6386156465152162E-2</v>
      </c>
      <c r="Y70" s="64"/>
      <c r="Z70" s="54"/>
    </row>
    <row r="71" spans="1:26" x14ac:dyDescent="0.25">
      <c r="A71" s="1"/>
      <c r="R71" s="5"/>
      <c r="S71" s="8"/>
      <c r="T71" s="8"/>
      <c r="U71" s="8"/>
      <c r="V71" s="8"/>
      <c r="W71" s="8"/>
      <c r="X71" s="8"/>
      <c r="Y71" s="64"/>
      <c r="Z71" s="54"/>
    </row>
    <row r="72" spans="1:26" x14ac:dyDescent="0.25">
      <c r="A72" s="1"/>
      <c r="R72" s="5"/>
      <c r="S72" s="8"/>
      <c r="T72" s="8"/>
      <c r="U72" s="8"/>
      <c r="V72" s="8"/>
      <c r="W72" s="8"/>
      <c r="X72" s="8"/>
      <c r="Y72" s="64"/>
      <c r="Z72" s="54"/>
    </row>
    <row r="73" spans="1:26" x14ac:dyDescent="0.25">
      <c r="A73" s="1"/>
      <c r="R73" s="5"/>
      <c r="S73" s="8"/>
      <c r="T73" s="8"/>
      <c r="U73" s="8"/>
      <c r="V73" s="8"/>
      <c r="W73" s="8"/>
      <c r="X73" s="8"/>
      <c r="Y73" s="64"/>
      <c r="Z73" s="54"/>
    </row>
    <row r="74" spans="1:26" x14ac:dyDescent="0.25">
      <c r="A74" s="1"/>
      <c r="R74" s="5"/>
      <c r="S74" s="8"/>
      <c r="T74" s="8"/>
      <c r="U74" s="8"/>
      <c r="V74" s="8"/>
      <c r="W74" s="8"/>
      <c r="X74" s="8"/>
      <c r="Y74" s="64"/>
      <c r="Z74" s="54"/>
    </row>
    <row r="75" spans="1:26" x14ac:dyDescent="0.25">
      <c r="A75" s="1"/>
      <c r="R75" s="5"/>
      <c r="S75" s="8"/>
      <c r="T75" s="8"/>
      <c r="U75" s="8"/>
      <c r="V75" s="8"/>
      <c r="W75" s="8"/>
      <c r="X75" s="8"/>
      <c r="Y75" s="64"/>
      <c r="Z75" s="54"/>
    </row>
    <row r="76" spans="1:26" x14ac:dyDescent="0.25">
      <c r="A76" s="1"/>
      <c r="R76" s="5"/>
      <c r="S76" s="8"/>
      <c r="T76" s="8"/>
      <c r="U76" s="8"/>
      <c r="V76" s="8"/>
      <c r="W76" s="8"/>
      <c r="X76" s="8"/>
      <c r="Y76" s="64"/>
      <c r="Z76" s="54"/>
    </row>
    <row r="77" spans="1:26" x14ac:dyDescent="0.25">
      <c r="A77" s="1"/>
      <c r="R77" s="5"/>
      <c r="S77" s="8"/>
      <c r="T77" s="8"/>
      <c r="U77" s="8"/>
      <c r="V77" s="8"/>
      <c r="W77" s="8"/>
      <c r="X77" s="8"/>
      <c r="Y77" s="64"/>
      <c r="Z77" s="54"/>
    </row>
    <row r="78" spans="1:26" x14ac:dyDescent="0.25">
      <c r="A78" s="1"/>
      <c r="R78" s="5"/>
      <c r="S78" s="8"/>
      <c r="T78" s="8"/>
      <c r="U78" s="8"/>
      <c r="V78" s="8"/>
      <c r="W78" s="8"/>
      <c r="X78" s="8"/>
      <c r="Y78" s="64"/>
      <c r="Z78" s="54"/>
    </row>
    <row r="79" spans="1:26" x14ac:dyDescent="0.25">
      <c r="A79" s="1"/>
      <c r="R79" s="5"/>
      <c r="S79" s="8"/>
      <c r="T79" s="8"/>
      <c r="U79" s="8"/>
      <c r="V79" s="8"/>
      <c r="W79" s="8"/>
      <c r="X79" s="8"/>
      <c r="Y79" s="64"/>
      <c r="Z79" s="54"/>
    </row>
    <row r="80" spans="1:26" x14ac:dyDescent="0.25">
      <c r="A80" s="1"/>
      <c r="R80" s="5"/>
      <c r="S80" s="8"/>
      <c r="T80" s="8"/>
      <c r="U80" s="8"/>
      <c r="V80" s="8"/>
      <c r="W80" s="8"/>
      <c r="X80" s="8"/>
      <c r="Y80" s="64"/>
      <c r="Z80" s="54"/>
    </row>
    <row r="81" spans="1:26" x14ac:dyDescent="0.25">
      <c r="A81" s="1"/>
      <c r="R81" s="5"/>
      <c r="S81" s="8"/>
      <c r="T81" s="8"/>
      <c r="U81" s="8"/>
      <c r="V81" s="8"/>
      <c r="W81" s="8"/>
      <c r="X81" s="8"/>
      <c r="Y81" s="64"/>
      <c r="Z81" s="54"/>
    </row>
    <row r="82" spans="1:26" x14ac:dyDescent="0.25">
      <c r="A82" s="1"/>
      <c r="R82" s="5"/>
      <c r="S82" s="8"/>
      <c r="T82" s="8"/>
      <c r="U82" s="8"/>
      <c r="V82" s="8"/>
      <c r="W82" s="8"/>
      <c r="X82" s="8"/>
      <c r="Y82" s="64"/>
      <c r="Z82" s="54"/>
    </row>
    <row r="83" spans="1:26" x14ac:dyDescent="0.25">
      <c r="A83" s="60" t="s">
        <v>52</v>
      </c>
      <c r="B83" s="60">
        <v>1454662</v>
      </c>
      <c r="C83" s="60">
        <v>1863059</v>
      </c>
      <c r="D83" s="60">
        <v>1620052</v>
      </c>
      <c r="E83" s="60">
        <v>1547682</v>
      </c>
      <c r="F83" s="60">
        <v>1501990</v>
      </c>
      <c r="G83" s="60">
        <v>274346</v>
      </c>
      <c r="H83" s="60">
        <v>8261791</v>
      </c>
      <c r="R83" s="64" t="s">
        <v>31</v>
      </c>
      <c r="S83" s="8">
        <f t="shared" ref="S83:X83" si="7">B83/$H83</f>
        <v>0.17607102382522144</v>
      </c>
      <c r="T83" s="8">
        <f t="shared" si="7"/>
        <v>0.22550304165283291</v>
      </c>
      <c r="U83" s="8">
        <f t="shared" si="7"/>
        <v>0.19608968563838033</v>
      </c>
      <c r="V83" s="8">
        <f t="shared" si="7"/>
        <v>0.18733008375544721</v>
      </c>
      <c r="W83" s="8">
        <f t="shared" si="7"/>
        <v>0.18179956379918108</v>
      </c>
      <c r="X83" s="8">
        <f t="shared" si="7"/>
        <v>3.3206601328937033E-2</v>
      </c>
      <c r="Y83" s="64"/>
      <c r="Z83" s="54"/>
    </row>
    <row r="84" spans="1:26" x14ac:dyDescent="0.25">
      <c r="Z84" s="54"/>
    </row>
    <row r="85" spans="1:26" x14ac:dyDescent="0.25">
      <c r="Z85" s="54"/>
    </row>
    <row r="86" spans="1:26" x14ac:dyDescent="0.25">
      <c r="Z86" s="54"/>
    </row>
    <row r="87" spans="1:26" x14ac:dyDescent="0.25">
      <c r="Z87" s="54"/>
    </row>
    <row r="88" spans="1:26" x14ac:dyDescent="0.25">
      <c r="A88" s="54"/>
      <c r="B88" s="60" t="s">
        <v>46</v>
      </c>
      <c r="R88" s="62" t="s">
        <v>155</v>
      </c>
      <c r="S88" s="62"/>
      <c r="T88" s="62"/>
      <c r="U88" s="64"/>
      <c r="V88" s="64"/>
      <c r="W88" s="64"/>
      <c r="X88" s="64"/>
      <c r="Z88" s="54"/>
    </row>
    <row r="89" spans="1:26" ht="13" x14ac:dyDescent="0.3">
      <c r="A89" s="54"/>
      <c r="B89" s="60" t="s">
        <v>47</v>
      </c>
      <c r="C89" s="60" t="s">
        <v>48</v>
      </c>
      <c r="D89" s="60" t="s">
        <v>49</v>
      </c>
      <c r="E89" s="60" t="s">
        <v>50</v>
      </c>
      <c r="F89" s="60" t="s">
        <v>23</v>
      </c>
      <c r="G89" s="60" t="s">
        <v>2</v>
      </c>
      <c r="R89" s="62"/>
      <c r="S89" s="5" t="s">
        <v>164</v>
      </c>
      <c r="T89" s="5" t="s">
        <v>165</v>
      </c>
      <c r="U89" s="5" t="s">
        <v>167</v>
      </c>
      <c r="V89" s="5" t="s">
        <v>166</v>
      </c>
      <c r="W89" s="7" t="s">
        <v>51</v>
      </c>
      <c r="X89" s="5"/>
    </row>
    <row r="90" spans="1:26" ht="13" x14ac:dyDescent="0.3">
      <c r="A90" s="1" t="s">
        <v>146</v>
      </c>
      <c r="B90" s="60">
        <v>4640</v>
      </c>
      <c r="C90" s="60">
        <v>22211</v>
      </c>
      <c r="D90" s="60">
        <v>13414</v>
      </c>
      <c r="E90" s="60">
        <v>10669</v>
      </c>
      <c r="F90" s="60">
        <v>22147</v>
      </c>
      <c r="G90" s="60">
        <v>73081</v>
      </c>
      <c r="H90" s="66">
        <f>SUM(B90:E90)</f>
        <v>50934</v>
      </c>
      <c r="I90" s="60" t="e">
        <f>G90=O5</f>
        <v>#REF!</v>
      </c>
      <c r="R90" s="5" t="s">
        <v>146</v>
      </c>
      <c r="S90" s="8">
        <f t="shared" ref="S90:V98" si="8">B90/$H90</f>
        <v>9.1098284053873643E-2</v>
      </c>
      <c r="T90" s="8">
        <f t="shared" si="8"/>
        <v>0.43607413515529903</v>
      </c>
      <c r="U90" s="8">
        <f t="shared" si="8"/>
        <v>0.26336042721953901</v>
      </c>
      <c r="V90" s="8">
        <f t="shared" si="8"/>
        <v>0.20946715357128834</v>
      </c>
      <c r="W90" s="65">
        <f t="shared" ref="W90:W98" si="9">F90/G90</f>
        <v>0.30304730367674226</v>
      </c>
      <c r="X90" s="8"/>
    </row>
    <row r="91" spans="1:26" ht="13" x14ac:dyDescent="0.3">
      <c r="A91" s="1" t="s">
        <v>147</v>
      </c>
      <c r="B91" s="60">
        <v>11652</v>
      </c>
      <c r="C91" s="60">
        <v>41220</v>
      </c>
      <c r="D91" s="60">
        <v>32795</v>
      </c>
      <c r="E91" s="60">
        <v>24461</v>
      </c>
      <c r="F91" s="60">
        <v>46983</v>
      </c>
      <c r="G91" s="60">
        <v>157111</v>
      </c>
      <c r="H91" s="66">
        <f t="shared" ref="H91:H111" si="10">SUM(B91:E91)</f>
        <v>110128</v>
      </c>
      <c r="I91" s="60" t="e">
        <f t="shared" ref="I91:I98" si="11">G91=O6</f>
        <v>#REF!</v>
      </c>
      <c r="R91" s="5" t="s">
        <v>147</v>
      </c>
      <c r="S91" s="8">
        <f t="shared" si="8"/>
        <v>0.10580415516489902</v>
      </c>
      <c r="T91" s="8">
        <f t="shared" si="8"/>
        <v>0.37429173325584775</v>
      </c>
      <c r="U91" s="8">
        <f t="shared" si="8"/>
        <v>0.29778984454453</v>
      </c>
      <c r="V91" s="8">
        <f t="shared" si="8"/>
        <v>0.22211426703472323</v>
      </c>
      <c r="W91" s="65">
        <f t="shared" si="9"/>
        <v>0.2990433515158073</v>
      </c>
      <c r="X91" s="8"/>
    </row>
    <row r="92" spans="1:26" ht="13" x14ac:dyDescent="0.3">
      <c r="A92" s="1" t="s">
        <v>148</v>
      </c>
      <c r="B92" s="60">
        <v>7589</v>
      </c>
      <c r="C92" s="60">
        <v>55866</v>
      </c>
      <c r="D92" s="60">
        <v>78646</v>
      </c>
      <c r="E92" s="60">
        <v>54109</v>
      </c>
      <c r="F92" s="60">
        <v>62997</v>
      </c>
      <c r="G92" s="60">
        <v>259207</v>
      </c>
      <c r="H92" s="66">
        <f t="shared" si="10"/>
        <v>196210</v>
      </c>
      <c r="I92" s="60" t="e">
        <f t="shared" si="11"/>
        <v>#REF!</v>
      </c>
      <c r="R92" s="5" t="s">
        <v>148</v>
      </c>
      <c r="S92" s="8">
        <f t="shared" si="8"/>
        <v>3.8677947097497577E-2</v>
      </c>
      <c r="T92" s="8">
        <f t="shared" si="8"/>
        <v>0.28472554915651599</v>
      </c>
      <c r="U92" s="8">
        <f t="shared" si="8"/>
        <v>0.40082564599153969</v>
      </c>
      <c r="V92" s="8">
        <f t="shared" si="8"/>
        <v>0.27577085775444676</v>
      </c>
      <c r="W92" s="65">
        <f t="shared" si="9"/>
        <v>0.24303741797096529</v>
      </c>
      <c r="X92" s="8"/>
    </row>
    <row r="93" spans="1:26" ht="13" x14ac:dyDescent="0.3">
      <c r="A93" s="1" t="s">
        <v>149</v>
      </c>
      <c r="B93" s="60">
        <v>2945</v>
      </c>
      <c r="C93" s="60">
        <v>28009</v>
      </c>
      <c r="D93" s="60">
        <v>91668</v>
      </c>
      <c r="E93" s="60">
        <v>47467</v>
      </c>
      <c r="F93" s="60">
        <v>19098</v>
      </c>
      <c r="G93" s="60">
        <v>189187</v>
      </c>
      <c r="H93" s="66">
        <f t="shared" si="10"/>
        <v>170089</v>
      </c>
      <c r="I93" s="60" t="e">
        <f t="shared" si="11"/>
        <v>#REF!</v>
      </c>
      <c r="R93" s="5" t="s">
        <v>215</v>
      </c>
      <c r="S93" s="8">
        <f t="shared" si="8"/>
        <v>1.7314464780203306E-2</v>
      </c>
      <c r="T93" s="8">
        <f t="shared" si="8"/>
        <v>0.16467261257341745</v>
      </c>
      <c r="U93" s="8">
        <f t="shared" si="8"/>
        <v>0.53894137774929596</v>
      </c>
      <c r="V93" s="8">
        <f t="shared" si="8"/>
        <v>0.2790715448970833</v>
      </c>
      <c r="W93" s="65">
        <f t="shared" si="9"/>
        <v>0.10094773953812894</v>
      </c>
      <c r="X93" s="8"/>
    </row>
    <row r="94" spans="1:26" ht="13" x14ac:dyDescent="0.3">
      <c r="A94" s="1" t="s">
        <v>150</v>
      </c>
      <c r="B94" s="60">
        <v>5720</v>
      </c>
      <c r="C94" s="60">
        <v>29960</v>
      </c>
      <c r="D94" s="60">
        <v>77739</v>
      </c>
      <c r="E94" s="60">
        <v>50571</v>
      </c>
      <c r="F94" s="60">
        <v>19961</v>
      </c>
      <c r="G94" s="60">
        <v>183951</v>
      </c>
      <c r="H94" s="66">
        <f t="shared" si="10"/>
        <v>163990</v>
      </c>
      <c r="I94" s="60" t="e">
        <f t="shared" si="11"/>
        <v>#REF!</v>
      </c>
      <c r="R94" s="5" t="s">
        <v>150</v>
      </c>
      <c r="S94" s="8">
        <f t="shared" si="8"/>
        <v>3.4880175620464665E-2</v>
      </c>
      <c r="T94" s="8">
        <f t="shared" si="8"/>
        <v>0.18269406671138483</v>
      </c>
      <c r="U94" s="8">
        <f t="shared" si="8"/>
        <v>0.47404719799987804</v>
      </c>
      <c r="V94" s="8">
        <f t="shared" si="8"/>
        <v>0.30837855966827243</v>
      </c>
      <c r="W94" s="65">
        <f t="shared" si="9"/>
        <v>0.10851259302749101</v>
      </c>
      <c r="X94" s="8"/>
    </row>
    <row r="95" spans="1:26" ht="13" x14ac:dyDescent="0.3">
      <c r="A95" s="1" t="s">
        <v>151</v>
      </c>
      <c r="B95" s="60">
        <v>21679</v>
      </c>
      <c r="C95" s="60">
        <v>156672</v>
      </c>
      <c r="D95" s="60">
        <v>154409</v>
      </c>
      <c r="E95" s="60">
        <v>122007</v>
      </c>
      <c r="F95" s="60">
        <v>102544</v>
      </c>
      <c r="G95" s="60">
        <v>557311</v>
      </c>
      <c r="H95" s="66">
        <f t="shared" si="10"/>
        <v>454767</v>
      </c>
      <c r="I95" s="60" t="e">
        <f t="shared" si="11"/>
        <v>#REF!</v>
      </c>
      <c r="R95" s="5" t="s">
        <v>151</v>
      </c>
      <c r="S95" s="8">
        <f t="shared" si="8"/>
        <v>4.7670565366440397E-2</v>
      </c>
      <c r="T95" s="8">
        <f t="shared" si="8"/>
        <v>0.34451048558932379</v>
      </c>
      <c r="U95" s="8">
        <f t="shared" si="8"/>
        <v>0.3395343109768299</v>
      </c>
      <c r="V95" s="8">
        <f t="shared" si="8"/>
        <v>0.26828463806740593</v>
      </c>
      <c r="W95" s="65">
        <f t="shared" si="9"/>
        <v>0.18399780373974317</v>
      </c>
      <c r="X95" s="8"/>
    </row>
    <row r="96" spans="1:26" ht="13" x14ac:dyDescent="0.3">
      <c r="A96" s="1" t="s">
        <v>153</v>
      </c>
      <c r="B96" s="60">
        <v>58173</v>
      </c>
      <c r="C96" s="60">
        <v>245323</v>
      </c>
      <c r="D96" s="60">
        <v>90576</v>
      </c>
      <c r="E96" s="60">
        <v>34385</v>
      </c>
      <c r="F96" s="60">
        <v>87733</v>
      </c>
      <c r="G96" s="60">
        <v>516190</v>
      </c>
      <c r="H96" s="66">
        <f t="shared" si="10"/>
        <v>428457</v>
      </c>
      <c r="I96" s="60" t="e">
        <f t="shared" si="11"/>
        <v>#REF!</v>
      </c>
      <c r="R96" s="5" t="s">
        <v>153</v>
      </c>
      <c r="S96" s="8">
        <f t="shared" si="8"/>
        <v>0.13577325145813932</v>
      </c>
      <c r="T96" s="8">
        <f t="shared" si="8"/>
        <v>0.5725732103805049</v>
      </c>
      <c r="U96" s="8">
        <f t="shared" si="8"/>
        <v>0.21140044391852625</v>
      </c>
      <c r="V96" s="8">
        <f t="shared" si="8"/>
        <v>8.0253094242829504E-2</v>
      </c>
      <c r="W96" s="65">
        <f t="shared" si="9"/>
        <v>0.169962610666615</v>
      </c>
      <c r="X96" s="8"/>
    </row>
    <row r="97" spans="1:24" ht="13" x14ac:dyDescent="0.3">
      <c r="A97" s="1" t="s">
        <v>152</v>
      </c>
      <c r="B97" s="60">
        <v>29332</v>
      </c>
      <c r="C97" s="60">
        <v>71859</v>
      </c>
      <c r="D97" s="60">
        <v>22226</v>
      </c>
      <c r="E97" s="60">
        <v>6135</v>
      </c>
      <c r="F97" s="60">
        <v>31156</v>
      </c>
      <c r="G97" s="60">
        <v>160708</v>
      </c>
      <c r="H97" s="66">
        <f t="shared" si="10"/>
        <v>129552</v>
      </c>
      <c r="I97" s="60" t="e">
        <f t="shared" si="11"/>
        <v>#REF!</v>
      </c>
      <c r="R97" s="5" t="s">
        <v>152</v>
      </c>
      <c r="S97" s="8">
        <f t="shared" si="8"/>
        <v>0.22641101642583672</v>
      </c>
      <c r="T97" s="8">
        <f t="shared" si="8"/>
        <v>0.55467302704705446</v>
      </c>
      <c r="U97" s="8">
        <f t="shared" si="8"/>
        <v>0.17156045448931703</v>
      </c>
      <c r="V97" s="8">
        <f t="shared" si="8"/>
        <v>4.7355502037791777E-2</v>
      </c>
      <c r="W97" s="65">
        <f t="shared" si="9"/>
        <v>0.19386713791472734</v>
      </c>
      <c r="X97" s="8"/>
    </row>
    <row r="98" spans="1:24" ht="13" x14ac:dyDescent="0.3">
      <c r="A98" s="1" t="s">
        <v>154</v>
      </c>
      <c r="B98" s="60">
        <v>5908</v>
      </c>
      <c r="C98" s="60">
        <v>73849</v>
      </c>
      <c r="D98" s="60">
        <v>21263</v>
      </c>
      <c r="E98" s="60">
        <v>4387</v>
      </c>
      <c r="F98" s="60">
        <v>13840</v>
      </c>
      <c r="G98" s="60">
        <v>119247</v>
      </c>
      <c r="H98" s="66">
        <f t="shared" si="10"/>
        <v>105407</v>
      </c>
      <c r="I98" s="60" t="e">
        <f t="shared" si="11"/>
        <v>#REF!</v>
      </c>
      <c r="R98" s="5" t="s">
        <v>154</v>
      </c>
      <c r="S98" s="8">
        <f t="shared" si="8"/>
        <v>5.6049408483307563E-2</v>
      </c>
      <c r="T98" s="8">
        <f t="shared" si="8"/>
        <v>0.70060811900537912</v>
      </c>
      <c r="U98" s="8">
        <f t="shared" si="8"/>
        <v>0.20172284573130816</v>
      </c>
      <c r="V98" s="8">
        <f t="shared" si="8"/>
        <v>4.1619626780005123E-2</v>
      </c>
      <c r="W98" s="65">
        <f t="shared" si="9"/>
        <v>0.11606161999882597</v>
      </c>
      <c r="X98" s="8"/>
    </row>
    <row r="99" spans="1:24" ht="13" x14ac:dyDescent="0.3">
      <c r="A99" s="1"/>
      <c r="H99" s="66"/>
      <c r="R99" s="5"/>
      <c r="S99" s="8"/>
      <c r="T99" s="8"/>
      <c r="U99" s="8"/>
      <c r="V99" s="8"/>
      <c r="W99" s="65"/>
      <c r="X99" s="8"/>
    </row>
    <row r="100" spans="1:24" ht="13" x14ac:dyDescent="0.3">
      <c r="A100" s="1"/>
      <c r="H100" s="66"/>
      <c r="R100" s="5"/>
      <c r="S100" s="8"/>
      <c r="T100" s="8"/>
      <c r="U100" s="8"/>
      <c r="V100" s="8"/>
      <c r="W100" s="65"/>
      <c r="X100" s="8"/>
    </row>
    <row r="101" spans="1:24" ht="13" x14ac:dyDescent="0.3">
      <c r="A101" s="1"/>
      <c r="H101" s="66"/>
      <c r="R101" s="5"/>
      <c r="S101" s="8"/>
      <c r="T101" s="8"/>
      <c r="U101" s="8"/>
      <c r="V101" s="8"/>
      <c r="W101" s="65"/>
      <c r="X101" s="8"/>
    </row>
    <row r="102" spans="1:24" ht="13" x14ac:dyDescent="0.3">
      <c r="A102" s="1"/>
      <c r="H102" s="66"/>
      <c r="R102" s="5"/>
      <c r="S102" s="8"/>
      <c r="T102" s="8"/>
      <c r="U102" s="8"/>
      <c r="V102" s="8"/>
      <c r="W102" s="65"/>
      <c r="X102" s="8"/>
    </row>
    <row r="103" spans="1:24" ht="13" x14ac:dyDescent="0.3">
      <c r="A103" s="1"/>
      <c r="H103" s="66"/>
      <c r="R103" s="5"/>
      <c r="S103" s="8"/>
      <c r="T103" s="8"/>
      <c r="U103" s="8"/>
      <c r="V103" s="8"/>
      <c r="W103" s="65"/>
      <c r="X103" s="8"/>
    </row>
    <row r="104" spans="1:24" ht="13" x14ac:dyDescent="0.3">
      <c r="A104" s="1"/>
      <c r="H104" s="66"/>
      <c r="R104" s="5"/>
      <c r="S104" s="8"/>
      <c r="T104" s="8"/>
      <c r="U104" s="8"/>
      <c r="V104" s="8"/>
      <c r="W104" s="65"/>
      <c r="X104" s="8"/>
    </row>
    <row r="105" spans="1:24" ht="13" x14ac:dyDescent="0.3">
      <c r="A105" s="1"/>
      <c r="H105" s="66"/>
      <c r="R105" s="5"/>
      <c r="S105" s="8"/>
      <c r="T105" s="8"/>
      <c r="U105" s="8"/>
      <c r="V105" s="8"/>
      <c r="W105" s="65"/>
      <c r="X105" s="8"/>
    </row>
    <row r="106" spans="1:24" ht="13" x14ac:dyDescent="0.3">
      <c r="A106" s="1"/>
      <c r="H106" s="66"/>
      <c r="R106" s="5"/>
      <c r="S106" s="8"/>
      <c r="T106" s="8"/>
      <c r="U106" s="8"/>
      <c r="V106" s="8"/>
      <c r="W106" s="65"/>
      <c r="X106" s="8"/>
    </row>
    <row r="107" spans="1:24" ht="13" x14ac:dyDescent="0.3">
      <c r="A107" s="1"/>
      <c r="H107" s="66"/>
      <c r="R107" s="5"/>
      <c r="S107" s="8"/>
      <c r="T107" s="8"/>
      <c r="U107" s="8"/>
      <c r="V107" s="8"/>
      <c r="W107" s="65"/>
      <c r="X107" s="8"/>
    </row>
    <row r="108" spans="1:24" ht="13" x14ac:dyDescent="0.3">
      <c r="A108" s="1"/>
      <c r="H108" s="66"/>
      <c r="R108" s="5"/>
      <c r="S108" s="8"/>
      <c r="T108" s="8"/>
      <c r="U108" s="8"/>
      <c r="V108" s="8"/>
      <c r="W108" s="65"/>
      <c r="X108" s="8"/>
    </row>
    <row r="109" spans="1:24" ht="13" x14ac:dyDescent="0.3">
      <c r="A109" s="1"/>
      <c r="H109" s="66"/>
      <c r="R109" s="5"/>
      <c r="S109" s="8"/>
      <c r="T109" s="8"/>
      <c r="U109" s="8"/>
      <c r="V109" s="8"/>
      <c r="W109" s="65"/>
      <c r="X109" s="8"/>
    </row>
    <row r="110" spans="1:24" ht="13" x14ac:dyDescent="0.3">
      <c r="A110" s="1"/>
      <c r="H110" s="66"/>
      <c r="R110" s="5"/>
      <c r="S110" s="8"/>
      <c r="T110" s="8"/>
      <c r="U110" s="8"/>
      <c r="V110" s="8"/>
      <c r="W110" s="65"/>
      <c r="X110" s="8"/>
    </row>
    <row r="111" spans="1:24" ht="13" x14ac:dyDescent="0.3">
      <c r="A111" s="60" t="s">
        <v>52</v>
      </c>
      <c r="B111" s="60">
        <v>1102287</v>
      </c>
      <c r="C111" s="60">
        <v>2637730</v>
      </c>
      <c r="D111" s="60">
        <v>1514023</v>
      </c>
      <c r="E111" s="60">
        <v>1027186</v>
      </c>
      <c r="F111" s="60">
        <v>1980565</v>
      </c>
      <c r="G111" s="60">
        <v>8261791</v>
      </c>
      <c r="H111" s="66">
        <f t="shared" si="10"/>
        <v>6281226</v>
      </c>
      <c r="R111" s="64" t="s">
        <v>31</v>
      </c>
      <c r="S111" s="8">
        <f>B111/$H111</f>
        <v>0.17548914813764063</v>
      </c>
      <c r="T111" s="8">
        <f>C111/$H111</f>
        <v>0.4199387189698317</v>
      </c>
      <c r="U111" s="8">
        <f>D111/$H111</f>
        <v>0.24103940854858591</v>
      </c>
      <c r="V111" s="8">
        <f>E111/$H111</f>
        <v>0.16353272434394178</v>
      </c>
      <c r="W111" s="65">
        <f>F111/G111</f>
        <v>0.23972586573540774</v>
      </c>
      <c r="X111" s="8"/>
    </row>
    <row r="116" spans="1:24" x14ac:dyDescent="0.25">
      <c r="A116" s="54"/>
      <c r="B116" s="60" t="s">
        <v>53</v>
      </c>
      <c r="R116" s="62" t="s">
        <v>155</v>
      </c>
      <c r="S116" s="62"/>
      <c r="T116" s="62"/>
      <c r="U116" s="64"/>
      <c r="V116" s="64"/>
      <c r="W116" s="64"/>
      <c r="X116" s="64"/>
    </row>
    <row r="117" spans="1:24" x14ac:dyDescent="0.25">
      <c r="A117" s="54"/>
      <c r="B117" s="60" t="s">
        <v>188</v>
      </c>
      <c r="C117" s="60" t="s">
        <v>189</v>
      </c>
      <c r="D117" s="60" t="s">
        <v>194</v>
      </c>
      <c r="F117" s="60" t="s">
        <v>2</v>
      </c>
      <c r="R117" s="62"/>
      <c r="S117" s="5" t="s">
        <v>156</v>
      </c>
      <c r="T117" s="5" t="s">
        <v>157</v>
      </c>
      <c r="U117" s="5" t="s">
        <v>195</v>
      </c>
      <c r="V117" s="5"/>
      <c r="W117" s="5"/>
      <c r="X117" s="5"/>
    </row>
    <row r="118" spans="1:24" ht="14.5" x14ac:dyDescent="0.35">
      <c r="A118" s="1" t="s">
        <v>146</v>
      </c>
      <c r="B118">
        <v>65660</v>
      </c>
      <c r="C118">
        <v>6887</v>
      </c>
      <c r="D118">
        <v>534</v>
      </c>
      <c r="E118"/>
      <c r="F118">
        <v>73081</v>
      </c>
      <c r="G118" s="60" t="e">
        <f>F118=O5</f>
        <v>#REF!</v>
      </c>
      <c r="R118" s="5" t="s">
        <v>146</v>
      </c>
      <c r="S118" s="8">
        <f>B118/$F118</f>
        <v>0.8984551388185712</v>
      </c>
      <c r="T118" s="8">
        <f t="shared" ref="T118:U126" si="12">C118/$F118</f>
        <v>9.4237900411871758E-2</v>
      </c>
      <c r="U118" s="8">
        <f t="shared" si="12"/>
        <v>7.3069607695570669E-3</v>
      </c>
      <c r="V118" s="8"/>
      <c r="W118" s="8"/>
      <c r="X118" s="8"/>
    </row>
    <row r="119" spans="1:24" ht="14.5" x14ac:dyDescent="0.35">
      <c r="A119" s="1" t="s">
        <v>147</v>
      </c>
      <c r="B119">
        <v>135059</v>
      </c>
      <c r="C119">
        <v>19368</v>
      </c>
      <c r="D119">
        <v>2684</v>
      </c>
      <c r="E119"/>
      <c r="F119">
        <v>157111</v>
      </c>
      <c r="G119" s="60" t="e">
        <f t="shared" ref="G119:G126" si="13">F119=O6</f>
        <v>#REF!</v>
      </c>
      <c r="R119" s="5" t="s">
        <v>147</v>
      </c>
      <c r="S119" s="8">
        <f t="shared" ref="S119:V139" si="14">B119/$F119</f>
        <v>0.85964063623807374</v>
      </c>
      <c r="T119" s="8">
        <f t="shared" si="12"/>
        <v>0.12327590047800599</v>
      </c>
      <c r="U119" s="8">
        <f t="shared" si="12"/>
        <v>1.7083463283920287E-2</v>
      </c>
      <c r="V119" s="8"/>
      <c r="W119" s="8"/>
      <c r="X119" s="8"/>
    </row>
    <row r="120" spans="1:24" ht="14.5" x14ac:dyDescent="0.35">
      <c r="A120" s="1" t="s">
        <v>148</v>
      </c>
      <c r="B120">
        <v>209868</v>
      </c>
      <c r="C120">
        <v>42865</v>
      </c>
      <c r="D120">
        <v>6474</v>
      </c>
      <c r="E120"/>
      <c r="F120">
        <v>259207</v>
      </c>
      <c r="G120" s="60" t="e">
        <f t="shared" si="13"/>
        <v>#REF!</v>
      </c>
      <c r="R120" s="5" t="s">
        <v>148</v>
      </c>
      <c r="S120" s="8">
        <f t="shared" si="14"/>
        <v>0.80965406026843412</v>
      </c>
      <c r="T120" s="8">
        <f t="shared" si="12"/>
        <v>0.16536976239067619</v>
      </c>
      <c r="U120" s="8">
        <f t="shared" si="12"/>
        <v>2.4976177340889714E-2</v>
      </c>
      <c r="V120" s="8"/>
      <c r="W120" s="8"/>
      <c r="X120" s="8"/>
    </row>
    <row r="121" spans="1:24" ht="14.5" x14ac:dyDescent="0.35">
      <c r="A121" s="1" t="s">
        <v>149</v>
      </c>
      <c r="B121">
        <v>159612</v>
      </c>
      <c r="C121">
        <v>27398</v>
      </c>
      <c r="D121">
        <v>2177</v>
      </c>
      <c r="E121"/>
      <c r="F121">
        <v>189187</v>
      </c>
      <c r="G121" s="60" t="e">
        <f t="shared" si="13"/>
        <v>#REF!</v>
      </c>
      <c r="R121" s="5" t="s">
        <v>215</v>
      </c>
      <c r="S121" s="8">
        <f t="shared" si="14"/>
        <v>0.84367319107549676</v>
      </c>
      <c r="T121" s="8">
        <f t="shared" si="12"/>
        <v>0.14481967577053392</v>
      </c>
      <c r="U121" s="8">
        <f t="shared" si="12"/>
        <v>1.1507133153969354E-2</v>
      </c>
      <c r="V121" s="8"/>
      <c r="W121" s="8"/>
      <c r="X121" s="8"/>
    </row>
    <row r="122" spans="1:24" ht="14.5" x14ac:dyDescent="0.35">
      <c r="A122" s="1" t="s">
        <v>150</v>
      </c>
      <c r="B122">
        <v>144534</v>
      </c>
      <c r="C122">
        <v>38800</v>
      </c>
      <c r="D122">
        <v>617</v>
      </c>
      <c r="E122"/>
      <c r="F122">
        <v>183951</v>
      </c>
      <c r="G122" s="60" t="e">
        <f t="shared" si="13"/>
        <v>#REF!</v>
      </c>
      <c r="R122" s="5" t="s">
        <v>150</v>
      </c>
      <c r="S122" s="8">
        <f t="shared" si="14"/>
        <v>0.78572011024675048</v>
      </c>
      <c r="T122" s="8">
        <f t="shared" si="12"/>
        <v>0.2109257356578654</v>
      </c>
      <c r="U122" s="8">
        <f t="shared" si="12"/>
        <v>3.3541540953840967E-3</v>
      </c>
      <c r="V122" s="8"/>
      <c r="W122" s="8"/>
      <c r="X122" s="8"/>
    </row>
    <row r="123" spans="1:24" ht="14.5" x14ac:dyDescent="0.35">
      <c r="A123" s="1" t="s">
        <v>151</v>
      </c>
      <c r="B123">
        <v>423667</v>
      </c>
      <c r="C123">
        <v>110711</v>
      </c>
      <c r="D123">
        <v>22933</v>
      </c>
      <c r="E123"/>
      <c r="F123">
        <v>557311</v>
      </c>
      <c r="G123" s="60" t="e">
        <f t="shared" si="13"/>
        <v>#REF!</v>
      </c>
      <c r="R123" s="5" t="s">
        <v>151</v>
      </c>
      <c r="S123" s="8">
        <f t="shared" si="14"/>
        <v>0.76019852470164773</v>
      </c>
      <c r="T123" s="8">
        <f t="shared" si="12"/>
        <v>0.19865209909727244</v>
      </c>
      <c r="U123" s="8">
        <f t="shared" si="12"/>
        <v>4.1149376201079828E-2</v>
      </c>
      <c r="V123" s="8"/>
      <c r="W123" s="8"/>
      <c r="X123" s="8"/>
    </row>
    <row r="124" spans="1:24" ht="14.5" x14ac:dyDescent="0.35">
      <c r="A124" s="1" t="s">
        <v>153</v>
      </c>
      <c r="B124">
        <v>395094</v>
      </c>
      <c r="C124">
        <v>88546</v>
      </c>
      <c r="D124">
        <v>32550</v>
      </c>
      <c r="E124"/>
      <c r="F124">
        <v>516190</v>
      </c>
      <c r="G124" s="60" t="e">
        <f t="shared" si="13"/>
        <v>#REF!</v>
      </c>
      <c r="R124" s="5" t="s">
        <v>153</v>
      </c>
      <c r="S124" s="8">
        <f t="shared" si="14"/>
        <v>0.7654042116275015</v>
      </c>
      <c r="T124" s="8">
        <f t="shared" si="12"/>
        <v>0.17153761211956839</v>
      </c>
      <c r="U124" s="8">
        <f t="shared" si="12"/>
        <v>6.3058176252930129E-2</v>
      </c>
      <c r="V124" s="8"/>
      <c r="W124" s="8"/>
      <c r="X124" s="8"/>
    </row>
    <row r="125" spans="1:24" ht="14.5" x14ac:dyDescent="0.35">
      <c r="A125" s="1" t="s">
        <v>152</v>
      </c>
      <c r="B125">
        <v>113241</v>
      </c>
      <c r="C125">
        <v>30778</v>
      </c>
      <c r="D125">
        <v>16689</v>
      </c>
      <c r="E125"/>
      <c r="F125">
        <v>160708</v>
      </c>
      <c r="G125" s="60" t="e">
        <f t="shared" si="13"/>
        <v>#REF!</v>
      </c>
      <c r="R125" s="5" t="s">
        <v>152</v>
      </c>
      <c r="S125" s="8">
        <f t="shared" si="14"/>
        <v>0.70463822585061109</v>
      </c>
      <c r="T125" s="8">
        <f t="shared" si="12"/>
        <v>0.19151504592179605</v>
      </c>
      <c r="U125" s="8">
        <f t="shared" si="12"/>
        <v>0.1038467282275929</v>
      </c>
      <c r="V125" s="8"/>
      <c r="W125" s="8"/>
      <c r="X125" s="8"/>
    </row>
    <row r="126" spans="1:24" ht="14.5" x14ac:dyDescent="0.35">
      <c r="A126" s="1" t="s">
        <v>154</v>
      </c>
      <c r="B126">
        <v>77455</v>
      </c>
      <c r="C126">
        <v>34204</v>
      </c>
      <c r="D126">
        <v>7588</v>
      </c>
      <c r="E126"/>
      <c r="F126">
        <v>119247</v>
      </c>
      <c r="G126" s="60" t="e">
        <f t="shared" si="13"/>
        <v>#REF!</v>
      </c>
      <c r="R126" s="5" t="s">
        <v>154</v>
      </c>
      <c r="S126" s="8">
        <f t="shared" si="14"/>
        <v>0.64953416018851629</v>
      </c>
      <c r="T126" s="8">
        <f t="shared" si="12"/>
        <v>0.2868332117369829</v>
      </c>
      <c r="U126" s="8">
        <f t="shared" si="12"/>
        <v>6.3632628074500833E-2</v>
      </c>
      <c r="V126" s="8"/>
      <c r="W126" s="8"/>
      <c r="X126" s="8"/>
    </row>
    <row r="127" spans="1:24" x14ac:dyDescent="0.25">
      <c r="A127" s="1"/>
      <c r="R127" s="5"/>
      <c r="S127" s="8"/>
      <c r="T127" s="8"/>
      <c r="U127" s="8"/>
      <c r="V127" s="8"/>
      <c r="W127" s="8"/>
      <c r="X127" s="8"/>
    </row>
    <row r="128" spans="1:24" x14ac:dyDescent="0.25">
      <c r="A128" s="1"/>
      <c r="R128" s="5"/>
      <c r="S128" s="8"/>
      <c r="T128" s="8"/>
      <c r="U128" s="8"/>
      <c r="V128" s="8"/>
      <c r="W128" s="8"/>
      <c r="X128" s="8"/>
    </row>
    <row r="129" spans="1:24" x14ac:dyDescent="0.25">
      <c r="A129" s="1"/>
      <c r="R129" s="5"/>
      <c r="S129" s="8"/>
      <c r="T129" s="8"/>
      <c r="U129" s="8"/>
      <c r="V129" s="8"/>
      <c r="W129" s="8"/>
      <c r="X129" s="8"/>
    </row>
    <row r="130" spans="1:24" x14ac:dyDescent="0.25">
      <c r="A130" s="1"/>
      <c r="R130" s="5"/>
      <c r="S130" s="8"/>
      <c r="T130" s="8"/>
      <c r="U130" s="8"/>
      <c r="V130" s="8"/>
      <c r="W130" s="8"/>
      <c r="X130" s="8"/>
    </row>
    <row r="131" spans="1:24" x14ac:dyDescent="0.25">
      <c r="A131" s="1"/>
      <c r="R131" s="5"/>
      <c r="S131" s="8"/>
      <c r="T131" s="8"/>
      <c r="U131" s="8"/>
      <c r="V131" s="8"/>
      <c r="W131" s="8"/>
      <c r="X131" s="8"/>
    </row>
    <row r="132" spans="1:24" x14ac:dyDescent="0.25">
      <c r="A132" s="1"/>
      <c r="R132" s="5"/>
      <c r="S132" s="8"/>
      <c r="T132" s="8"/>
      <c r="U132" s="8"/>
      <c r="V132" s="8"/>
      <c r="W132" s="8"/>
      <c r="X132" s="8"/>
    </row>
    <row r="133" spans="1:24" x14ac:dyDescent="0.25">
      <c r="A133" s="1"/>
      <c r="R133" s="5"/>
      <c r="S133" s="8"/>
      <c r="T133" s="8"/>
      <c r="U133" s="8"/>
      <c r="V133" s="8"/>
      <c r="W133" s="8"/>
      <c r="X133" s="8"/>
    </row>
    <row r="134" spans="1:24" x14ac:dyDescent="0.25">
      <c r="A134" s="1"/>
      <c r="R134" s="5"/>
      <c r="S134" s="8"/>
      <c r="T134" s="8"/>
      <c r="U134" s="8"/>
      <c r="V134" s="8"/>
      <c r="W134" s="8"/>
      <c r="X134" s="8"/>
    </row>
    <row r="135" spans="1:24" x14ac:dyDescent="0.25">
      <c r="A135" s="1"/>
      <c r="R135" s="5"/>
      <c r="S135" s="8"/>
      <c r="T135" s="8"/>
      <c r="U135" s="8"/>
      <c r="V135" s="8"/>
      <c r="W135" s="8"/>
      <c r="X135" s="8"/>
    </row>
    <row r="136" spans="1:24" x14ac:dyDescent="0.25">
      <c r="A136" s="1"/>
      <c r="R136" s="5"/>
      <c r="S136" s="8"/>
      <c r="T136" s="8"/>
      <c r="U136" s="8"/>
      <c r="V136" s="8"/>
      <c r="W136" s="8"/>
      <c r="X136" s="8"/>
    </row>
    <row r="137" spans="1:24" x14ac:dyDescent="0.25">
      <c r="A137" s="1"/>
      <c r="R137" s="5"/>
      <c r="S137" s="8"/>
      <c r="T137" s="8"/>
      <c r="U137" s="8"/>
      <c r="V137" s="8"/>
      <c r="W137" s="8"/>
      <c r="X137" s="8"/>
    </row>
    <row r="138" spans="1:24" x14ac:dyDescent="0.25">
      <c r="A138" s="1"/>
      <c r="R138" s="5"/>
      <c r="S138" s="8"/>
      <c r="T138" s="8"/>
      <c r="U138" s="8"/>
      <c r="V138" s="8"/>
      <c r="W138" s="62"/>
      <c r="X138" s="62"/>
    </row>
    <row r="139" spans="1:24" x14ac:dyDescent="0.25">
      <c r="A139" s="60" t="s">
        <v>52</v>
      </c>
      <c r="B139" s="60">
        <v>5386420</v>
      </c>
      <c r="C139" s="60">
        <v>1529226</v>
      </c>
      <c r="D139" s="60">
        <v>436721</v>
      </c>
      <c r="E139" s="60">
        <v>909424</v>
      </c>
      <c r="F139" s="60">
        <v>8261791</v>
      </c>
      <c r="R139" s="64" t="s">
        <v>31</v>
      </c>
      <c r="S139" s="8">
        <f t="shared" si="14"/>
        <v>0.65196759395148096</v>
      </c>
      <c r="T139" s="8">
        <f t="shared" si="14"/>
        <v>0.18509618556073373</v>
      </c>
      <c r="U139" s="8">
        <f t="shared" si="14"/>
        <v>5.2860330163278159E-2</v>
      </c>
      <c r="V139" s="8">
        <f t="shared" si="14"/>
        <v>0.11007589032450713</v>
      </c>
      <c r="W139" s="62"/>
      <c r="X139" s="62"/>
    </row>
    <row r="144" spans="1:24" x14ac:dyDescent="0.25">
      <c r="A144" s="54"/>
      <c r="B144" s="60" t="s">
        <v>62</v>
      </c>
      <c r="R144" s="62" t="s">
        <v>155</v>
      </c>
      <c r="S144" s="62"/>
      <c r="T144" s="62"/>
      <c r="U144" s="64"/>
      <c r="V144" s="64"/>
      <c r="W144" s="64"/>
      <c r="X144" s="64"/>
    </row>
    <row r="145" spans="1:24" x14ac:dyDescent="0.25">
      <c r="A145" s="54"/>
      <c r="B145" s="60" t="s">
        <v>63</v>
      </c>
      <c r="C145" s="60" t="s">
        <v>64</v>
      </c>
      <c r="D145" s="60" t="s">
        <v>65</v>
      </c>
      <c r="E145" s="60" t="s">
        <v>66</v>
      </c>
      <c r="F145" s="60" t="s">
        <v>67</v>
      </c>
      <c r="G145" s="60" t="s">
        <v>68</v>
      </c>
      <c r="H145" s="60" t="s">
        <v>2</v>
      </c>
      <c r="R145" s="62"/>
      <c r="S145" s="5" t="s">
        <v>76</v>
      </c>
      <c r="T145" s="5" t="s">
        <v>71</v>
      </c>
      <c r="U145" s="5" t="s">
        <v>158</v>
      </c>
      <c r="V145" s="5" t="s">
        <v>74</v>
      </c>
      <c r="W145" s="5" t="s">
        <v>75</v>
      </c>
      <c r="X145" s="5"/>
    </row>
    <row r="146" spans="1:24" x14ac:dyDescent="0.25">
      <c r="A146" s="1" t="s">
        <v>146</v>
      </c>
      <c r="B146" s="67">
        <v>569</v>
      </c>
      <c r="C146" s="67">
        <v>592</v>
      </c>
      <c r="D146" s="67">
        <v>2251</v>
      </c>
      <c r="E146" s="67">
        <v>1840</v>
      </c>
      <c r="F146" s="67">
        <v>11428</v>
      </c>
      <c r="G146" s="67">
        <v>56401</v>
      </c>
      <c r="H146" s="67">
        <v>73081</v>
      </c>
      <c r="I146" s="60" t="e">
        <f>H146=O5</f>
        <v>#REF!</v>
      </c>
      <c r="R146" s="5" t="s">
        <v>146</v>
      </c>
      <c r="S146" s="8">
        <f>B146/$H146</f>
        <v>7.7858814192471367E-3</v>
      </c>
      <c r="T146" s="8">
        <f>C146/$H146</f>
        <v>8.1006007033291826E-3</v>
      </c>
      <c r="U146" s="8">
        <f>(D146+E146)/$H146</f>
        <v>5.5978982225202173E-2</v>
      </c>
      <c r="V146" s="8">
        <f>F146/$H146</f>
        <v>0.15637443384737484</v>
      </c>
      <c r="W146" s="8">
        <f>G146/$H146</f>
        <v>0.77176010180484667</v>
      </c>
      <c r="X146" s="8"/>
    </row>
    <row r="147" spans="1:24" x14ac:dyDescent="0.25">
      <c r="A147" s="1" t="s">
        <v>147</v>
      </c>
      <c r="B147" s="67">
        <v>2272</v>
      </c>
      <c r="C147" s="67">
        <v>2220</v>
      </c>
      <c r="D147" s="67">
        <v>4668</v>
      </c>
      <c r="E147" s="67">
        <v>3402</v>
      </c>
      <c r="F147" s="67">
        <v>18029</v>
      </c>
      <c r="G147" s="67">
        <v>126520</v>
      </c>
      <c r="H147" s="67">
        <v>157111</v>
      </c>
      <c r="I147" s="60" t="e">
        <f t="shared" ref="I147:I154" si="15">H147=O6</f>
        <v>#REF!</v>
      </c>
      <c r="R147" s="5" t="s">
        <v>147</v>
      </c>
      <c r="S147" s="8">
        <f t="shared" ref="S147:T167" si="16">B147/$H147</f>
        <v>1.4461113480278275E-2</v>
      </c>
      <c r="T147" s="8">
        <f t="shared" si="16"/>
        <v>1.4130137291469089E-2</v>
      </c>
      <c r="U147" s="8">
        <f t="shared" ref="U147:U167" si="17">(D147+E147)/$H147</f>
        <v>5.1364958532502496E-2</v>
      </c>
      <c r="V147" s="8">
        <f t="shared" ref="V147:W167" si="18">F147/$H147</f>
        <v>0.11475326361616946</v>
      </c>
      <c r="W147" s="8">
        <f t="shared" si="18"/>
        <v>0.80529052707958071</v>
      </c>
      <c r="X147" s="8"/>
    </row>
    <row r="148" spans="1:24" x14ac:dyDescent="0.25">
      <c r="A148" s="1" t="s">
        <v>148</v>
      </c>
      <c r="B148" s="67">
        <v>5782</v>
      </c>
      <c r="C148" s="67">
        <v>4823</v>
      </c>
      <c r="D148" s="67">
        <v>9197</v>
      </c>
      <c r="E148" s="67">
        <v>5769</v>
      </c>
      <c r="F148" s="67">
        <v>32693</v>
      </c>
      <c r="G148" s="67">
        <v>200943</v>
      </c>
      <c r="H148" s="67">
        <v>259207</v>
      </c>
      <c r="I148" s="60" t="e">
        <f t="shared" si="15"/>
        <v>#REF!</v>
      </c>
      <c r="R148" s="5" t="s">
        <v>148</v>
      </c>
      <c r="S148" s="8">
        <f t="shared" si="16"/>
        <v>2.2306496352336162E-2</v>
      </c>
      <c r="T148" s="8">
        <f t="shared" si="16"/>
        <v>1.8606750589297356E-2</v>
      </c>
      <c r="U148" s="8">
        <f t="shared" si="17"/>
        <v>5.7737638258226053E-2</v>
      </c>
      <c r="V148" s="8">
        <f t="shared" si="18"/>
        <v>0.12612699502714048</v>
      </c>
      <c r="W148" s="8">
        <f t="shared" si="18"/>
        <v>0.77522211977299993</v>
      </c>
      <c r="X148" s="8"/>
    </row>
    <row r="149" spans="1:24" x14ac:dyDescent="0.25">
      <c r="A149" s="1" t="s">
        <v>149</v>
      </c>
      <c r="B149" s="67">
        <v>6494</v>
      </c>
      <c r="C149" s="67">
        <v>25061</v>
      </c>
      <c r="D149" s="67">
        <v>51011</v>
      </c>
      <c r="E149" s="67">
        <v>33890</v>
      </c>
      <c r="F149" s="67">
        <v>27751</v>
      </c>
      <c r="G149" s="67">
        <v>44980</v>
      </c>
      <c r="H149" s="67">
        <v>189187</v>
      </c>
      <c r="I149" s="60" t="e">
        <f t="shared" si="15"/>
        <v>#REF!</v>
      </c>
      <c r="R149" s="5" t="s">
        <v>215</v>
      </c>
      <c r="S149" s="8">
        <f t="shared" si="16"/>
        <v>3.432582577026963E-2</v>
      </c>
      <c r="T149" s="8">
        <f t="shared" si="16"/>
        <v>0.13246681854461459</v>
      </c>
      <c r="U149" s="8">
        <f t="shared" si="17"/>
        <v>0.44876762145390542</v>
      </c>
      <c r="V149" s="8">
        <f t="shared" si="18"/>
        <v>0.14668555450427356</v>
      </c>
      <c r="W149" s="8">
        <f t="shared" si="18"/>
        <v>0.23775417972693685</v>
      </c>
      <c r="X149" s="8"/>
    </row>
    <row r="150" spans="1:24" x14ac:dyDescent="0.25">
      <c r="A150" s="1" t="s">
        <v>150</v>
      </c>
      <c r="B150" s="67">
        <v>3880</v>
      </c>
      <c r="C150" s="67">
        <v>14236</v>
      </c>
      <c r="D150" s="67">
        <v>31846</v>
      </c>
      <c r="E150" s="67">
        <v>50058</v>
      </c>
      <c r="F150" s="67">
        <v>26257</v>
      </c>
      <c r="G150" s="67">
        <v>57674</v>
      </c>
      <c r="H150" s="67">
        <v>183951</v>
      </c>
      <c r="I150" s="60" t="e">
        <f t="shared" si="15"/>
        <v>#REF!</v>
      </c>
      <c r="R150" s="5" t="s">
        <v>150</v>
      </c>
      <c r="S150" s="8">
        <f t="shared" si="16"/>
        <v>2.1092573565786542E-2</v>
      </c>
      <c r="T150" s="8">
        <f t="shared" si="16"/>
        <v>7.7390174557354946E-2</v>
      </c>
      <c r="U150" s="8">
        <f t="shared" si="17"/>
        <v>0.44524900652891258</v>
      </c>
      <c r="V150" s="8">
        <f t="shared" si="18"/>
        <v>0.14273909899918999</v>
      </c>
      <c r="W150" s="8">
        <f t="shared" si="18"/>
        <v>0.31352914634875589</v>
      </c>
      <c r="X150" s="8"/>
    </row>
    <row r="151" spans="1:24" x14ac:dyDescent="0.25">
      <c r="A151" s="1" t="s">
        <v>151</v>
      </c>
      <c r="B151" s="67">
        <v>27208</v>
      </c>
      <c r="C151" s="67">
        <v>49063</v>
      </c>
      <c r="D151" s="67">
        <v>124050</v>
      </c>
      <c r="E151" s="67">
        <v>87516</v>
      </c>
      <c r="F151" s="67">
        <v>128415</v>
      </c>
      <c r="G151" s="67">
        <v>141059</v>
      </c>
      <c r="H151" s="67">
        <v>557311</v>
      </c>
      <c r="I151" s="60" t="e">
        <f t="shared" si="15"/>
        <v>#REF!</v>
      </c>
      <c r="R151" s="5" t="s">
        <v>151</v>
      </c>
      <c r="S151" s="8">
        <f t="shared" si="16"/>
        <v>4.8820138127544585E-2</v>
      </c>
      <c r="T151" s="8">
        <f t="shared" si="16"/>
        <v>8.8035226291962657E-2</v>
      </c>
      <c r="U151" s="8">
        <f t="shared" si="17"/>
        <v>0.37961927900220882</v>
      </c>
      <c r="V151" s="8">
        <f t="shared" si="18"/>
        <v>0.2304189222893501</v>
      </c>
      <c r="W151" s="8">
        <f t="shared" si="18"/>
        <v>0.25310643428893381</v>
      </c>
      <c r="X151" s="8"/>
    </row>
    <row r="152" spans="1:24" x14ac:dyDescent="0.25">
      <c r="A152" s="1" t="s">
        <v>153</v>
      </c>
      <c r="B152" s="67">
        <v>48838</v>
      </c>
      <c r="C152" s="67">
        <v>67099</v>
      </c>
      <c r="D152" s="67">
        <v>143460</v>
      </c>
      <c r="E152" s="67">
        <v>104394</v>
      </c>
      <c r="F152" s="67">
        <v>90992</v>
      </c>
      <c r="G152" s="67">
        <v>61407</v>
      </c>
      <c r="H152" s="67">
        <v>516190</v>
      </c>
      <c r="I152" s="60" t="e">
        <f t="shared" si="15"/>
        <v>#REF!</v>
      </c>
      <c r="R152" s="5" t="s">
        <v>153</v>
      </c>
      <c r="S152" s="8">
        <f t="shared" si="16"/>
        <v>9.4612448904473165E-2</v>
      </c>
      <c r="T152" s="8">
        <f t="shared" si="16"/>
        <v>0.12998895755438888</v>
      </c>
      <c r="U152" s="8">
        <f t="shared" si="17"/>
        <v>0.48016040605203508</v>
      </c>
      <c r="V152" s="8">
        <f t="shared" si="18"/>
        <v>0.17627617737654738</v>
      </c>
      <c r="W152" s="8">
        <f t="shared" si="18"/>
        <v>0.11896201011255546</v>
      </c>
      <c r="X152" s="8"/>
    </row>
    <row r="153" spans="1:24" x14ac:dyDescent="0.25">
      <c r="A153" s="1" t="s">
        <v>152</v>
      </c>
      <c r="B153" s="67">
        <v>32703</v>
      </c>
      <c r="C153" s="67">
        <v>34849</v>
      </c>
      <c r="D153" s="67">
        <v>44774</v>
      </c>
      <c r="E153" s="67">
        <v>22644</v>
      </c>
      <c r="F153" s="67">
        <v>15055</v>
      </c>
      <c r="G153" s="67">
        <v>10683</v>
      </c>
      <c r="H153" s="67">
        <v>160708</v>
      </c>
      <c r="I153" s="60" t="e">
        <f t="shared" si="15"/>
        <v>#REF!</v>
      </c>
      <c r="R153" s="5" t="s">
        <v>152</v>
      </c>
      <c r="S153" s="8">
        <f t="shared" si="16"/>
        <v>0.20349329218209422</v>
      </c>
      <c r="T153" s="8">
        <f t="shared" si="16"/>
        <v>0.21684670333773054</v>
      </c>
      <c r="U153" s="8">
        <f t="shared" si="17"/>
        <v>0.41950618513079624</v>
      </c>
      <c r="V153" s="8">
        <f t="shared" si="18"/>
        <v>9.3679219453916426E-2</v>
      </c>
      <c r="W153" s="8">
        <f t="shared" si="18"/>
        <v>6.6474599895462574E-2</v>
      </c>
      <c r="X153" s="8"/>
    </row>
    <row r="154" spans="1:24" x14ac:dyDescent="0.25">
      <c r="A154" s="1" t="s">
        <v>154</v>
      </c>
      <c r="B154" s="67">
        <v>7286</v>
      </c>
      <c r="C154" s="67">
        <v>17847</v>
      </c>
      <c r="D154" s="67">
        <v>28249</v>
      </c>
      <c r="E154" s="67">
        <v>32351</v>
      </c>
      <c r="F154" s="67">
        <v>17108</v>
      </c>
      <c r="G154" s="67">
        <v>16406</v>
      </c>
      <c r="H154" s="67">
        <v>119247</v>
      </c>
      <c r="I154" s="60" t="e">
        <f t="shared" si="15"/>
        <v>#REF!</v>
      </c>
      <c r="R154" s="5" t="s">
        <v>154</v>
      </c>
      <c r="S154" s="8">
        <f t="shared" si="16"/>
        <v>6.1100069603428175E-2</v>
      </c>
      <c r="T154" s="8">
        <f t="shared" si="16"/>
        <v>0.1496641424941508</v>
      </c>
      <c r="U154" s="8">
        <f t="shared" si="17"/>
        <v>0.50818888525497496</v>
      </c>
      <c r="V154" s="8">
        <f t="shared" si="18"/>
        <v>0.14346692159970481</v>
      </c>
      <c r="W154" s="8">
        <f t="shared" si="18"/>
        <v>0.13757998104774125</v>
      </c>
      <c r="X154" s="8"/>
    </row>
    <row r="155" spans="1:24" x14ac:dyDescent="0.25">
      <c r="A155" s="1"/>
      <c r="R155" s="62"/>
      <c r="S155" s="8"/>
      <c r="T155" s="8"/>
      <c r="U155" s="8"/>
      <c r="V155" s="8"/>
      <c r="W155" s="8"/>
      <c r="X155" s="8"/>
    </row>
    <row r="156" spans="1:24" x14ac:dyDescent="0.25">
      <c r="A156" s="1"/>
      <c r="R156" s="62"/>
      <c r="S156" s="8"/>
      <c r="T156" s="8"/>
      <c r="U156" s="8"/>
      <c r="V156" s="8"/>
      <c r="W156" s="8"/>
      <c r="X156" s="8"/>
    </row>
    <row r="157" spans="1:24" x14ac:dyDescent="0.25">
      <c r="A157" s="1"/>
      <c r="R157" s="62"/>
      <c r="S157" s="8"/>
      <c r="T157" s="8"/>
      <c r="U157" s="8"/>
      <c r="V157" s="8"/>
      <c r="W157" s="8"/>
      <c r="X157" s="8"/>
    </row>
    <row r="158" spans="1:24" x14ac:dyDescent="0.25">
      <c r="A158" s="1"/>
      <c r="R158" s="62"/>
      <c r="S158" s="8"/>
      <c r="T158" s="8"/>
      <c r="U158" s="8"/>
      <c r="V158" s="8"/>
      <c r="W158" s="8"/>
      <c r="X158" s="8"/>
    </row>
    <row r="159" spans="1:24" x14ac:dyDescent="0.25">
      <c r="A159" s="1"/>
      <c r="R159" s="62"/>
      <c r="S159" s="8"/>
      <c r="T159" s="8"/>
      <c r="U159" s="8"/>
      <c r="V159" s="8"/>
      <c r="W159" s="8"/>
      <c r="X159" s="8"/>
    </row>
    <row r="160" spans="1:24" x14ac:dyDescent="0.25">
      <c r="A160" s="1"/>
      <c r="R160" s="62"/>
      <c r="S160" s="8"/>
      <c r="T160" s="8"/>
      <c r="U160" s="8"/>
      <c r="V160" s="8"/>
      <c r="W160" s="8"/>
      <c r="X160" s="8"/>
    </row>
    <row r="161" spans="1:24" x14ac:dyDescent="0.25">
      <c r="A161" s="1"/>
      <c r="R161" s="62"/>
      <c r="S161" s="8"/>
      <c r="T161" s="8"/>
      <c r="U161" s="8"/>
      <c r="V161" s="8"/>
      <c r="W161" s="8"/>
      <c r="X161" s="8"/>
    </row>
    <row r="162" spans="1:24" x14ac:dyDescent="0.25">
      <c r="A162" s="1"/>
      <c r="R162" s="62"/>
      <c r="S162" s="8"/>
      <c r="T162" s="8"/>
      <c r="U162" s="8"/>
      <c r="V162" s="8"/>
      <c r="W162" s="8"/>
      <c r="X162" s="8"/>
    </row>
    <row r="163" spans="1:24" x14ac:dyDescent="0.25">
      <c r="A163" s="1"/>
      <c r="R163" s="62"/>
      <c r="S163" s="8"/>
      <c r="T163" s="8"/>
      <c r="U163" s="8"/>
      <c r="V163" s="8"/>
      <c r="W163" s="8"/>
      <c r="X163" s="8"/>
    </row>
    <row r="164" spans="1:24" x14ac:dyDescent="0.25">
      <c r="A164" s="1"/>
      <c r="R164" s="62"/>
      <c r="S164" s="8"/>
      <c r="T164" s="8"/>
      <c r="U164" s="8"/>
      <c r="V164" s="8"/>
      <c r="W164" s="8"/>
      <c r="X164" s="8"/>
    </row>
    <row r="165" spans="1:24" x14ac:dyDescent="0.25">
      <c r="A165" s="1"/>
      <c r="R165" s="62"/>
      <c r="S165" s="8"/>
      <c r="T165" s="8"/>
      <c r="U165" s="8"/>
      <c r="V165" s="8"/>
      <c r="W165" s="8"/>
      <c r="X165" s="8"/>
    </row>
    <row r="166" spans="1:24" x14ac:dyDescent="0.25">
      <c r="A166" s="1"/>
      <c r="R166" s="62"/>
      <c r="S166" s="8"/>
      <c r="T166" s="8"/>
      <c r="U166" s="8"/>
      <c r="V166" s="8"/>
      <c r="W166" s="8"/>
      <c r="X166" s="8"/>
    </row>
    <row r="167" spans="1:24" x14ac:dyDescent="0.25">
      <c r="A167" s="60" t="s">
        <v>52</v>
      </c>
      <c r="B167" s="60">
        <v>854071</v>
      </c>
      <c r="C167" s="60">
        <v>648187</v>
      </c>
      <c r="D167" s="60">
        <v>921942</v>
      </c>
      <c r="E167" s="60">
        <v>732785</v>
      </c>
      <c r="F167" s="60">
        <v>1162240</v>
      </c>
      <c r="G167" s="60">
        <v>3942566</v>
      </c>
      <c r="H167" s="60">
        <v>8261791</v>
      </c>
      <c r="R167" s="64" t="s">
        <v>31</v>
      </c>
      <c r="S167" s="8">
        <f t="shared" si="16"/>
        <v>0.103376011327326</v>
      </c>
      <c r="T167" s="8">
        <f t="shared" si="16"/>
        <v>7.8455990958861105E-2</v>
      </c>
      <c r="U167" s="8">
        <f t="shared" si="17"/>
        <v>0.20028671749261148</v>
      </c>
      <c r="V167" s="8">
        <f t="shared" si="18"/>
        <v>0.14067651917120633</v>
      </c>
      <c r="W167" s="8">
        <f t="shared" si="18"/>
        <v>0.4772047610499951</v>
      </c>
      <c r="X167" s="8"/>
    </row>
    <row r="172" spans="1:24" x14ac:dyDescent="0.25">
      <c r="A172" s="54"/>
      <c r="B172" s="60" t="s">
        <v>77</v>
      </c>
      <c r="R172" s="62"/>
      <c r="S172" s="62"/>
      <c r="T172" s="62"/>
      <c r="U172" s="64"/>
      <c r="V172" s="64"/>
      <c r="W172" s="64"/>
      <c r="X172" s="64"/>
    </row>
    <row r="173" spans="1:24" x14ac:dyDescent="0.25">
      <c r="A173" s="54"/>
      <c r="B173" s="60" t="s">
        <v>190</v>
      </c>
      <c r="C173" s="60" t="s">
        <v>191</v>
      </c>
      <c r="D173" s="60" t="s">
        <v>192</v>
      </c>
      <c r="E173" s="60" t="s">
        <v>193</v>
      </c>
      <c r="F173" s="60" t="s">
        <v>2</v>
      </c>
      <c r="R173" s="62"/>
      <c r="S173" s="5" t="s">
        <v>82</v>
      </c>
      <c r="T173" s="5" t="s">
        <v>87</v>
      </c>
      <c r="U173" s="5" t="s">
        <v>88</v>
      </c>
      <c r="V173" s="5" t="s">
        <v>89</v>
      </c>
      <c r="W173" s="64"/>
      <c r="X173" s="5"/>
    </row>
    <row r="174" spans="1:24" x14ac:dyDescent="0.25">
      <c r="A174" s="1" t="s">
        <v>146</v>
      </c>
      <c r="B174" s="60">
        <v>1386</v>
      </c>
      <c r="C174" s="60">
        <v>5213</v>
      </c>
      <c r="D174" s="60">
        <v>19962</v>
      </c>
      <c r="E174" s="60">
        <v>46520</v>
      </c>
      <c r="F174" s="60">
        <v>73081</v>
      </c>
      <c r="G174" s="60" t="e">
        <f>F174=O5</f>
        <v>#REF!</v>
      </c>
      <c r="R174" s="5" t="s">
        <v>146</v>
      </c>
      <c r="S174" s="8">
        <f>B174/$F174</f>
        <v>1.896525772772677E-2</v>
      </c>
      <c r="T174" s="8">
        <f>C174/$F174</f>
        <v>7.1331809909552416E-2</v>
      </c>
      <c r="U174" s="8">
        <f>D174/$F174</f>
        <v>0.27314897168894786</v>
      </c>
      <c r="V174" s="8">
        <f>E174/$F174</f>
        <v>0.6365539606737729</v>
      </c>
      <c r="W174" s="64"/>
      <c r="X174" s="8"/>
    </row>
    <row r="175" spans="1:24" x14ac:dyDescent="0.25">
      <c r="A175" s="1" t="s">
        <v>147</v>
      </c>
      <c r="B175" s="60">
        <v>6242</v>
      </c>
      <c r="C175" s="60">
        <v>23941</v>
      </c>
      <c r="D175" s="60">
        <v>51457</v>
      </c>
      <c r="E175" s="60">
        <v>75471</v>
      </c>
      <c r="F175" s="60">
        <v>157111</v>
      </c>
      <c r="G175" s="60" t="e">
        <f t="shared" ref="G175:G182" si="19">F175=O6</f>
        <v>#REF!</v>
      </c>
      <c r="R175" s="5" t="s">
        <v>147</v>
      </c>
      <c r="S175" s="8">
        <f t="shared" ref="S175:V195" si="20">B175/$F175</f>
        <v>3.9729872510518044E-2</v>
      </c>
      <c r="T175" s="8">
        <f t="shared" si="20"/>
        <v>0.15238271031309075</v>
      </c>
      <c r="U175" s="8">
        <f t="shared" si="20"/>
        <v>0.32752003360681303</v>
      </c>
      <c r="V175" s="8">
        <f t="shared" si="20"/>
        <v>0.4803673835695782</v>
      </c>
      <c r="W175" s="64"/>
      <c r="X175" s="8"/>
    </row>
    <row r="176" spans="1:24" x14ac:dyDescent="0.25">
      <c r="A176" s="1" t="s">
        <v>148</v>
      </c>
      <c r="B176" s="60">
        <v>31710</v>
      </c>
      <c r="C176" s="60">
        <v>61119</v>
      </c>
      <c r="D176" s="60">
        <v>64843</v>
      </c>
      <c r="E176" s="60">
        <v>101535</v>
      </c>
      <c r="F176" s="60">
        <v>259207</v>
      </c>
      <c r="G176" s="60" t="e">
        <f t="shared" si="19"/>
        <v>#REF!</v>
      </c>
      <c r="R176" s="5" t="s">
        <v>148</v>
      </c>
      <c r="S176" s="8">
        <f t="shared" si="20"/>
        <v>0.1223346591720131</v>
      </c>
      <c r="T176" s="8">
        <f t="shared" si="20"/>
        <v>0.23579224326503528</v>
      </c>
      <c r="U176" s="8">
        <f t="shared" si="20"/>
        <v>0.2501591392207772</v>
      </c>
      <c r="V176" s="8">
        <f t="shared" si="20"/>
        <v>0.39171395834217443</v>
      </c>
      <c r="W176" s="64"/>
      <c r="X176" s="8"/>
    </row>
    <row r="177" spans="1:24" x14ac:dyDescent="0.25">
      <c r="A177" s="1" t="s">
        <v>149</v>
      </c>
      <c r="B177" s="60">
        <v>816</v>
      </c>
      <c r="C177" s="60">
        <v>11012</v>
      </c>
      <c r="D177" s="60">
        <v>55982</v>
      </c>
      <c r="E177" s="60">
        <v>121377</v>
      </c>
      <c r="F177" s="60">
        <v>189187</v>
      </c>
      <c r="G177" s="60" t="e">
        <f t="shared" si="19"/>
        <v>#REF!</v>
      </c>
      <c r="R177" s="5" t="s">
        <v>215</v>
      </c>
      <c r="S177" s="8">
        <f t="shared" si="20"/>
        <v>4.3131927669448743E-3</v>
      </c>
      <c r="T177" s="8">
        <f t="shared" si="20"/>
        <v>5.8206959251957055E-2</v>
      </c>
      <c r="U177" s="8">
        <f t="shared" si="20"/>
        <v>0.29590828122439705</v>
      </c>
      <c r="V177" s="8">
        <f t="shared" si="20"/>
        <v>0.64157156675670102</v>
      </c>
      <c r="W177" s="64"/>
      <c r="X177" s="8"/>
    </row>
    <row r="178" spans="1:24" x14ac:dyDescent="0.25">
      <c r="A178" s="1" t="s">
        <v>150</v>
      </c>
      <c r="B178" s="60">
        <v>586</v>
      </c>
      <c r="C178" s="60">
        <v>2151</v>
      </c>
      <c r="D178" s="60">
        <v>25817</v>
      </c>
      <c r="E178" s="60">
        <v>155397</v>
      </c>
      <c r="F178" s="60">
        <v>183951</v>
      </c>
      <c r="G178" s="60" t="e">
        <f t="shared" si="19"/>
        <v>#REF!</v>
      </c>
      <c r="R178" s="5" t="s">
        <v>150</v>
      </c>
      <c r="S178" s="8">
        <f t="shared" si="20"/>
        <v>3.1856309560698228E-3</v>
      </c>
      <c r="T178" s="8">
        <f t="shared" si="20"/>
        <v>1.1693331376290425E-2</v>
      </c>
      <c r="U178" s="8">
        <f t="shared" si="20"/>
        <v>0.14034715766698741</v>
      </c>
      <c r="V178" s="8">
        <f t="shared" si="20"/>
        <v>0.84477388000065234</v>
      </c>
      <c r="W178" s="64"/>
      <c r="X178" s="8"/>
    </row>
    <row r="179" spans="1:24" x14ac:dyDescent="0.25">
      <c r="A179" s="1" t="s">
        <v>151</v>
      </c>
      <c r="B179" s="60">
        <v>58610</v>
      </c>
      <c r="C179" s="60">
        <v>50231</v>
      </c>
      <c r="D179" s="60">
        <v>39578</v>
      </c>
      <c r="E179" s="60">
        <v>408892</v>
      </c>
      <c r="F179" s="60">
        <v>557311</v>
      </c>
      <c r="G179" s="60" t="e">
        <f t="shared" si="19"/>
        <v>#REF!</v>
      </c>
      <c r="R179" s="5" t="s">
        <v>151</v>
      </c>
      <c r="S179" s="8">
        <f t="shared" si="20"/>
        <v>0.10516569742926302</v>
      </c>
      <c r="T179" s="8">
        <f t="shared" si="20"/>
        <v>9.0131004053392097E-2</v>
      </c>
      <c r="U179" s="8">
        <f t="shared" si="20"/>
        <v>7.1016003631724473E-2</v>
      </c>
      <c r="V179" s="8">
        <f t="shared" si="20"/>
        <v>0.73368729488562046</v>
      </c>
      <c r="W179" s="64"/>
      <c r="X179" s="8"/>
    </row>
    <row r="180" spans="1:24" x14ac:dyDescent="0.25">
      <c r="A180" s="1" t="s">
        <v>153</v>
      </c>
      <c r="B180" s="60">
        <v>6325</v>
      </c>
      <c r="C180" s="60">
        <v>14839</v>
      </c>
      <c r="D180" s="60">
        <v>36903</v>
      </c>
      <c r="E180" s="60">
        <v>458123</v>
      </c>
      <c r="F180" s="60">
        <v>516190</v>
      </c>
      <c r="G180" s="60" t="e">
        <f t="shared" si="19"/>
        <v>#REF!</v>
      </c>
      <c r="R180" s="5" t="s">
        <v>153</v>
      </c>
      <c r="S180" s="8">
        <f t="shared" si="20"/>
        <v>1.225324008601484E-2</v>
      </c>
      <c r="T180" s="8">
        <f t="shared" si="20"/>
        <v>2.8747166740928729E-2</v>
      </c>
      <c r="U180" s="8">
        <f t="shared" si="20"/>
        <v>7.1491117611732116E-2</v>
      </c>
      <c r="V180" s="8">
        <f t="shared" si="20"/>
        <v>0.88750847556132428</v>
      </c>
      <c r="W180" s="64"/>
      <c r="X180" s="8"/>
    </row>
    <row r="181" spans="1:24" x14ac:dyDescent="0.25">
      <c r="A181" s="1" t="s">
        <v>152</v>
      </c>
      <c r="B181" s="60">
        <v>5999</v>
      </c>
      <c r="C181" s="60">
        <v>11540</v>
      </c>
      <c r="D181" s="60">
        <v>17365</v>
      </c>
      <c r="E181" s="60">
        <v>125804</v>
      </c>
      <c r="F181" s="60">
        <v>160708</v>
      </c>
      <c r="G181" s="60" t="e">
        <f t="shared" si="19"/>
        <v>#REF!</v>
      </c>
      <c r="R181" s="5" t="s">
        <v>152</v>
      </c>
      <c r="S181" s="8">
        <f t="shared" si="20"/>
        <v>3.7328571073001963E-2</v>
      </c>
      <c r="T181" s="8">
        <f t="shared" si="20"/>
        <v>7.1807252905891433E-2</v>
      </c>
      <c r="U181" s="8">
        <f t="shared" si="20"/>
        <v>0.10805311496627423</v>
      </c>
      <c r="V181" s="8">
        <f t="shared" si="20"/>
        <v>0.78281106105483234</v>
      </c>
      <c r="W181" s="64"/>
      <c r="X181" s="8"/>
    </row>
    <row r="182" spans="1:24" x14ac:dyDescent="0.25">
      <c r="A182" s="1" t="s">
        <v>154</v>
      </c>
      <c r="B182" s="60">
        <v>7037</v>
      </c>
      <c r="C182" s="60">
        <v>25016</v>
      </c>
      <c r="D182" s="60">
        <v>26087</v>
      </c>
      <c r="E182" s="60">
        <v>61107</v>
      </c>
      <c r="F182" s="60">
        <v>119247</v>
      </c>
      <c r="G182" s="60" t="e">
        <f t="shared" si="19"/>
        <v>#REF!</v>
      </c>
      <c r="R182" s="5" t="s">
        <v>154</v>
      </c>
      <c r="S182" s="8">
        <f t="shared" si="20"/>
        <v>5.9011966758073575E-2</v>
      </c>
      <c r="T182" s="8">
        <f t="shared" si="20"/>
        <v>0.20978305533891839</v>
      </c>
      <c r="U182" s="8">
        <f t="shared" si="20"/>
        <v>0.21876441336050384</v>
      </c>
      <c r="V182" s="8">
        <f t="shared" si="20"/>
        <v>0.5124405645425042</v>
      </c>
      <c r="W182" s="64"/>
      <c r="X182" s="8"/>
    </row>
    <row r="183" spans="1:24" x14ac:dyDescent="0.25">
      <c r="A183" s="1"/>
      <c r="R183" s="62"/>
      <c r="S183" s="8"/>
      <c r="T183" s="8"/>
      <c r="U183" s="8"/>
      <c r="V183" s="8"/>
      <c r="W183" s="64"/>
      <c r="X183" s="8"/>
    </row>
    <row r="184" spans="1:24" x14ac:dyDescent="0.25">
      <c r="A184" s="1"/>
      <c r="R184" s="62"/>
      <c r="S184" s="8"/>
      <c r="T184" s="8"/>
      <c r="U184" s="8"/>
      <c r="V184" s="8"/>
      <c r="W184" s="64"/>
      <c r="X184" s="8"/>
    </row>
    <row r="185" spans="1:24" x14ac:dyDescent="0.25">
      <c r="A185" s="1"/>
      <c r="R185" s="62"/>
      <c r="S185" s="8"/>
      <c r="T185" s="8"/>
      <c r="U185" s="8"/>
      <c r="V185" s="8"/>
      <c r="W185" s="64"/>
      <c r="X185" s="8"/>
    </row>
    <row r="186" spans="1:24" x14ac:dyDescent="0.25">
      <c r="A186" s="1"/>
      <c r="R186" s="62"/>
      <c r="S186" s="8"/>
      <c r="T186" s="8"/>
      <c r="U186" s="8"/>
      <c r="V186" s="8"/>
      <c r="W186" s="64"/>
      <c r="X186" s="8"/>
    </row>
    <row r="187" spans="1:24" x14ac:dyDescent="0.25">
      <c r="A187" s="1"/>
      <c r="R187" s="62"/>
      <c r="S187" s="8"/>
      <c r="T187" s="8"/>
      <c r="U187" s="8"/>
      <c r="V187" s="8"/>
      <c r="W187" s="64"/>
      <c r="X187" s="8"/>
    </row>
    <row r="188" spans="1:24" x14ac:dyDescent="0.25">
      <c r="A188" s="1"/>
      <c r="R188" s="62"/>
      <c r="S188" s="8"/>
      <c r="T188" s="8"/>
      <c r="U188" s="8"/>
      <c r="V188" s="8"/>
      <c r="W188" s="64"/>
      <c r="X188" s="8"/>
    </row>
    <row r="189" spans="1:24" x14ac:dyDescent="0.25">
      <c r="A189" s="1"/>
      <c r="R189" s="62"/>
      <c r="S189" s="8"/>
      <c r="T189" s="8"/>
      <c r="U189" s="8"/>
      <c r="V189" s="8"/>
      <c r="W189" s="64"/>
      <c r="X189" s="8"/>
    </row>
    <row r="190" spans="1:24" x14ac:dyDescent="0.25">
      <c r="A190" s="1"/>
      <c r="R190" s="62"/>
      <c r="S190" s="8"/>
      <c r="T190" s="8"/>
      <c r="U190" s="8"/>
      <c r="V190" s="8"/>
      <c r="W190" s="64"/>
      <c r="X190" s="8"/>
    </row>
    <row r="191" spans="1:24" x14ac:dyDescent="0.25">
      <c r="A191" s="1"/>
      <c r="R191" s="62"/>
      <c r="S191" s="8"/>
      <c r="T191" s="8"/>
      <c r="U191" s="8"/>
      <c r="V191" s="8"/>
      <c r="W191" s="64"/>
      <c r="X191" s="8"/>
    </row>
    <row r="192" spans="1:24" x14ac:dyDescent="0.25">
      <c r="A192" s="1"/>
      <c r="R192" s="62"/>
      <c r="S192" s="8"/>
      <c r="T192" s="8"/>
      <c r="U192" s="8"/>
      <c r="V192" s="8"/>
      <c r="W192" s="64"/>
      <c r="X192" s="8"/>
    </row>
    <row r="193" spans="1:24" x14ac:dyDescent="0.25">
      <c r="A193" s="1"/>
      <c r="R193" s="62"/>
      <c r="S193" s="8"/>
      <c r="T193" s="8"/>
      <c r="U193" s="8"/>
      <c r="V193" s="8"/>
      <c r="W193" s="64"/>
      <c r="X193" s="8"/>
    </row>
    <row r="194" spans="1:24" x14ac:dyDescent="0.25">
      <c r="A194" s="1"/>
      <c r="R194" s="62"/>
      <c r="S194" s="8"/>
      <c r="T194" s="8"/>
      <c r="U194" s="8"/>
      <c r="V194" s="8"/>
      <c r="W194" s="64"/>
      <c r="X194" s="8"/>
    </row>
    <row r="195" spans="1:24" x14ac:dyDescent="0.25">
      <c r="A195" s="60" t="s">
        <v>52</v>
      </c>
      <c r="B195" s="60">
        <v>910298</v>
      </c>
      <c r="C195" s="60">
        <v>1350701</v>
      </c>
      <c r="D195" s="60">
        <v>1499154</v>
      </c>
      <c r="E195" s="60">
        <v>4501638</v>
      </c>
      <c r="F195" s="60">
        <v>8261791</v>
      </c>
      <c r="R195" s="64" t="s">
        <v>31</v>
      </c>
      <c r="S195" s="8">
        <f t="shared" si="20"/>
        <v>0.11018167852466856</v>
      </c>
      <c r="T195" s="8">
        <f t="shared" si="20"/>
        <v>0.16348767476688772</v>
      </c>
      <c r="U195" s="8">
        <f t="shared" si="20"/>
        <v>0.18145629682474418</v>
      </c>
      <c r="V195" s="8">
        <f t="shared" si="20"/>
        <v>0.54487434988369954</v>
      </c>
      <c r="W195" s="64"/>
      <c r="X195" s="8"/>
    </row>
  </sheetData>
  <pageMargins left="0.7" right="0.7" top="0.75" bottom="0.75" header="0.3" footer="0.3"/>
  <headerFooter>
    <oddHeader>&amp;L&amp;"Aptos"&amp;10&amp;K2FB5E4 | DNB UNRESTRICTED |&amp;1#_x000D_</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E5289-5ADD-4822-89C1-371734270B3D}">
  <dimension ref="A1:BO28"/>
  <sheetViews>
    <sheetView topLeftCell="H1" zoomScale="112" zoomScaleNormal="112" workbookViewId="0">
      <selection activeCell="V9" sqref="V9"/>
    </sheetView>
  </sheetViews>
  <sheetFormatPr defaultColWidth="11.54296875" defaultRowHeight="12.75" customHeight="1" x14ac:dyDescent="0.25"/>
  <cols>
    <col min="1" max="1" width="26" style="18" bestFit="1" customWidth="1"/>
    <col min="2" max="2" width="5.81640625" style="68" customWidth="1"/>
    <col min="3" max="24" width="11.54296875" style="18"/>
    <col min="25" max="44" width="7" style="18" customWidth="1"/>
    <col min="45" max="46" width="11.54296875" style="18"/>
    <col min="47" max="47" width="17.54296875" style="27" bestFit="1" customWidth="1"/>
    <col min="48" max="64" width="4.81640625" style="23" customWidth="1"/>
    <col min="65" max="65" width="10" style="23" customWidth="1"/>
    <col min="66" max="69" width="11.54296875" style="18"/>
    <col min="70" max="70" width="5.26953125" style="18" customWidth="1"/>
    <col min="71" max="88" width="5.81640625" style="18" customWidth="1"/>
    <col min="89" max="16384" width="11.54296875" style="18"/>
  </cols>
  <sheetData>
    <row r="1" spans="1:67" ht="12.75" customHeight="1" x14ac:dyDescent="0.35">
      <c r="A1" s="49">
        <v>2024</v>
      </c>
    </row>
    <row r="3" spans="1:67" ht="12.75" customHeight="1" x14ac:dyDescent="0.3">
      <c r="A3" s="55" t="s">
        <v>235</v>
      </c>
      <c r="B3" s="18"/>
      <c r="C3" s="38" t="s">
        <v>185</v>
      </c>
    </row>
    <row r="4" spans="1:67" ht="12.75" customHeight="1" x14ac:dyDescent="0.3">
      <c r="B4" s="50"/>
    </row>
    <row r="5" spans="1:67" ht="13" x14ac:dyDescent="0.3">
      <c r="B5" s="18"/>
      <c r="C5" s="51" t="s">
        <v>111</v>
      </c>
      <c r="D5" s="51" t="s">
        <v>112</v>
      </c>
      <c r="E5" s="51" t="s">
        <v>113</v>
      </c>
      <c r="F5" s="51" t="s">
        <v>171</v>
      </c>
      <c r="G5" s="51" t="s">
        <v>115</v>
      </c>
      <c r="H5" s="51" t="s">
        <v>172</v>
      </c>
      <c r="I5" s="51" t="s">
        <v>117</v>
      </c>
      <c r="J5" s="51" t="s">
        <v>25</v>
      </c>
      <c r="K5" s="51" t="s">
        <v>118</v>
      </c>
      <c r="L5" s="51" t="s">
        <v>120</v>
      </c>
      <c r="M5" s="51" t="s">
        <v>173</v>
      </c>
      <c r="N5" s="51" t="s">
        <v>122</v>
      </c>
      <c r="O5" s="51" t="s">
        <v>123</v>
      </c>
      <c r="P5" s="51" t="s">
        <v>174</v>
      </c>
      <c r="Q5" s="51" t="s">
        <v>125</v>
      </c>
      <c r="R5" s="51" t="s">
        <v>175</v>
      </c>
      <c r="S5" s="51" t="s">
        <v>159</v>
      </c>
      <c r="T5" s="51" t="s">
        <v>177</v>
      </c>
      <c r="X5" s="20"/>
      <c r="Y5" s="51"/>
      <c r="Z5" s="51"/>
      <c r="AA5" s="51"/>
      <c r="AB5" s="51"/>
      <c r="AC5" s="51"/>
      <c r="AD5" s="51"/>
      <c r="AE5" s="51"/>
      <c r="AF5" s="51"/>
      <c r="AG5" s="51"/>
      <c r="AH5" s="51"/>
      <c r="AI5" s="51"/>
      <c r="AJ5" s="51"/>
      <c r="AK5" s="51"/>
      <c r="AL5" s="51"/>
      <c r="AM5" s="51"/>
      <c r="AN5" s="51"/>
      <c r="AO5" s="51"/>
      <c r="AP5" s="51"/>
    </row>
    <row r="6" spans="1:67" ht="13" x14ac:dyDescent="0.3">
      <c r="B6" s="18"/>
      <c r="C6" s="18">
        <v>1</v>
      </c>
      <c r="D6" s="18">
        <v>3</v>
      </c>
      <c r="E6" s="18">
        <v>4</v>
      </c>
      <c r="F6" s="18">
        <v>6</v>
      </c>
      <c r="G6" s="18">
        <v>7</v>
      </c>
      <c r="H6" s="18">
        <v>8</v>
      </c>
      <c r="I6" s="18">
        <v>9</v>
      </c>
      <c r="J6" s="18">
        <v>10</v>
      </c>
      <c r="K6" s="18">
        <v>11</v>
      </c>
      <c r="L6" s="18">
        <v>13</v>
      </c>
      <c r="M6" s="18">
        <v>14</v>
      </c>
      <c r="N6" s="18">
        <v>15</v>
      </c>
      <c r="O6" s="18">
        <v>16</v>
      </c>
      <c r="P6" s="18">
        <v>17</v>
      </c>
      <c r="Q6" s="18">
        <v>18</v>
      </c>
      <c r="R6" s="18">
        <v>19</v>
      </c>
      <c r="S6" s="18">
        <v>78</v>
      </c>
      <c r="T6" s="18">
        <v>999</v>
      </c>
      <c r="U6" s="18" t="s">
        <v>2</v>
      </c>
      <c r="X6" s="20"/>
      <c r="Y6" s="51" t="s">
        <v>111</v>
      </c>
      <c r="Z6" s="51" t="s">
        <v>112</v>
      </c>
      <c r="AA6" s="51" t="s">
        <v>113</v>
      </c>
      <c r="AB6" s="51" t="s">
        <v>171</v>
      </c>
      <c r="AC6" s="51" t="s">
        <v>115</v>
      </c>
      <c r="AD6" s="51" t="s">
        <v>172</v>
      </c>
      <c r="AE6" s="51" t="s">
        <v>117</v>
      </c>
      <c r="AF6" s="51" t="s">
        <v>25</v>
      </c>
      <c r="AG6" s="51" t="s">
        <v>118</v>
      </c>
      <c r="AH6" s="51" t="s">
        <v>120</v>
      </c>
      <c r="AI6" s="51" t="s">
        <v>173</v>
      </c>
      <c r="AJ6" s="51" t="s">
        <v>122</v>
      </c>
      <c r="AK6" s="51" t="s">
        <v>123</v>
      </c>
      <c r="AL6" s="51" t="s">
        <v>174</v>
      </c>
      <c r="AM6" s="51" t="s">
        <v>125</v>
      </c>
      <c r="AN6" s="51" t="s">
        <v>175</v>
      </c>
      <c r="AO6" s="51" t="s">
        <v>159</v>
      </c>
      <c r="AP6" s="51" t="s">
        <v>177</v>
      </c>
      <c r="AQ6" s="48"/>
      <c r="AT6" s="24"/>
      <c r="AU6" s="28"/>
      <c r="AV6" s="25"/>
      <c r="AW6" s="25"/>
      <c r="AX6" s="25"/>
      <c r="AY6" s="25"/>
      <c r="AZ6" s="25"/>
      <c r="BA6" s="25"/>
      <c r="BB6" s="25"/>
      <c r="BC6" s="25"/>
      <c r="BD6" s="25"/>
      <c r="BE6" s="25"/>
      <c r="BF6" s="25"/>
      <c r="BG6" s="25"/>
      <c r="BH6" s="25"/>
      <c r="BI6" s="25"/>
      <c r="BJ6" s="25"/>
      <c r="BK6" s="25"/>
      <c r="BL6" s="25"/>
      <c r="BM6" s="25"/>
      <c r="BN6" s="24"/>
      <c r="BO6" s="24"/>
    </row>
    <row r="7" spans="1:67" ht="12.5" x14ac:dyDescent="0.25">
      <c r="B7" s="18"/>
      <c r="X7" s="29"/>
      <c r="Y7" s="53" t="s">
        <v>129</v>
      </c>
      <c r="Z7" s="53" t="s">
        <v>130</v>
      </c>
      <c r="AA7" s="53" t="s">
        <v>131</v>
      </c>
      <c r="AB7" s="53" t="s">
        <v>132</v>
      </c>
      <c r="AC7" s="53" t="s">
        <v>133</v>
      </c>
      <c r="AD7" s="53" t="s">
        <v>134</v>
      </c>
      <c r="AE7" s="53" t="s">
        <v>135</v>
      </c>
      <c r="AF7" s="53" t="s">
        <v>136</v>
      </c>
      <c r="AG7" s="53" t="s">
        <v>137</v>
      </c>
      <c r="AH7" s="53" t="s">
        <v>139</v>
      </c>
      <c r="AI7" s="53" t="s">
        <v>140</v>
      </c>
      <c r="AJ7" s="53" t="s">
        <v>141</v>
      </c>
      <c r="AK7" s="53" t="s">
        <v>142</v>
      </c>
      <c r="AL7" s="53" t="s">
        <v>143</v>
      </c>
      <c r="AM7" s="53" t="s">
        <v>144</v>
      </c>
      <c r="AN7" s="53" t="s">
        <v>145</v>
      </c>
      <c r="AO7" s="53">
        <v>78</v>
      </c>
      <c r="AP7" s="53" t="s">
        <v>127</v>
      </c>
      <c r="AQ7" s="53" t="s">
        <v>2</v>
      </c>
      <c r="AT7" s="26"/>
      <c r="AU7" s="31"/>
      <c r="AV7" s="32" t="s">
        <v>129</v>
      </c>
      <c r="AW7" s="32" t="s">
        <v>178</v>
      </c>
      <c r="AX7" s="32" t="s">
        <v>179</v>
      </c>
      <c r="AY7" s="32" t="s">
        <v>132</v>
      </c>
      <c r="AZ7" s="32" t="s">
        <v>133</v>
      </c>
      <c r="BA7" s="32" t="s">
        <v>134</v>
      </c>
      <c r="BB7" s="32" t="s">
        <v>135</v>
      </c>
      <c r="BC7" s="32" t="s">
        <v>136</v>
      </c>
      <c r="BD7" s="32" t="s">
        <v>137</v>
      </c>
      <c r="BE7" s="32" t="s">
        <v>139</v>
      </c>
      <c r="BF7" s="32" t="s">
        <v>140</v>
      </c>
      <c r="BG7" s="32" t="s">
        <v>141</v>
      </c>
      <c r="BH7" s="32" t="s">
        <v>142</v>
      </c>
      <c r="BI7" s="32" t="s">
        <v>143</v>
      </c>
      <c r="BJ7" s="32" t="s">
        <v>144</v>
      </c>
      <c r="BK7" s="32" t="s">
        <v>145</v>
      </c>
      <c r="BL7" s="32">
        <v>78</v>
      </c>
      <c r="BM7" s="32" t="s">
        <v>127</v>
      </c>
      <c r="BN7" s="33" t="s">
        <v>31</v>
      </c>
      <c r="BO7" s="26"/>
    </row>
    <row r="8" spans="1:67" ht="12.5" x14ac:dyDescent="0.25">
      <c r="A8" s="51" t="s">
        <v>146</v>
      </c>
      <c r="B8" s="37">
        <v>1</v>
      </c>
      <c r="C8" s="37">
        <v>27</v>
      </c>
      <c r="D8" s="37">
        <v>3294</v>
      </c>
      <c r="E8" s="37">
        <v>62</v>
      </c>
      <c r="F8" s="37">
        <v>78</v>
      </c>
      <c r="G8" s="37">
        <v>907</v>
      </c>
      <c r="H8" s="37">
        <v>166</v>
      </c>
      <c r="I8" s="37">
        <v>130</v>
      </c>
      <c r="J8" s="37">
        <v>112</v>
      </c>
      <c r="K8" s="37">
        <v>62</v>
      </c>
      <c r="L8" s="37">
        <v>727</v>
      </c>
      <c r="M8" s="37">
        <v>147</v>
      </c>
      <c r="N8" s="37">
        <v>25</v>
      </c>
      <c r="O8" s="37">
        <v>73</v>
      </c>
      <c r="P8" s="37">
        <v>118</v>
      </c>
      <c r="Q8" s="37">
        <v>27</v>
      </c>
      <c r="R8" s="37">
        <v>29</v>
      </c>
      <c r="S8" s="37">
        <v>1984</v>
      </c>
      <c r="T8" s="37">
        <v>1895</v>
      </c>
      <c r="U8" s="37">
        <v>9863</v>
      </c>
      <c r="V8" s="37">
        <f>U8-T8</f>
        <v>7968</v>
      </c>
      <c r="X8" s="29" t="s">
        <v>146</v>
      </c>
      <c r="Y8" s="56">
        <f t="shared" ref="Y8:AN16" si="0">IFERROR(C8/1000,"")</f>
        <v>2.7E-2</v>
      </c>
      <c r="Z8" s="56">
        <f t="shared" ref="Z8:AQ8" si="1">IFERROR(D8/1000,"")</f>
        <v>3.294</v>
      </c>
      <c r="AA8" s="56">
        <f t="shared" si="1"/>
        <v>6.2E-2</v>
      </c>
      <c r="AB8" s="56">
        <f t="shared" si="1"/>
        <v>7.8E-2</v>
      </c>
      <c r="AC8" s="56">
        <f t="shared" si="1"/>
        <v>0.90700000000000003</v>
      </c>
      <c r="AD8" s="56">
        <f t="shared" si="1"/>
        <v>0.16600000000000001</v>
      </c>
      <c r="AE8" s="56">
        <f t="shared" si="1"/>
        <v>0.13</v>
      </c>
      <c r="AF8" s="56">
        <f t="shared" si="1"/>
        <v>0.112</v>
      </c>
      <c r="AG8" s="56">
        <f t="shared" si="1"/>
        <v>6.2E-2</v>
      </c>
      <c r="AH8" s="56">
        <f t="shared" si="1"/>
        <v>0.72699999999999998</v>
      </c>
      <c r="AI8" s="56">
        <f t="shared" si="1"/>
        <v>0.14699999999999999</v>
      </c>
      <c r="AJ8" s="56">
        <f t="shared" si="1"/>
        <v>2.5000000000000001E-2</v>
      </c>
      <c r="AK8" s="56">
        <f t="shared" si="1"/>
        <v>7.2999999999999995E-2</v>
      </c>
      <c r="AL8" s="56">
        <f t="shared" si="1"/>
        <v>0.11799999999999999</v>
      </c>
      <c r="AM8" s="56">
        <f t="shared" si="1"/>
        <v>2.7E-2</v>
      </c>
      <c r="AN8" s="56">
        <f t="shared" si="1"/>
        <v>2.9000000000000001E-2</v>
      </c>
      <c r="AO8" s="56">
        <f t="shared" si="1"/>
        <v>1.984</v>
      </c>
      <c r="AP8" s="56">
        <f t="shared" si="1"/>
        <v>1.895</v>
      </c>
      <c r="AQ8" s="56">
        <f t="shared" si="1"/>
        <v>9.8629999999999995</v>
      </c>
      <c r="AT8" s="26"/>
      <c r="AU8" s="31" t="s">
        <v>146</v>
      </c>
      <c r="AV8" s="77">
        <f>IFERROR(IF(Y8&gt;0,Y8,"x")/$AQ8,"")*100</f>
        <v>0.27375038020886139</v>
      </c>
      <c r="AW8" s="77">
        <f t="shared" ref="AW8:BL8" si="2">IFERROR(IF(Z8&gt;0,Z8,"x")/$AQ8,"")*100</f>
        <v>33.397546385481093</v>
      </c>
      <c r="AX8" s="77">
        <f t="shared" si="2"/>
        <v>0.62861198418331143</v>
      </c>
      <c r="AY8" s="77">
        <f t="shared" si="2"/>
        <v>0.79083443171448842</v>
      </c>
      <c r="AZ8" s="77">
        <f t="shared" si="2"/>
        <v>9.1959849944236041</v>
      </c>
      <c r="BA8" s="77">
        <f t="shared" si="2"/>
        <v>1.6830578931359628</v>
      </c>
      <c r="BB8" s="77">
        <f t="shared" si="2"/>
        <v>1.3180573861908143</v>
      </c>
      <c r="BC8" s="77">
        <f t="shared" si="2"/>
        <v>1.1355571327182399</v>
      </c>
      <c r="BD8" s="77">
        <f t="shared" si="2"/>
        <v>0.62861198418331143</v>
      </c>
      <c r="BE8" s="77">
        <f t="shared" si="2"/>
        <v>7.3709824596978617</v>
      </c>
      <c r="BF8" s="77">
        <f t="shared" si="2"/>
        <v>1.4904187366926898</v>
      </c>
      <c r="BG8" s="77">
        <f t="shared" si="2"/>
        <v>0.25347257426746428</v>
      </c>
      <c r="BH8" s="77">
        <f t="shared" si="2"/>
        <v>0.74013991686099567</v>
      </c>
      <c r="BI8" s="77">
        <f t="shared" si="2"/>
        <v>1.1963905505424313</v>
      </c>
      <c r="BJ8" s="77">
        <f t="shared" si="2"/>
        <v>0.27375038020886139</v>
      </c>
      <c r="BK8" s="77">
        <f t="shared" si="2"/>
        <v>0.29402818615025855</v>
      </c>
      <c r="BL8" s="77">
        <f t="shared" si="2"/>
        <v>20.115583493865966</v>
      </c>
      <c r="BM8" s="78">
        <f>IFERROR(IF(AP8&gt;0,AP8,"x")/$AQ8,"")*100</f>
        <v>19.213221129473794</v>
      </c>
      <c r="BN8" s="116">
        <f t="shared" ref="BN8:BN16" si="3">SUM(AV8:BM8)</f>
        <v>100</v>
      </c>
      <c r="BO8" s="26"/>
    </row>
    <row r="9" spans="1:67" ht="12.5" x14ac:dyDescent="0.25">
      <c r="A9" s="51" t="s">
        <v>147</v>
      </c>
      <c r="B9" s="37">
        <v>2</v>
      </c>
      <c r="C9" s="37">
        <v>114</v>
      </c>
      <c r="D9" s="37">
        <v>4821</v>
      </c>
      <c r="E9" s="37">
        <v>78</v>
      </c>
      <c r="F9" s="37">
        <v>443</v>
      </c>
      <c r="G9" s="37">
        <v>2649</v>
      </c>
      <c r="H9" s="37">
        <v>333</v>
      </c>
      <c r="I9" s="37">
        <v>348</v>
      </c>
      <c r="J9" s="37">
        <v>775</v>
      </c>
      <c r="K9" s="37">
        <v>135</v>
      </c>
      <c r="L9" s="37">
        <v>1790</v>
      </c>
      <c r="M9" s="37">
        <v>240</v>
      </c>
      <c r="N9" s="37">
        <v>86</v>
      </c>
      <c r="O9" s="37">
        <v>255</v>
      </c>
      <c r="P9" s="37">
        <v>159</v>
      </c>
      <c r="Q9" s="37">
        <v>85</v>
      </c>
      <c r="R9" s="37">
        <v>36</v>
      </c>
      <c r="S9" s="37">
        <v>3763</v>
      </c>
      <c r="T9" s="37">
        <v>4795</v>
      </c>
      <c r="U9" s="37">
        <v>20905</v>
      </c>
      <c r="X9" s="29" t="s">
        <v>147</v>
      </c>
      <c r="Y9" s="56">
        <f t="shared" si="0"/>
        <v>0.114</v>
      </c>
      <c r="Z9" s="56">
        <f t="shared" si="0"/>
        <v>4.8209999999999997</v>
      </c>
      <c r="AA9" s="56">
        <f t="shared" si="0"/>
        <v>7.8E-2</v>
      </c>
      <c r="AB9" s="56">
        <f t="shared" si="0"/>
        <v>0.443</v>
      </c>
      <c r="AC9" s="56">
        <f t="shared" si="0"/>
        <v>2.649</v>
      </c>
      <c r="AD9" s="56">
        <f t="shared" si="0"/>
        <v>0.33300000000000002</v>
      </c>
      <c r="AE9" s="56">
        <f t="shared" si="0"/>
        <v>0.34799999999999998</v>
      </c>
      <c r="AF9" s="56">
        <f t="shared" si="0"/>
        <v>0.77500000000000002</v>
      </c>
      <c r="AG9" s="56">
        <f t="shared" si="0"/>
        <v>0.13500000000000001</v>
      </c>
      <c r="AH9" s="56">
        <f t="shared" si="0"/>
        <v>1.79</v>
      </c>
      <c r="AI9" s="56">
        <f t="shared" si="0"/>
        <v>0.24</v>
      </c>
      <c r="AJ9" s="56">
        <f t="shared" si="0"/>
        <v>8.5999999999999993E-2</v>
      </c>
      <c r="AK9" s="56">
        <f t="shared" si="0"/>
        <v>0.255</v>
      </c>
      <c r="AL9" s="56">
        <f t="shared" si="0"/>
        <v>0.159</v>
      </c>
      <c r="AM9" s="56">
        <f t="shared" si="0"/>
        <v>8.5000000000000006E-2</v>
      </c>
      <c r="AN9" s="56">
        <f t="shared" si="0"/>
        <v>3.5999999999999997E-2</v>
      </c>
      <c r="AO9" s="56">
        <f t="shared" ref="AO9:AQ16" si="4">IFERROR(S9/1000,"")</f>
        <v>3.7629999999999999</v>
      </c>
      <c r="AP9" s="56">
        <f t="shared" si="4"/>
        <v>4.7949999999999999</v>
      </c>
      <c r="AQ9" s="56">
        <f t="shared" si="4"/>
        <v>20.905000000000001</v>
      </c>
      <c r="AT9" s="26"/>
      <c r="AU9" s="31" t="s">
        <v>147</v>
      </c>
      <c r="AV9" s="77">
        <f t="shared" ref="AV9:AV16" si="5">IFERROR(IF(Y9&gt;0,Y9,"x")/$AQ9,"")*100</f>
        <v>0.54532408514709396</v>
      </c>
      <c r="AW9" s="77">
        <f t="shared" ref="AW9:AW16" si="6">IFERROR(IF(Z9&gt;0,Z9,"x")/$AQ9,"")*100</f>
        <v>23.06146854819421</v>
      </c>
      <c r="AX9" s="77">
        <f t="shared" ref="AX9:AX16" si="7">IFERROR(IF(AA9&gt;0,AA9,"x")/$AQ9,"")*100</f>
        <v>0.37311647931116954</v>
      </c>
      <c r="AY9" s="77">
        <f t="shared" ref="AY9:AY16" si="8">IFERROR(IF(AB9&gt;0,AB9,"x")/$AQ9,"")*100</f>
        <v>2.1191102607031809</v>
      </c>
      <c r="AZ9" s="77">
        <f t="shared" ref="AZ9:AZ16" si="9">IFERROR(IF(AC9&gt;0,AC9,"x")/$AQ9,"")*100</f>
        <v>12.671609662760105</v>
      </c>
      <c r="BA9" s="77">
        <f t="shared" ref="BA9:BA16" si="10">IFERROR(IF(AD9&gt;0,AD9,"x")/$AQ9,"")*100</f>
        <v>1.5929203539823009</v>
      </c>
      <c r="BB9" s="77">
        <f t="shared" ref="BB9:BB16" si="11">IFERROR(IF(AE9&gt;0,AE9,"x")/$AQ9,"")*100</f>
        <v>1.6646735230806027</v>
      </c>
      <c r="BC9" s="77">
        <f t="shared" ref="BC9:BC16" si="12">IFERROR(IF(AF9&gt;0,AF9,"x")/$AQ9,"")*100</f>
        <v>3.7072470700789282</v>
      </c>
      <c r="BD9" s="77">
        <f t="shared" ref="BD9:BD16" si="13">IFERROR(IF(AG9&gt;0,AG9,"x")/$AQ9,"")*100</f>
        <v>0.64577852188471663</v>
      </c>
      <c r="BE9" s="77">
        <f t="shared" ref="BE9:BE16" si="14">IFERROR(IF(AH9&gt;0,AH9,"x")/$AQ9,"")*100</f>
        <v>8.5625448457306863</v>
      </c>
      <c r="BF9" s="77">
        <f t="shared" ref="BF9:BF16" si="15">IFERROR(IF(AI9&gt;0,AI9,"x")/$AQ9,"")*100</f>
        <v>1.1480507055728295</v>
      </c>
      <c r="BG9" s="77">
        <f t="shared" ref="BG9:BG16" si="16">IFERROR(IF(AJ9&gt;0,AJ9,"x")/$AQ9,"")*100</f>
        <v>0.41138483616359717</v>
      </c>
      <c r="BH9" s="77">
        <f t="shared" ref="BH9:BH16" si="17">IFERROR(IF(AK9&gt;0,AK9,"x")/$AQ9,"")*100</f>
        <v>1.2198038746711313</v>
      </c>
      <c r="BI9" s="77">
        <f t="shared" ref="BI9:BI16" si="18">IFERROR(IF(AL9&gt;0,AL9,"x")/$AQ9,"")*100</f>
        <v>0.76058359244199947</v>
      </c>
      <c r="BJ9" s="77">
        <f t="shared" ref="BJ9:BJ16" si="19">IFERROR(IF(AM9&gt;0,AM9,"x")/$AQ9,"")*100</f>
        <v>0.40660129155704378</v>
      </c>
      <c r="BK9" s="77">
        <f t="shared" ref="BK9:BK16" si="20">IFERROR(IF(AN9&gt;0,AN9,"x")/$AQ9,"")*100</f>
        <v>0.1722076058359244</v>
      </c>
      <c r="BL9" s="77">
        <f t="shared" ref="BL9:BL16" si="21">IFERROR(IF(AO9&gt;0,AO9,"x")/$AQ9,"")*100</f>
        <v>18.000478354460654</v>
      </c>
      <c r="BM9" s="78">
        <f t="shared" ref="BM9:BM16" si="22">IFERROR(IF(AP9&gt;0,AP9,"x")/$AQ9,"")*100</f>
        <v>22.937096388423818</v>
      </c>
      <c r="BN9" s="116">
        <f t="shared" si="3"/>
        <v>99.999999999999972</v>
      </c>
      <c r="BO9" s="26"/>
    </row>
    <row r="10" spans="1:67" ht="12.5" x14ac:dyDescent="0.25">
      <c r="A10" s="51" t="s">
        <v>148</v>
      </c>
      <c r="B10" s="37">
        <v>3</v>
      </c>
      <c r="C10" s="37">
        <v>86</v>
      </c>
      <c r="D10" s="37">
        <v>1184</v>
      </c>
      <c r="E10" s="37">
        <v>193</v>
      </c>
      <c r="F10" s="37">
        <v>407</v>
      </c>
      <c r="G10" s="37">
        <v>5150</v>
      </c>
      <c r="H10" s="37">
        <v>645</v>
      </c>
      <c r="I10" s="37">
        <v>1231</v>
      </c>
      <c r="J10" s="37">
        <v>14939</v>
      </c>
      <c r="K10" s="37">
        <v>1028</v>
      </c>
      <c r="L10" s="37">
        <v>4523</v>
      </c>
      <c r="M10" s="37">
        <v>888</v>
      </c>
      <c r="N10" s="37">
        <v>400</v>
      </c>
      <c r="O10" s="37">
        <v>846</v>
      </c>
      <c r="P10" s="37">
        <v>861</v>
      </c>
      <c r="Q10" s="37">
        <v>397</v>
      </c>
      <c r="R10" s="37">
        <v>266</v>
      </c>
      <c r="S10" s="37">
        <v>4484</v>
      </c>
      <c r="T10" s="37">
        <v>16216</v>
      </c>
      <c r="U10" s="37">
        <v>53744</v>
      </c>
      <c r="X10" s="29" t="s">
        <v>148</v>
      </c>
      <c r="Y10" s="56">
        <f t="shared" si="0"/>
        <v>8.5999999999999993E-2</v>
      </c>
      <c r="Z10" s="56">
        <f t="shared" si="0"/>
        <v>1.1839999999999999</v>
      </c>
      <c r="AA10" s="56">
        <f t="shared" si="0"/>
        <v>0.193</v>
      </c>
      <c r="AB10" s="56">
        <f t="shared" si="0"/>
        <v>0.40699999999999997</v>
      </c>
      <c r="AC10" s="56">
        <f t="shared" si="0"/>
        <v>5.15</v>
      </c>
      <c r="AD10" s="56">
        <f t="shared" si="0"/>
        <v>0.64500000000000002</v>
      </c>
      <c r="AE10" s="56">
        <f t="shared" si="0"/>
        <v>1.2310000000000001</v>
      </c>
      <c r="AF10" s="56">
        <f t="shared" si="0"/>
        <v>14.939</v>
      </c>
      <c r="AG10" s="56">
        <f t="shared" si="0"/>
        <v>1.028</v>
      </c>
      <c r="AH10" s="56">
        <f t="shared" si="0"/>
        <v>4.5229999999999997</v>
      </c>
      <c r="AI10" s="56">
        <f t="shared" si="0"/>
        <v>0.88800000000000001</v>
      </c>
      <c r="AJ10" s="56">
        <f t="shared" si="0"/>
        <v>0.4</v>
      </c>
      <c r="AK10" s="56">
        <f t="shared" si="0"/>
        <v>0.84599999999999997</v>
      </c>
      <c r="AL10" s="56">
        <f t="shared" si="0"/>
        <v>0.86099999999999999</v>
      </c>
      <c r="AM10" s="56">
        <f t="shared" si="0"/>
        <v>0.39700000000000002</v>
      </c>
      <c r="AN10" s="56">
        <f t="shared" si="0"/>
        <v>0.26600000000000001</v>
      </c>
      <c r="AO10" s="56">
        <f t="shared" si="4"/>
        <v>4.484</v>
      </c>
      <c r="AP10" s="56">
        <f t="shared" si="4"/>
        <v>16.216000000000001</v>
      </c>
      <c r="AQ10" s="56">
        <f t="shared" si="4"/>
        <v>53.744</v>
      </c>
      <c r="AT10" s="26"/>
      <c r="AU10" s="31" t="s">
        <v>148</v>
      </c>
      <c r="AV10" s="77">
        <f t="shared" si="5"/>
        <v>0.16001786245906519</v>
      </c>
      <c r="AW10" s="77">
        <f t="shared" si="6"/>
        <v>2.2030366180410836</v>
      </c>
      <c r="AX10" s="77">
        <f t="shared" si="7"/>
        <v>0.35910985412325097</v>
      </c>
      <c r="AY10" s="77">
        <f t="shared" si="8"/>
        <v>0.75729383745162249</v>
      </c>
      <c r="AZ10" s="77">
        <f t="shared" si="9"/>
        <v>9.5824650193509981</v>
      </c>
      <c r="BA10" s="77">
        <f t="shared" si="10"/>
        <v>1.200133968442989</v>
      </c>
      <c r="BB10" s="77">
        <f t="shared" si="11"/>
        <v>2.2904882405477824</v>
      </c>
      <c r="BC10" s="77">
        <f t="shared" si="12"/>
        <v>27.796591247395057</v>
      </c>
      <c r="BD10" s="77">
        <f t="shared" si="13"/>
        <v>1.9127716582316168</v>
      </c>
      <c r="BE10" s="77">
        <f t="shared" si="14"/>
        <v>8.4158231616552541</v>
      </c>
      <c r="BF10" s="77">
        <f t="shared" si="15"/>
        <v>1.6522774635308126</v>
      </c>
      <c r="BG10" s="77">
        <f t="shared" si="16"/>
        <v>0.74426912771658238</v>
      </c>
      <c r="BH10" s="77">
        <f t="shared" si="17"/>
        <v>1.5741292051205718</v>
      </c>
      <c r="BI10" s="77">
        <f t="shared" si="18"/>
        <v>1.6020392974099433</v>
      </c>
      <c r="BJ10" s="77">
        <f t="shared" si="19"/>
        <v>0.73868710925870795</v>
      </c>
      <c r="BK10" s="77">
        <f t="shared" si="20"/>
        <v>0.49493896993152725</v>
      </c>
      <c r="BL10" s="77">
        <f t="shared" si="21"/>
        <v>8.3432569217028885</v>
      </c>
      <c r="BM10" s="78">
        <f t="shared" si="22"/>
        <v>30.172670437630249</v>
      </c>
      <c r="BN10" s="116">
        <f t="shared" si="3"/>
        <v>100</v>
      </c>
      <c r="BO10" s="26"/>
    </row>
    <row r="11" spans="1:67" ht="12.5" x14ac:dyDescent="0.25">
      <c r="A11" s="51" t="s">
        <v>149</v>
      </c>
      <c r="B11" s="37">
        <v>4</v>
      </c>
      <c r="C11" s="37">
        <v>67</v>
      </c>
      <c r="D11" s="37">
        <v>203</v>
      </c>
      <c r="E11" s="37">
        <v>16</v>
      </c>
      <c r="F11" s="37">
        <v>71</v>
      </c>
      <c r="G11" s="37">
        <v>1562</v>
      </c>
      <c r="H11" s="37">
        <v>93</v>
      </c>
      <c r="I11" s="37">
        <v>690</v>
      </c>
      <c r="J11" s="37">
        <v>123</v>
      </c>
      <c r="K11" s="37">
        <v>81</v>
      </c>
      <c r="L11" s="37">
        <v>269</v>
      </c>
      <c r="M11" s="37">
        <v>170</v>
      </c>
      <c r="N11" s="37">
        <v>152</v>
      </c>
      <c r="O11" s="37">
        <v>9573</v>
      </c>
      <c r="P11" s="37">
        <v>2231</v>
      </c>
      <c r="Q11" s="37">
        <v>330</v>
      </c>
      <c r="R11" s="37">
        <v>109</v>
      </c>
      <c r="S11" s="37">
        <v>757</v>
      </c>
      <c r="T11" s="37">
        <v>5075</v>
      </c>
      <c r="U11" s="37">
        <v>21572</v>
      </c>
      <c r="X11" s="29" t="s">
        <v>149</v>
      </c>
      <c r="Y11" s="56">
        <f t="shared" si="0"/>
        <v>6.7000000000000004E-2</v>
      </c>
      <c r="Z11" s="56">
        <f t="shared" si="0"/>
        <v>0.20300000000000001</v>
      </c>
      <c r="AA11" s="56">
        <f t="shared" si="0"/>
        <v>1.6E-2</v>
      </c>
      <c r="AB11" s="56">
        <f t="shared" si="0"/>
        <v>7.0999999999999994E-2</v>
      </c>
      <c r="AC11" s="56">
        <f t="shared" si="0"/>
        <v>1.5620000000000001</v>
      </c>
      <c r="AD11" s="56">
        <f t="shared" si="0"/>
        <v>9.2999999999999999E-2</v>
      </c>
      <c r="AE11" s="56">
        <f t="shared" si="0"/>
        <v>0.69</v>
      </c>
      <c r="AF11" s="56">
        <f t="shared" si="0"/>
        <v>0.123</v>
      </c>
      <c r="AG11" s="56">
        <f t="shared" si="0"/>
        <v>8.1000000000000003E-2</v>
      </c>
      <c r="AH11" s="56">
        <f t="shared" si="0"/>
        <v>0.26900000000000002</v>
      </c>
      <c r="AI11" s="56">
        <f t="shared" si="0"/>
        <v>0.17</v>
      </c>
      <c r="AJ11" s="56">
        <f t="shared" si="0"/>
        <v>0.152</v>
      </c>
      <c r="AK11" s="56">
        <f t="shared" si="0"/>
        <v>9.5730000000000004</v>
      </c>
      <c r="AL11" s="56">
        <f t="shared" si="0"/>
        <v>2.2309999999999999</v>
      </c>
      <c r="AM11" s="56">
        <f t="shared" si="0"/>
        <v>0.33</v>
      </c>
      <c r="AN11" s="56">
        <f t="shared" si="0"/>
        <v>0.109</v>
      </c>
      <c r="AO11" s="56">
        <f t="shared" si="4"/>
        <v>0.75700000000000001</v>
      </c>
      <c r="AP11" s="56">
        <f t="shared" si="4"/>
        <v>5.0750000000000002</v>
      </c>
      <c r="AQ11" s="56">
        <f t="shared" si="4"/>
        <v>21.571999999999999</v>
      </c>
      <c r="AT11" s="26"/>
      <c r="AU11" s="31" t="s">
        <v>149</v>
      </c>
      <c r="AV11" s="77">
        <f t="shared" si="5"/>
        <v>0.31058779899870209</v>
      </c>
      <c r="AW11" s="77">
        <f t="shared" si="6"/>
        <v>0.94103467457815704</v>
      </c>
      <c r="AX11" s="77">
        <f t="shared" si="7"/>
        <v>7.4170220656406452E-2</v>
      </c>
      <c r="AY11" s="77">
        <f t="shared" si="8"/>
        <v>0.32913035416280362</v>
      </c>
      <c r="AZ11" s="77">
        <f t="shared" si="9"/>
        <v>7.2408677915816799</v>
      </c>
      <c r="BA11" s="77">
        <f t="shared" si="10"/>
        <v>0.43111440756536251</v>
      </c>
      <c r="BB11" s="77">
        <f t="shared" si="11"/>
        <v>3.1985907658075283</v>
      </c>
      <c r="BC11" s="77">
        <f t="shared" si="12"/>
        <v>0.57018357129612462</v>
      </c>
      <c r="BD11" s="77">
        <f t="shared" si="13"/>
        <v>0.37548674207305771</v>
      </c>
      <c r="BE11" s="77">
        <f t="shared" si="14"/>
        <v>1.2469868347858337</v>
      </c>
      <c r="BF11" s="77">
        <f t="shared" si="15"/>
        <v>0.7880585944743187</v>
      </c>
      <c r="BG11" s="77">
        <f t="shared" si="16"/>
        <v>0.70461709623586133</v>
      </c>
      <c r="BH11" s="77">
        <f t="shared" si="17"/>
        <v>44.376970146486187</v>
      </c>
      <c r="BI11" s="77">
        <f t="shared" si="18"/>
        <v>10.342110142777674</v>
      </c>
      <c r="BJ11" s="77">
        <f t="shared" si="19"/>
        <v>1.5297608010383832</v>
      </c>
      <c r="BK11" s="77">
        <f t="shared" si="20"/>
        <v>0.50528462822176901</v>
      </c>
      <c r="BL11" s="77">
        <f t="shared" si="21"/>
        <v>3.5091785648062306</v>
      </c>
      <c r="BM11" s="78">
        <f t="shared" si="22"/>
        <v>23.525866864453924</v>
      </c>
      <c r="BN11" s="116">
        <f t="shared" si="3"/>
        <v>100</v>
      </c>
      <c r="BO11" s="26"/>
    </row>
    <row r="12" spans="1:67" ht="12.5" x14ac:dyDescent="0.25">
      <c r="A12" s="51" t="s">
        <v>150</v>
      </c>
      <c r="B12" s="37">
        <v>5</v>
      </c>
      <c r="C12" s="37">
        <v>76</v>
      </c>
      <c r="D12" s="37">
        <v>366</v>
      </c>
      <c r="E12" s="37">
        <v>30</v>
      </c>
      <c r="F12" s="37">
        <v>272</v>
      </c>
      <c r="G12" s="37">
        <v>1816</v>
      </c>
      <c r="H12" s="37">
        <v>171</v>
      </c>
      <c r="I12" s="37">
        <v>793</v>
      </c>
      <c r="J12" s="37">
        <v>307</v>
      </c>
      <c r="K12" s="37">
        <v>146</v>
      </c>
      <c r="L12" s="37">
        <v>447</v>
      </c>
      <c r="M12" s="37">
        <v>261</v>
      </c>
      <c r="N12" s="37">
        <v>352</v>
      </c>
      <c r="O12" s="37">
        <v>12637</v>
      </c>
      <c r="P12" s="37">
        <v>1686</v>
      </c>
      <c r="Q12" s="37">
        <v>364</v>
      </c>
      <c r="R12" s="37">
        <v>262</v>
      </c>
      <c r="S12" s="37">
        <v>1183</v>
      </c>
      <c r="T12" s="37">
        <v>6518</v>
      </c>
      <c r="U12" s="37">
        <v>27687</v>
      </c>
      <c r="X12" s="29" t="s">
        <v>150</v>
      </c>
      <c r="Y12" s="56">
        <f t="shared" si="0"/>
        <v>7.5999999999999998E-2</v>
      </c>
      <c r="Z12" s="56">
        <f t="shared" si="0"/>
        <v>0.36599999999999999</v>
      </c>
      <c r="AA12" s="56">
        <f t="shared" si="0"/>
        <v>0.03</v>
      </c>
      <c r="AB12" s="56">
        <f t="shared" si="0"/>
        <v>0.27200000000000002</v>
      </c>
      <c r="AC12" s="56">
        <f t="shared" si="0"/>
        <v>1.8160000000000001</v>
      </c>
      <c r="AD12" s="56">
        <f t="shared" si="0"/>
        <v>0.17100000000000001</v>
      </c>
      <c r="AE12" s="56">
        <f t="shared" si="0"/>
        <v>0.79300000000000004</v>
      </c>
      <c r="AF12" s="56">
        <f t="shared" si="0"/>
        <v>0.307</v>
      </c>
      <c r="AG12" s="56">
        <f t="shared" si="0"/>
        <v>0.14599999999999999</v>
      </c>
      <c r="AH12" s="56">
        <f t="shared" si="0"/>
        <v>0.44700000000000001</v>
      </c>
      <c r="AI12" s="56">
        <f t="shared" si="0"/>
        <v>0.26100000000000001</v>
      </c>
      <c r="AJ12" s="56">
        <f t="shared" si="0"/>
        <v>0.35199999999999998</v>
      </c>
      <c r="AK12" s="56">
        <f t="shared" si="0"/>
        <v>12.637</v>
      </c>
      <c r="AL12" s="56">
        <f t="shared" si="0"/>
        <v>1.6859999999999999</v>
      </c>
      <c r="AM12" s="56">
        <f t="shared" si="0"/>
        <v>0.36399999999999999</v>
      </c>
      <c r="AN12" s="56">
        <f t="shared" si="0"/>
        <v>0.26200000000000001</v>
      </c>
      <c r="AO12" s="56">
        <f t="shared" si="4"/>
        <v>1.1830000000000001</v>
      </c>
      <c r="AP12" s="56">
        <f t="shared" si="4"/>
        <v>6.5179999999999998</v>
      </c>
      <c r="AQ12" s="56">
        <f t="shared" si="4"/>
        <v>27.687000000000001</v>
      </c>
      <c r="AT12" s="26"/>
      <c r="AU12" s="31" t="s">
        <v>150</v>
      </c>
      <c r="AV12" s="77">
        <f t="shared" si="5"/>
        <v>0.27449705638025063</v>
      </c>
      <c r="AW12" s="77">
        <f t="shared" si="6"/>
        <v>1.3219200346733124</v>
      </c>
      <c r="AX12" s="77">
        <f t="shared" si="7"/>
        <v>0.10835410120273051</v>
      </c>
      <c r="AY12" s="77">
        <f t="shared" si="8"/>
        <v>0.9824105175714235</v>
      </c>
      <c r="AZ12" s="77">
        <f t="shared" si="9"/>
        <v>6.5590349261386214</v>
      </c>
      <c r="BA12" s="77">
        <f t="shared" si="10"/>
        <v>0.61761837685556398</v>
      </c>
      <c r="BB12" s="77">
        <f t="shared" si="11"/>
        <v>2.8641600751255103</v>
      </c>
      <c r="BC12" s="77">
        <f t="shared" si="12"/>
        <v>1.1088236356412757</v>
      </c>
      <c r="BD12" s="77">
        <f t="shared" si="13"/>
        <v>0.52732329251995513</v>
      </c>
      <c r="BE12" s="77">
        <f t="shared" si="14"/>
        <v>1.6144761079206846</v>
      </c>
      <c r="BF12" s="77">
        <f t="shared" si="15"/>
        <v>0.94268068046375553</v>
      </c>
      <c r="BG12" s="77">
        <f t="shared" si="16"/>
        <v>1.2713547874453712</v>
      </c>
      <c r="BH12" s="77">
        <f t="shared" si="17"/>
        <v>45.642359229963517</v>
      </c>
      <c r="BI12" s="77">
        <f t="shared" si="18"/>
        <v>6.0895004875934546</v>
      </c>
      <c r="BJ12" s="77">
        <f t="shared" si="19"/>
        <v>1.3146964279264637</v>
      </c>
      <c r="BK12" s="77">
        <f t="shared" si="20"/>
        <v>0.94629248383717979</v>
      </c>
      <c r="BL12" s="77">
        <f t="shared" si="21"/>
        <v>4.272763390761007</v>
      </c>
      <c r="BM12" s="78">
        <f t="shared" si="22"/>
        <v>23.541734387979918</v>
      </c>
      <c r="BN12" s="116">
        <f t="shared" si="3"/>
        <v>100</v>
      </c>
      <c r="BO12" s="26"/>
    </row>
    <row r="13" spans="1:67" ht="12.5" x14ac:dyDescent="0.25">
      <c r="A13" s="51" t="s">
        <v>151</v>
      </c>
      <c r="B13" s="37">
        <v>6</v>
      </c>
      <c r="C13" s="37">
        <v>178</v>
      </c>
      <c r="D13" s="37">
        <v>1165</v>
      </c>
      <c r="E13" s="37">
        <v>98</v>
      </c>
      <c r="F13" s="37">
        <v>370</v>
      </c>
      <c r="G13" s="37">
        <v>7021</v>
      </c>
      <c r="H13" s="37">
        <v>654</v>
      </c>
      <c r="I13" s="37">
        <v>3158</v>
      </c>
      <c r="J13" s="37">
        <v>998</v>
      </c>
      <c r="K13" s="37">
        <v>708</v>
      </c>
      <c r="L13" s="37">
        <v>2225</v>
      </c>
      <c r="M13" s="37">
        <v>1161</v>
      </c>
      <c r="N13" s="37">
        <v>1326</v>
      </c>
      <c r="O13" s="37">
        <v>1898</v>
      </c>
      <c r="P13" s="37">
        <v>49000</v>
      </c>
      <c r="Q13" s="37">
        <v>1029</v>
      </c>
      <c r="R13" s="37">
        <v>810</v>
      </c>
      <c r="S13" s="37">
        <v>4629</v>
      </c>
      <c r="T13" s="37">
        <v>29051</v>
      </c>
      <c r="U13" s="37">
        <v>105479</v>
      </c>
      <c r="X13" s="29" t="s">
        <v>151</v>
      </c>
      <c r="Y13" s="56">
        <f t="shared" si="0"/>
        <v>0.17799999999999999</v>
      </c>
      <c r="Z13" s="56">
        <f t="shared" si="0"/>
        <v>1.165</v>
      </c>
      <c r="AA13" s="56">
        <f t="shared" si="0"/>
        <v>9.8000000000000004E-2</v>
      </c>
      <c r="AB13" s="56">
        <f t="shared" si="0"/>
        <v>0.37</v>
      </c>
      <c r="AC13" s="56">
        <f t="shared" si="0"/>
        <v>7.0209999999999999</v>
      </c>
      <c r="AD13" s="56">
        <f t="shared" si="0"/>
        <v>0.65400000000000003</v>
      </c>
      <c r="AE13" s="56">
        <f t="shared" si="0"/>
        <v>3.1579999999999999</v>
      </c>
      <c r="AF13" s="56">
        <f t="shared" si="0"/>
        <v>0.998</v>
      </c>
      <c r="AG13" s="56">
        <f t="shared" si="0"/>
        <v>0.70799999999999996</v>
      </c>
      <c r="AH13" s="56">
        <f t="shared" si="0"/>
        <v>2.2250000000000001</v>
      </c>
      <c r="AI13" s="56">
        <f t="shared" si="0"/>
        <v>1.161</v>
      </c>
      <c r="AJ13" s="56">
        <f t="shared" si="0"/>
        <v>1.3260000000000001</v>
      </c>
      <c r="AK13" s="56">
        <f t="shared" si="0"/>
        <v>1.8979999999999999</v>
      </c>
      <c r="AL13" s="56">
        <f t="shared" si="0"/>
        <v>49</v>
      </c>
      <c r="AM13" s="56">
        <f t="shared" si="0"/>
        <v>1.0289999999999999</v>
      </c>
      <c r="AN13" s="56">
        <f t="shared" si="0"/>
        <v>0.81</v>
      </c>
      <c r="AO13" s="56">
        <f t="shared" si="4"/>
        <v>4.6289999999999996</v>
      </c>
      <c r="AP13" s="56">
        <f t="shared" si="4"/>
        <v>29.050999999999998</v>
      </c>
      <c r="AQ13" s="56">
        <f t="shared" si="4"/>
        <v>105.479</v>
      </c>
      <c r="AT13" s="26"/>
      <c r="AU13" s="31" t="s">
        <v>151</v>
      </c>
      <c r="AV13" s="77">
        <f t="shared" si="5"/>
        <v>0.16875396998454667</v>
      </c>
      <c r="AW13" s="77">
        <f t="shared" si="6"/>
        <v>1.1044852529887466</v>
      </c>
      <c r="AX13" s="77">
        <f t="shared" si="7"/>
        <v>9.2909489092615594E-2</v>
      </c>
      <c r="AY13" s="77">
        <f t="shared" si="8"/>
        <v>0.3507807241251813</v>
      </c>
      <c r="AZ13" s="77">
        <f t="shared" si="9"/>
        <v>6.6563012542781035</v>
      </c>
      <c r="BA13" s="77">
        <f t="shared" si="10"/>
        <v>0.62002863129153674</v>
      </c>
      <c r="BB13" s="77">
        <f t="shared" si="11"/>
        <v>2.9939608832089801</v>
      </c>
      <c r="BC13" s="77">
        <f t="shared" si="12"/>
        <v>0.9461598991268404</v>
      </c>
      <c r="BD13" s="77">
        <f t="shared" si="13"/>
        <v>0.67122365589359023</v>
      </c>
      <c r="BE13" s="77">
        <f t="shared" si="14"/>
        <v>2.1094246248068336</v>
      </c>
      <c r="BF13" s="77">
        <f t="shared" si="15"/>
        <v>1.1006930289441501</v>
      </c>
      <c r="BG13" s="77">
        <f t="shared" si="16"/>
        <v>1.2571222707837579</v>
      </c>
      <c r="BH13" s="77">
        <f t="shared" si="17"/>
        <v>1.7994103091610651</v>
      </c>
      <c r="BI13" s="77">
        <f t="shared" si="18"/>
        <v>46.454744546307793</v>
      </c>
      <c r="BJ13" s="77">
        <f t="shared" si="19"/>
        <v>0.97554963547246354</v>
      </c>
      <c r="BK13" s="77">
        <f t="shared" si="20"/>
        <v>0.76792536903080244</v>
      </c>
      <c r="BL13" s="77">
        <f t="shared" si="21"/>
        <v>4.3885512756093625</v>
      </c>
      <c r="BM13" s="78">
        <f t="shared" si="22"/>
        <v>27.541975179893623</v>
      </c>
      <c r="BN13" s="116">
        <f t="shared" si="3"/>
        <v>99.999999999999986</v>
      </c>
      <c r="BO13" s="26"/>
    </row>
    <row r="14" spans="1:67" ht="12.5" x14ac:dyDescent="0.25">
      <c r="A14" s="51" t="s">
        <v>153</v>
      </c>
      <c r="B14" s="37">
        <v>7</v>
      </c>
      <c r="C14" s="37">
        <v>395</v>
      </c>
      <c r="D14" s="37">
        <v>1232</v>
      </c>
      <c r="E14" s="37">
        <v>92</v>
      </c>
      <c r="F14" s="37">
        <v>376</v>
      </c>
      <c r="G14" s="37">
        <v>11433</v>
      </c>
      <c r="H14" s="37">
        <v>690</v>
      </c>
      <c r="I14" s="37">
        <v>5763</v>
      </c>
      <c r="J14" s="37">
        <v>547</v>
      </c>
      <c r="K14" s="37">
        <v>507</v>
      </c>
      <c r="L14" s="37">
        <v>1151</v>
      </c>
      <c r="M14" s="37">
        <v>1774</v>
      </c>
      <c r="N14" s="37">
        <v>803</v>
      </c>
      <c r="O14" s="37">
        <v>1206</v>
      </c>
      <c r="P14" s="37">
        <v>38333</v>
      </c>
      <c r="Q14" s="37">
        <v>960</v>
      </c>
      <c r="R14" s="37">
        <v>758</v>
      </c>
      <c r="S14" s="37">
        <v>4527</v>
      </c>
      <c r="T14" s="37">
        <v>31431</v>
      </c>
      <c r="U14" s="37">
        <v>101978</v>
      </c>
      <c r="X14" s="29" t="s">
        <v>153</v>
      </c>
      <c r="Y14" s="56">
        <f t="shared" si="0"/>
        <v>0.39500000000000002</v>
      </c>
      <c r="Z14" s="56">
        <f t="shared" si="0"/>
        <v>1.232</v>
      </c>
      <c r="AA14" s="56">
        <f t="shared" si="0"/>
        <v>9.1999999999999998E-2</v>
      </c>
      <c r="AB14" s="56">
        <f t="shared" si="0"/>
        <v>0.376</v>
      </c>
      <c r="AC14" s="56">
        <f t="shared" si="0"/>
        <v>11.433</v>
      </c>
      <c r="AD14" s="56">
        <f t="shared" si="0"/>
        <v>0.69</v>
      </c>
      <c r="AE14" s="56">
        <f t="shared" si="0"/>
        <v>5.7629999999999999</v>
      </c>
      <c r="AF14" s="56">
        <f t="shared" si="0"/>
        <v>0.54700000000000004</v>
      </c>
      <c r="AG14" s="56">
        <f t="shared" si="0"/>
        <v>0.50700000000000001</v>
      </c>
      <c r="AH14" s="56">
        <f t="shared" si="0"/>
        <v>1.151</v>
      </c>
      <c r="AI14" s="56">
        <f t="shared" si="0"/>
        <v>1.774</v>
      </c>
      <c r="AJ14" s="56">
        <f t="shared" si="0"/>
        <v>0.80300000000000005</v>
      </c>
      <c r="AK14" s="56">
        <f t="shared" si="0"/>
        <v>1.206</v>
      </c>
      <c r="AL14" s="56">
        <f t="shared" si="0"/>
        <v>38.332999999999998</v>
      </c>
      <c r="AM14" s="56">
        <f t="shared" si="0"/>
        <v>0.96</v>
      </c>
      <c r="AN14" s="56">
        <f t="shared" si="0"/>
        <v>0.75800000000000001</v>
      </c>
      <c r="AO14" s="56">
        <f t="shared" si="4"/>
        <v>4.5270000000000001</v>
      </c>
      <c r="AP14" s="56">
        <f t="shared" si="4"/>
        <v>31.431000000000001</v>
      </c>
      <c r="AQ14" s="56">
        <f t="shared" si="4"/>
        <v>101.97799999999999</v>
      </c>
      <c r="AT14" s="26"/>
      <c r="AU14" s="31" t="s">
        <v>153</v>
      </c>
      <c r="AV14" s="77">
        <f t="shared" si="5"/>
        <v>0.38733844554707886</v>
      </c>
      <c r="AW14" s="77">
        <f t="shared" si="6"/>
        <v>1.2081037086430406</v>
      </c>
      <c r="AX14" s="77">
        <f t="shared" si="7"/>
        <v>9.021553668438291E-2</v>
      </c>
      <c r="AY14" s="77">
        <f t="shared" si="8"/>
        <v>0.36870697601443447</v>
      </c>
      <c r="AZ14" s="77">
        <f t="shared" si="9"/>
        <v>11.211241640353803</v>
      </c>
      <c r="BA14" s="77">
        <f t="shared" si="10"/>
        <v>0.67661652513287174</v>
      </c>
      <c r="BB14" s="77">
        <f t="shared" si="11"/>
        <v>5.6512188903488987</v>
      </c>
      <c r="BC14" s="77">
        <f t="shared" si="12"/>
        <v>0.53639020180823316</v>
      </c>
      <c r="BD14" s="77">
        <f t="shared" si="13"/>
        <v>0.49716605542371883</v>
      </c>
      <c r="BE14" s="77">
        <f t="shared" si="14"/>
        <v>1.1286748122143992</v>
      </c>
      <c r="BF14" s="77">
        <f t="shared" si="15"/>
        <v>1.7395908921532095</v>
      </c>
      <c r="BG14" s="77">
        <f t="shared" si="16"/>
        <v>0.78742473866912477</v>
      </c>
      <c r="BH14" s="77">
        <f t="shared" si="17"/>
        <v>1.1826080134931063</v>
      </c>
      <c r="BI14" s="77">
        <f t="shared" si="18"/>
        <v>37.589480083939677</v>
      </c>
      <c r="BJ14" s="77">
        <f t="shared" si="19"/>
        <v>0.94137951322834335</v>
      </c>
      <c r="BK14" s="77">
        <f t="shared" si="20"/>
        <v>0.74329757398654617</v>
      </c>
      <c r="BL14" s="77">
        <f t="shared" si="21"/>
        <v>4.4391927670674072</v>
      </c>
      <c r="BM14" s="78">
        <f t="shared" si="22"/>
        <v>30.821353625291732</v>
      </c>
      <c r="BN14" s="116">
        <f t="shared" si="3"/>
        <v>100.00000000000001</v>
      </c>
      <c r="BO14" s="26"/>
    </row>
    <row r="15" spans="1:67" ht="12.5" x14ac:dyDescent="0.25">
      <c r="A15" s="51" t="s">
        <v>152</v>
      </c>
      <c r="B15" s="37">
        <v>8</v>
      </c>
      <c r="C15" s="37">
        <v>114</v>
      </c>
      <c r="D15" s="37">
        <v>507</v>
      </c>
      <c r="E15" s="37">
        <v>37</v>
      </c>
      <c r="F15" s="37">
        <v>122</v>
      </c>
      <c r="G15" s="37">
        <v>4566</v>
      </c>
      <c r="H15" s="37">
        <v>236</v>
      </c>
      <c r="I15" s="37">
        <v>3336</v>
      </c>
      <c r="J15" s="37">
        <v>150</v>
      </c>
      <c r="K15" s="37">
        <v>137</v>
      </c>
      <c r="L15" s="37">
        <v>340</v>
      </c>
      <c r="M15" s="37">
        <v>876</v>
      </c>
      <c r="N15" s="37">
        <v>153</v>
      </c>
      <c r="O15" s="37">
        <v>271</v>
      </c>
      <c r="P15" s="37">
        <v>15364</v>
      </c>
      <c r="Q15" s="37">
        <v>357</v>
      </c>
      <c r="R15" s="37">
        <v>300</v>
      </c>
      <c r="S15" s="37">
        <v>1830</v>
      </c>
      <c r="T15" s="37">
        <v>13764</v>
      </c>
      <c r="U15" s="37">
        <v>42460</v>
      </c>
      <c r="X15" s="29" t="s">
        <v>152</v>
      </c>
      <c r="Y15" s="56">
        <f t="shared" si="0"/>
        <v>0.114</v>
      </c>
      <c r="Z15" s="56">
        <f t="shared" si="0"/>
        <v>0.50700000000000001</v>
      </c>
      <c r="AA15" s="56">
        <f t="shared" si="0"/>
        <v>3.6999999999999998E-2</v>
      </c>
      <c r="AB15" s="56">
        <f t="shared" si="0"/>
        <v>0.122</v>
      </c>
      <c r="AC15" s="56">
        <f t="shared" si="0"/>
        <v>4.5659999999999998</v>
      </c>
      <c r="AD15" s="56">
        <f t="shared" si="0"/>
        <v>0.23599999999999999</v>
      </c>
      <c r="AE15" s="56">
        <f t="shared" si="0"/>
        <v>3.3359999999999999</v>
      </c>
      <c r="AF15" s="56">
        <f t="shared" si="0"/>
        <v>0.15</v>
      </c>
      <c r="AG15" s="56">
        <f t="shared" si="0"/>
        <v>0.13700000000000001</v>
      </c>
      <c r="AH15" s="56">
        <f t="shared" si="0"/>
        <v>0.34</v>
      </c>
      <c r="AI15" s="56">
        <f t="shared" si="0"/>
        <v>0.876</v>
      </c>
      <c r="AJ15" s="56">
        <f t="shared" si="0"/>
        <v>0.153</v>
      </c>
      <c r="AK15" s="56">
        <f t="shared" si="0"/>
        <v>0.27100000000000002</v>
      </c>
      <c r="AL15" s="56">
        <f t="shared" si="0"/>
        <v>15.364000000000001</v>
      </c>
      <c r="AM15" s="56">
        <f t="shared" si="0"/>
        <v>0.35699999999999998</v>
      </c>
      <c r="AN15" s="56">
        <f t="shared" si="0"/>
        <v>0.3</v>
      </c>
      <c r="AO15" s="56">
        <f t="shared" si="4"/>
        <v>1.83</v>
      </c>
      <c r="AP15" s="56">
        <f t="shared" si="4"/>
        <v>13.763999999999999</v>
      </c>
      <c r="AQ15" s="56">
        <f t="shared" si="4"/>
        <v>42.46</v>
      </c>
      <c r="AT15" s="26"/>
      <c r="AU15" s="31" t="s">
        <v>152</v>
      </c>
      <c r="AV15" s="77">
        <f t="shared" si="5"/>
        <v>0.2684879886952426</v>
      </c>
      <c r="AW15" s="77">
        <f t="shared" si="6"/>
        <v>1.1940650023551578</v>
      </c>
      <c r="AX15" s="77">
        <f t="shared" si="7"/>
        <v>8.7140838436175219E-2</v>
      </c>
      <c r="AY15" s="77">
        <f t="shared" si="8"/>
        <v>0.28732925105982099</v>
      </c>
      <c r="AZ15" s="77">
        <f t="shared" si="9"/>
        <v>10.753650494583136</v>
      </c>
      <c r="BA15" s="77">
        <f t="shared" si="10"/>
        <v>0.55581723975506359</v>
      </c>
      <c r="BB15" s="77">
        <f t="shared" si="11"/>
        <v>7.8568064060292029</v>
      </c>
      <c r="BC15" s="77">
        <f t="shared" si="12"/>
        <v>0.35327366933584547</v>
      </c>
      <c r="BD15" s="77">
        <f t="shared" si="13"/>
        <v>0.32265661799340556</v>
      </c>
      <c r="BE15" s="77">
        <f t="shared" si="14"/>
        <v>0.80075365049458325</v>
      </c>
      <c r="BF15" s="77">
        <f t="shared" si="15"/>
        <v>2.0631182289213377</v>
      </c>
      <c r="BG15" s="77">
        <f t="shared" si="16"/>
        <v>0.3603391427225624</v>
      </c>
      <c r="BH15" s="77">
        <f t="shared" si="17"/>
        <v>0.63824776260009419</v>
      </c>
      <c r="BI15" s="77">
        <f t="shared" si="18"/>
        <v>36.184644371172872</v>
      </c>
      <c r="BJ15" s="77">
        <f t="shared" si="19"/>
        <v>0.84079133301931219</v>
      </c>
      <c r="BK15" s="77">
        <f t="shared" si="20"/>
        <v>0.70654733867169095</v>
      </c>
      <c r="BL15" s="77">
        <f t="shared" si="21"/>
        <v>4.3099387658973152</v>
      </c>
      <c r="BM15" s="78">
        <f t="shared" si="22"/>
        <v>32.416391898257181</v>
      </c>
      <c r="BN15" s="116">
        <f t="shared" si="3"/>
        <v>100</v>
      </c>
      <c r="BO15" s="26"/>
    </row>
    <row r="16" spans="1:67" ht="12.5" x14ac:dyDescent="0.25">
      <c r="A16" s="51" t="s">
        <v>154</v>
      </c>
      <c r="B16" s="37">
        <v>9</v>
      </c>
      <c r="C16" s="37">
        <v>105</v>
      </c>
      <c r="D16" s="37">
        <v>244</v>
      </c>
      <c r="E16" s="37">
        <v>21</v>
      </c>
      <c r="F16" s="37">
        <v>85</v>
      </c>
      <c r="G16" s="37">
        <v>3152</v>
      </c>
      <c r="H16" s="37">
        <v>151</v>
      </c>
      <c r="I16" s="37">
        <v>1425</v>
      </c>
      <c r="J16" s="37">
        <v>119</v>
      </c>
      <c r="K16" s="37">
        <v>83</v>
      </c>
      <c r="L16" s="37">
        <v>308</v>
      </c>
      <c r="M16" s="37">
        <v>338</v>
      </c>
      <c r="N16" s="37">
        <v>87</v>
      </c>
      <c r="O16" s="37">
        <v>1156</v>
      </c>
      <c r="P16" s="37">
        <v>10511</v>
      </c>
      <c r="Q16" s="37">
        <v>506</v>
      </c>
      <c r="R16" s="37">
        <v>206</v>
      </c>
      <c r="S16" s="37">
        <v>1074</v>
      </c>
      <c r="T16" s="37">
        <v>7408</v>
      </c>
      <c r="U16" s="37">
        <v>26979</v>
      </c>
      <c r="X16" s="29" t="s">
        <v>154</v>
      </c>
      <c r="Y16" s="56">
        <f t="shared" si="0"/>
        <v>0.105</v>
      </c>
      <c r="Z16" s="56">
        <f t="shared" si="0"/>
        <v>0.24399999999999999</v>
      </c>
      <c r="AA16" s="56">
        <f t="shared" si="0"/>
        <v>2.1000000000000001E-2</v>
      </c>
      <c r="AB16" s="56">
        <f t="shared" si="0"/>
        <v>8.5000000000000006E-2</v>
      </c>
      <c r="AC16" s="56">
        <f t="shared" si="0"/>
        <v>3.1520000000000001</v>
      </c>
      <c r="AD16" s="56">
        <f t="shared" si="0"/>
        <v>0.151</v>
      </c>
      <c r="AE16" s="56">
        <f t="shared" si="0"/>
        <v>1.425</v>
      </c>
      <c r="AF16" s="56">
        <f t="shared" si="0"/>
        <v>0.11899999999999999</v>
      </c>
      <c r="AG16" s="56">
        <f t="shared" si="0"/>
        <v>8.3000000000000004E-2</v>
      </c>
      <c r="AH16" s="56">
        <f t="shared" si="0"/>
        <v>0.308</v>
      </c>
      <c r="AI16" s="56">
        <f t="shared" si="0"/>
        <v>0.33800000000000002</v>
      </c>
      <c r="AJ16" s="56">
        <f t="shared" si="0"/>
        <v>8.6999999999999994E-2</v>
      </c>
      <c r="AK16" s="56">
        <f t="shared" si="0"/>
        <v>1.1559999999999999</v>
      </c>
      <c r="AL16" s="56">
        <f t="shared" si="0"/>
        <v>10.510999999999999</v>
      </c>
      <c r="AM16" s="56">
        <f t="shared" si="0"/>
        <v>0.50600000000000001</v>
      </c>
      <c r="AN16" s="56">
        <f t="shared" si="0"/>
        <v>0.20599999999999999</v>
      </c>
      <c r="AO16" s="56">
        <f t="shared" si="4"/>
        <v>1.0740000000000001</v>
      </c>
      <c r="AP16" s="56">
        <f t="shared" si="4"/>
        <v>7.4080000000000004</v>
      </c>
      <c r="AQ16" s="56">
        <f t="shared" si="4"/>
        <v>26.978999999999999</v>
      </c>
      <c r="AT16" s="26"/>
      <c r="AU16" s="31" t="s">
        <v>154</v>
      </c>
      <c r="AV16" s="77">
        <f t="shared" si="5"/>
        <v>0.38919159346158122</v>
      </c>
      <c r="AW16" s="77">
        <f t="shared" si="6"/>
        <v>0.90440713147262686</v>
      </c>
      <c r="AX16" s="77">
        <f t="shared" si="7"/>
        <v>7.783831869231625E-2</v>
      </c>
      <c r="AY16" s="77">
        <f t="shared" si="8"/>
        <v>0.31505986137366104</v>
      </c>
      <c r="AZ16" s="77">
        <f t="shared" si="9"/>
        <v>11.683160977056231</v>
      </c>
      <c r="BA16" s="77">
        <f t="shared" si="10"/>
        <v>0.55969457726379779</v>
      </c>
      <c r="BB16" s="77">
        <f t="shared" si="11"/>
        <v>5.2818859112643164</v>
      </c>
      <c r="BC16" s="77">
        <f t="shared" si="12"/>
        <v>0.4410838059231254</v>
      </c>
      <c r="BD16" s="77">
        <f t="shared" si="13"/>
        <v>0.30764668816486901</v>
      </c>
      <c r="BE16" s="77">
        <f t="shared" si="14"/>
        <v>1.1416286741539716</v>
      </c>
      <c r="BF16" s="77">
        <f t="shared" si="15"/>
        <v>1.2528262722858521</v>
      </c>
      <c r="BG16" s="77">
        <f t="shared" si="16"/>
        <v>0.32247303458245297</v>
      </c>
      <c r="BH16" s="77">
        <f t="shared" si="17"/>
        <v>4.2848141146817893</v>
      </c>
      <c r="BI16" s="77">
        <f t="shared" si="18"/>
        <v>38.95993179880648</v>
      </c>
      <c r="BJ16" s="77">
        <f t="shared" si="19"/>
        <v>1.8755328218243821</v>
      </c>
      <c r="BK16" s="77">
        <f t="shared" si="20"/>
        <v>0.76355684050557837</v>
      </c>
      <c r="BL16" s="77">
        <f t="shared" si="21"/>
        <v>3.9808740131213169</v>
      </c>
      <c r="BM16" s="78">
        <f t="shared" si="22"/>
        <v>27.458393565365657</v>
      </c>
      <c r="BN16" s="116">
        <f t="shared" si="3"/>
        <v>100</v>
      </c>
      <c r="BO16" s="26"/>
    </row>
    <row r="17" spans="1:67" ht="12.5" x14ac:dyDescent="0.25">
      <c r="A17" s="51"/>
      <c r="X17" s="29"/>
      <c r="Y17" s="56"/>
      <c r="Z17" s="56"/>
      <c r="AA17" s="56"/>
      <c r="AB17" s="56"/>
      <c r="AC17" s="56"/>
      <c r="AD17" s="56"/>
      <c r="AE17" s="56"/>
      <c r="AF17" s="56"/>
      <c r="AG17" s="56"/>
      <c r="AH17" s="56"/>
      <c r="AI17" s="56"/>
      <c r="AJ17" s="56"/>
      <c r="AK17" s="56"/>
      <c r="AL17" s="56"/>
      <c r="AM17" s="56"/>
      <c r="AN17" s="56"/>
      <c r="AO17" s="56"/>
      <c r="AP17" s="56"/>
      <c r="AQ17" s="56"/>
      <c r="AT17" s="26"/>
      <c r="AU17" s="31"/>
      <c r="AV17" s="77"/>
      <c r="AW17" s="77"/>
      <c r="AX17" s="77"/>
      <c r="AY17" s="77"/>
      <c r="AZ17" s="77"/>
      <c r="BA17" s="77"/>
      <c r="BB17" s="77"/>
      <c r="BC17" s="77"/>
      <c r="BD17" s="77"/>
      <c r="BE17" s="77"/>
      <c r="BF17" s="77"/>
      <c r="BG17" s="77"/>
      <c r="BH17" s="77"/>
      <c r="BI17" s="77"/>
      <c r="BJ17" s="77"/>
      <c r="BK17" s="77"/>
      <c r="BL17" s="77"/>
      <c r="BM17" s="78"/>
      <c r="BN17" s="116"/>
      <c r="BO17" s="26"/>
    </row>
    <row r="18" spans="1:67" ht="12.5" x14ac:dyDescent="0.25">
      <c r="A18" s="51"/>
      <c r="X18" s="29"/>
      <c r="Y18" s="56"/>
      <c r="Z18" s="56"/>
      <c r="AA18" s="56"/>
      <c r="AB18" s="56"/>
      <c r="AC18" s="56"/>
      <c r="AD18" s="56"/>
      <c r="AE18" s="56"/>
      <c r="AF18" s="56"/>
      <c r="AG18" s="56"/>
      <c r="AH18" s="56"/>
      <c r="AI18" s="56"/>
      <c r="AJ18" s="56"/>
      <c r="AK18" s="56"/>
      <c r="AL18" s="56"/>
      <c r="AM18" s="56"/>
      <c r="AN18" s="56"/>
      <c r="AO18" s="56"/>
      <c r="AP18" s="56"/>
      <c r="AQ18" s="56"/>
      <c r="AT18" s="26"/>
      <c r="AU18" s="31"/>
      <c r="AV18" s="77"/>
      <c r="AW18" s="77"/>
      <c r="AX18" s="77"/>
      <c r="AY18" s="77"/>
      <c r="AZ18" s="77"/>
      <c r="BA18" s="77"/>
      <c r="BB18" s="77"/>
      <c r="BC18" s="77"/>
      <c r="BD18" s="77"/>
      <c r="BE18" s="77"/>
      <c r="BF18" s="77"/>
      <c r="BG18" s="77"/>
      <c r="BH18" s="77"/>
      <c r="BI18" s="77"/>
      <c r="BJ18" s="77"/>
      <c r="BK18" s="77"/>
      <c r="BL18" s="77"/>
      <c r="BM18" s="78"/>
      <c r="BN18" s="116"/>
      <c r="BO18" s="26"/>
    </row>
    <row r="19" spans="1:67" ht="12.5" x14ac:dyDescent="0.25">
      <c r="A19" s="51"/>
      <c r="X19" s="29"/>
      <c r="Y19" s="56"/>
      <c r="Z19" s="56"/>
      <c r="AA19" s="56"/>
      <c r="AB19" s="56"/>
      <c r="AC19" s="56"/>
      <c r="AD19" s="56"/>
      <c r="AE19" s="56"/>
      <c r="AF19" s="56"/>
      <c r="AG19" s="56"/>
      <c r="AH19" s="56"/>
      <c r="AI19" s="56"/>
      <c r="AJ19" s="56"/>
      <c r="AK19" s="56"/>
      <c r="AL19" s="56"/>
      <c r="AM19" s="56"/>
      <c r="AN19" s="56"/>
      <c r="AO19" s="56"/>
      <c r="AP19" s="56"/>
      <c r="AQ19" s="56"/>
      <c r="AT19" s="26"/>
      <c r="AU19" s="31"/>
      <c r="AV19" s="77"/>
      <c r="AW19" s="77"/>
      <c r="AX19" s="77"/>
      <c r="AY19" s="77"/>
      <c r="AZ19" s="77"/>
      <c r="BA19" s="77"/>
      <c r="BB19" s="77"/>
      <c r="BC19" s="77"/>
      <c r="BD19" s="77"/>
      <c r="BE19" s="77"/>
      <c r="BF19" s="77"/>
      <c r="BG19" s="77"/>
      <c r="BH19" s="77"/>
      <c r="BI19" s="77"/>
      <c r="BJ19" s="77"/>
      <c r="BK19" s="77"/>
      <c r="BL19" s="77"/>
      <c r="BM19" s="78"/>
      <c r="BN19" s="116"/>
      <c r="BO19" s="26"/>
    </row>
    <row r="20" spans="1:67" ht="12.5" x14ac:dyDescent="0.25">
      <c r="A20" s="51"/>
      <c r="X20" s="29"/>
      <c r="Y20" s="56"/>
      <c r="Z20" s="56"/>
      <c r="AA20" s="56"/>
      <c r="AB20" s="56"/>
      <c r="AC20" s="56"/>
      <c r="AD20" s="56"/>
      <c r="AE20" s="56"/>
      <c r="AF20" s="56"/>
      <c r="AG20" s="56"/>
      <c r="AH20" s="56"/>
      <c r="AI20" s="56"/>
      <c r="AJ20" s="56"/>
      <c r="AK20" s="56"/>
      <c r="AL20" s="56"/>
      <c r="AM20" s="56"/>
      <c r="AN20" s="56"/>
      <c r="AO20" s="56"/>
      <c r="AP20" s="56"/>
      <c r="AQ20" s="56"/>
      <c r="AT20" s="26"/>
      <c r="AU20" s="31"/>
      <c r="AV20" s="77"/>
      <c r="AW20" s="77"/>
      <c r="AX20" s="77"/>
      <c r="AY20" s="77"/>
      <c r="AZ20" s="77"/>
      <c r="BA20" s="77"/>
      <c r="BB20" s="77"/>
      <c r="BC20" s="77"/>
      <c r="BD20" s="77"/>
      <c r="BE20" s="77"/>
      <c r="BF20" s="77"/>
      <c r="BG20" s="77"/>
      <c r="BH20" s="77"/>
      <c r="BI20" s="77"/>
      <c r="BJ20" s="77"/>
      <c r="BK20" s="77"/>
      <c r="BL20" s="77"/>
      <c r="BM20" s="78"/>
      <c r="BN20" s="116"/>
      <c r="BO20" s="26"/>
    </row>
    <row r="21" spans="1:67" ht="12.5" x14ac:dyDescent="0.25">
      <c r="A21" s="51"/>
      <c r="X21" s="29"/>
      <c r="Y21" s="56"/>
      <c r="Z21" s="56"/>
      <c r="AA21" s="56"/>
      <c r="AB21" s="56"/>
      <c r="AC21" s="56"/>
      <c r="AD21" s="56"/>
      <c r="AE21" s="56"/>
      <c r="AF21" s="56"/>
      <c r="AG21" s="56"/>
      <c r="AH21" s="56"/>
      <c r="AI21" s="56"/>
      <c r="AJ21" s="56"/>
      <c r="AK21" s="56"/>
      <c r="AL21" s="56"/>
      <c r="AM21" s="56"/>
      <c r="AN21" s="56"/>
      <c r="AO21" s="56"/>
      <c r="AP21" s="56"/>
      <c r="AQ21" s="56"/>
      <c r="AT21" s="26"/>
      <c r="AU21" s="31"/>
      <c r="AV21" s="77"/>
      <c r="AW21" s="77"/>
      <c r="AX21" s="77"/>
      <c r="AY21" s="77"/>
      <c r="AZ21" s="77"/>
      <c r="BA21" s="77"/>
      <c r="BB21" s="77"/>
      <c r="BC21" s="77"/>
      <c r="BD21" s="77"/>
      <c r="BE21" s="77"/>
      <c r="BF21" s="77"/>
      <c r="BG21" s="77"/>
      <c r="BH21" s="77"/>
      <c r="BI21" s="77"/>
      <c r="BJ21" s="77"/>
      <c r="BK21" s="77"/>
      <c r="BL21" s="77"/>
      <c r="BM21" s="78"/>
      <c r="BN21" s="116"/>
      <c r="BO21" s="26"/>
    </row>
    <row r="22" spans="1:67" ht="12.5" x14ac:dyDescent="0.25">
      <c r="A22" s="51"/>
      <c r="X22" s="29"/>
      <c r="Y22" s="56"/>
      <c r="Z22" s="56"/>
      <c r="AA22" s="56"/>
      <c r="AB22" s="56"/>
      <c r="AC22" s="56"/>
      <c r="AD22" s="56"/>
      <c r="AE22" s="56"/>
      <c r="AF22" s="56"/>
      <c r="AG22" s="56"/>
      <c r="AH22" s="56"/>
      <c r="AI22" s="56"/>
      <c r="AJ22" s="56"/>
      <c r="AK22" s="56"/>
      <c r="AL22" s="56"/>
      <c r="AM22" s="56"/>
      <c r="AN22" s="56"/>
      <c r="AO22" s="56"/>
      <c r="AP22" s="56"/>
      <c r="AQ22" s="56"/>
      <c r="AT22" s="26"/>
      <c r="AU22" s="31"/>
      <c r="AV22" s="77"/>
      <c r="AW22" s="77"/>
      <c r="AX22" s="77"/>
      <c r="AY22" s="77"/>
      <c r="AZ22" s="77"/>
      <c r="BA22" s="77"/>
      <c r="BB22" s="77"/>
      <c r="BC22" s="77"/>
      <c r="BD22" s="77"/>
      <c r="BE22" s="77"/>
      <c r="BF22" s="77"/>
      <c r="BG22" s="77"/>
      <c r="BH22" s="77"/>
      <c r="BI22" s="77"/>
      <c r="BJ22" s="77"/>
      <c r="BK22" s="77"/>
      <c r="BL22" s="77"/>
      <c r="BM22" s="78"/>
      <c r="BN22" s="116"/>
      <c r="BO22" s="26"/>
    </row>
    <row r="23" spans="1:67" ht="12.5" x14ac:dyDescent="0.25">
      <c r="A23" s="51"/>
      <c r="X23" s="29"/>
      <c r="Y23" s="56"/>
      <c r="Z23" s="56"/>
      <c r="AA23" s="56"/>
      <c r="AB23" s="56"/>
      <c r="AC23" s="56"/>
      <c r="AD23" s="56"/>
      <c r="AE23" s="56"/>
      <c r="AF23" s="56"/>
      <c r="AG23" s="56"/>
      <c r="AH23" s="56"/>
      <c r="AI23" s="56"/>
      <c r="AJ23" s="56"/>
      <c r="AK23" s="56"/>
      <c r="AL23" s="56"/>
      <c r="AM23" s="56"/>
      <c r="AN23" s="56"/>
      <c r="AO23" s="56"/>
      <c r="AP23" s="56"/>
      <c r="AQ23" s="56"/>
      <c r="AT23" s="26"/>
      <c r="AU23" s="31"/>
      <c r="AV23" s="77"/>
      <c r="AW23" s="77"/>
      <c r="AX23" s="77"/>
      <c r="AY23" s="77"/>
      <c r="AZ23" s="77"/>
      <c r="BA23" s="77"/>
      <c r="BB23" s="77"/>
      <c r="BC23" s="77"/>
      <c r="BD23" s="77"/>
      <c r="BE23" s="77"/>
      <c r="BF23" s="77"/>
      <c r="BG23" s="77"/>
      <c r="BH23" s="77"/>
      <c r="BI23" s="77"/>
      <c r="BJ23" s="77"/>
      <c r="BK23" s="77"/>
      <c r="BL23" s="77"/>
      <c r="BM23" s="78"/>
      <c r="BN23" s="116"/>
      <c r="BO23" s="26"/>
    </row>
    <row r="24" spans="1:67" ht="12.5" x14ac:dyDescent="0.25">
      <c r="A24" s="51"/>
      <c r="X24" s="29"/>
      <c r="Y24" s="56"/>
      <c r="Z24" s="56"/>
      <c r="AA24" s="56"/>
      <c r="AB24" s="56"/>
      <c r="AC24" s="56"/>
      <c r="AD24" s="56"/>
      <c r="AE24" s="56"/>
      <c r="AF24" s="56"/>
      <c r="AG24" s="56"/>
      <c r="AH24" s="56"/>
      <c r="AI24" s="56"/>
      <c r="AJ24" s="56"/>
      <c r="AK24" s="56"/>
      <c r="AL24" s="56"/>
      <c r="AM24" s="56"/>
      <c r="AN24" s="56"/>
      <c r="AO24" s="56"/>
      <c r="AP24" s="56"/>
      <c r="AQ24" s="56"/>
      <c r="AT24" s="26"/>
      <c r="AU24" s="31"/>
      <c r="AV24" s="77"/>
      <c r="AW24" s="77"/>
      <c r="AX24" s="77"/>
      <c r="AY24" s="77"/>
      <c r="AZ24" s="77"/>
      <c r="BA24" s="77"/>
      <c r="BB24" s="77"/>
      <c r="BC24" s="77"/>
      <c r="BD24" s="77"/>
      <c r="BE24" s="77"/>
      <c r="BF24" s="77"/>
      <c r="BG24" s="77"/>
      <c r="BH24" s="77"/>
      <c r="BI24" s="77"/>
      <c r="BJ24" s="77"/>
      <c r="BK24" s="77"/>
      <c r="BL24" s="77"/>
      <c r="BM24" s="78"/>
      <c r="BN24" s="116"/>
      <c r="BO24" s="26"/>
    </row>
    <row r="25" spans="1:67" ht="12.5" x14ac:dyDescent="0.25">
      <c r="A25" s="51"/>
      <c r="X25" s="29"/>
      <c r="Y25" s="56"/>
      <c r="Z25" s="56"/>
      <c r="AA25" s="56"/>
      <c r="AB25" s="56"/>
      <c r="AC25" s="56"/>
      <c r="AD25" s="56"/>
      <c r="AE25" s="56"/>
      <c r="AF25" s="56"/>
      <c r="AG25" s="56"/>
      <c r="AH25" s="56"/>
      <c r="AI25" s="56"/>
      <c r="AJ25" s="56"/>
      <c r="AK25" s="56"/>
      <c r="AL25" s="56"/>
      <c r="AM25" s="56"/>
      <c r="AN25" s="56"/>
      <c r="AO25" s="56"/>
      <c r="AP25" s="56"/>
      <c r="AQ25" s="56"/>
      <c r="AT25" s="26"/>
      <c r="AU25" s="31"/>
      <c r="AV25" s="77"/>
      <c r="AW25" s="77"/>
      <c r="AX25" s="77"/>
      <c r="AY25" s="77"/>
      <c r="AZ25" s="77"/>
      <c r="BA25" s="77"/>
      <c r="BB25" s="77"/>
      <c r="BC25" s="77"/>
      <c r="BD25" s="77"/>
      <c r="BE25" s="77"/>
      <c r="BF25" s="77"/>
      <c r="BG25" s="77"/>
      <c r="BH25" s="77"/>
      <c r="BI25" s="77"/>
      <c r="BJ25" s="77"/>
      <c r="BK25" s="77"/>
      <c r="BL25" s="77"/>
      <c r="BM25" s="78"/>
      <c r="BN25" s="116"/>
      <c r="BO25" s="26"/>
    </row>
    <row r="26" spans="1:67" ht="12.5" x14ac:dyDescent="0.25">
      <c r="X26" s="29"/>
      <c r="Y26" s="56"/>
      <c r="Z26" s="56"/>
      <c r="AA26" s="56"/>
      <c r="AB26" s="56"/>
      <c r="AC26" s="56"/>
      <c r="AD26" s="56"/>
      <c r="AE26" s="56"/>
      <c r="AF26" s="56"/>
      <c r="AG26" s="56"/>
      <c r="AH26" s="56"/>
      <c r="AI26" s="56"/>
      <c r="AJ26" s="56"/>
      <c r="AK26" s="56"/>
      <c r="AL26" s="56"/>
      <c r="AM26" s="56"/>
      <c r="AN26" s="56"/>
      <c r="AO26" s="56"/>
      <c r="AP26" s="56"/>
      <c r="AQ26" s="56"/>
      <c r="AT26" s="26"/>
      <c r="AU26" s="28"/>
      <c r="AV26" s="28"/>
      <c r="AW26" s="28"/>
      <c r="AX26" s="28"/>
      <c r="AY26" s="28"/>
      <c r="AZ26" s="28"/>
      <c r="BA26" s="28"/>
      <c r="BB26" s="28"/>
      <c r="BC26" s="28"/>
      <c r="BD26" s="28"/>
      <c r="BE26" s="28"/>
      <c r="BF26" s="28"/>
      <c r="BG26" s="28"/>
      <c r="BH26" s="28"/>
      <c r="BI26" s="28"/>
      <c r="BJ26" s="28"/>
      <c r="BK26" s="28"/>
      <c r="BL26" s="28"/>
      <c r="BM26" s="28"/>
      <c r="BN26" s="34"/>
      <c r="BO26" s="26"/>
    </row>
    <row r="27" spans="1:67" ht="12.5" x14ac:dyDescent="0.25">
      <c r="B27" s="68" t="s">
        <v>2</v>
      </c>
      <c r="C27" s="18">
        <v>14985</v>
      </c>
      <c r="D27" s="18">
        <v>73088</v>
      </c>
      <c r="E27" s="18">
        <v>7525</v>
      </c>
      <c r="F27" s="18">
        <v>40900</v>
      </c>
      <c r="G27" s="18">
        <v>256899</v>
      </c>
      <c r="H27" s="18">
        <v>47866</v>
      </c>
      <c r="I27" s="18">
        <v>139556</v>
      </c>
      <c r="J27" s="18">
        <v>46011</v>
      </c>
      <c r="K27" s="18">
        <v>35776</v>
      </c>
      <c r="L27" s="18">
        <v>7862</v>
      </c>
      <c r="M27" s="18">
        <v>85583</v>
      </c>
      <c r="N27" s="18">
        <v>47660</v>
      </c>
      <c r="O27" s="18">
        <v>25061</v>
      </c>
      <c r="P27" s="18">
        <v>48040</v>
      </c>
      <c r="Q27" s="18">
        <v>164831</v>
      </c>
      <c r="R27" s="18">
        <v>24949</v>
      </c>
      <c r="S27" s="18">
        <v>15861</v>
      </c>
      <c r="T27" s="18">
        <v>234022</v>
      </c>
      <c r="U27" s="18">
        <v>704347</v>
      </c>
      <c r="X27" s="29" t="s">
        <v>2</v>
      </c>
      <c r="Y27" s="56">
        <f t="shared" ref="Y27:AQ27" si="23">IFERROR(C27/1000,"")</f>
        <v>14.984999999999999</v>
      </c>
      <c r="Z27" s="56">
        <f t="shared" si="23"/>
        <v>73.087999999999994</v>
      </c>
      <c r="AA27" s="56">
        <f t="shared" si="23"/>
        <v>7.5250000000000004</v>
      </c>
      <c r="AB27" s="56">
        <f t="shared" si="23"/>
        <v>40.9</v>
      </c>
      <c r="AC27" s="56">
        <f t="shared" si="23"/>
        <v>256.899</v>
      </c>
      <c r="AD27" s="56">
        <f t="shared" si="23"/>
        <v>47.866</v>
      </c>
      <c r="AE27" s="56">
        <f t="shared" si="23"/>
        <v>139.55600000000001</v>
      </c>
      <c r="AF27" s="56">
        <f t="shared" si="23"/>
        <v>46.011000000000003</v>
      </c>
      <c r="AG27" s="56">
        <f t="shared" si="23"/>
        <v>35.776000000000003</v>
      </c>
      <c r="AH27" s="56">
        <f t="shared" si="23"/>
        <v>7.8620000000000001</v>
      </c>
      <c r="AI27" s="56">
        <f t="shared" si="23"/>
        <v>85.582999999999998</v>
      </c>
      <c r="AJ27" s="56">
        <f t="shared" si="23"/>
        <v>47.66</v>
      </c>
      <c r="AK27" s="56">
        <f t="shared" si="23"/>
        <v>25.061</v>
      </c>
      <c r="AL27" s="56">
        <f t="shared" si="23"/>
        <v>48.04</v>
      </c>
      <c r="AM27" s="56">
        <f t="shared" si="23"/>
        <v>164.83099999999999</v>
      </c>
      <c r="AN27" s="56">
        <f t="shared" si="23"/>
        <v>24.949000000000002</v>
      </c>
      <c r="AO27" s="56">
        <f t="shared" si="23"/>
        <v>15.861000000000001</v>
      </c>
      <c r="AP27" s="56">
        <f t="shared" si="23"/>
        <v>234.02199999999999</v>
      </c>
      <c r="AQ27" s="56">
        <f t="shared" si="23"/>
        <v>704.34699999999998</v>
      </c>
      <c r="AT27" s="24"/>
      <c r="AU27" s="28"/>
      <c r="AV27" s="58"/>
      <c r="AW27" s="58"/>
      <c r="AX27" s="58"/>
      <c r="AY27" s="58"/>
      <c r="AZ27" s="58"/>
      <c r="BA27" s="58"/>
      <c r="BB27" s="58"/>
      <c r="BC27" s="58"/>
      <c r="BD27" s="58"/>
      <c r="BE27" s="58"/>
      <c r="BF27" s="58"/>
      <c r="BG27" s="58"/>
      <c r="BH27" s="58"/>
      <c r="BI27" s="58"/>
      <c r="BJ27" s="58"/>
      <c r="BK27" s="58"/>
      <c r="BL27" s="58"/>
      <c r="BM27" s="58"/>
      <c r="BN27" s="59"/>
      <c r="BO27" s="59"/>
    </row>
    <row r="28" spans="1:67" ht="12.75" customHeight="1" x14ac:dyDescent="0.25">
      <c r="AT28" s="24"/>
      <c r="AU28" s="28"/>
      <c r="AV28" s="25"/>
      <c r="AW28" s="25"/>
      <c r="AX28" s="25"/>
      <c r="AY28" s="25"/>
      <c r="AZ28" s="25"/>
      <c r="BA28" s="25"/>
      <c r="BB28" s="25"/>
      <c r="BC28" s="25"/>
      <c r="BD28" s="25"/>
      <c r="BE28" s="25"/>
      <c r="BF28" s="25"/>
      <c r="BG28" s="25"/>
      <c r="BH28" s="25"/>
      <c r="BI28" s="25"/>
      <c r="BJ28" s="25"/>
      <c r="BK28" s="25"/>
      <c r="BL28" s="25"/>
      <c r="BM28" s="25"/>
      <c r="BN28" s="24"/>
      <c r="BO28" s="24"/>
    </row>
  </sheetData>
  <conditionalFormatting sqref="AV8:BL25">
    <cfRule type="cellIs" dxfId="1" priority="400" operator="greaterThan">
      <formula>20</formula>
    </cfRule>
    <cfRule type="colorScale" priority="401">
      <colorScale>
        <cfvo type="min"/>
        <cfvo type="max"/>
        <color rgb="FFFCFCFF"/>
        <color rgb="FF0070C0"/>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FEAAE-D5E1-4577-A46D-A4932E1897AF}">
  <dimension ref="A1:BO28"/>
  <sheetViews>
    <sheetView topLeftCell="AP1" zoomScale="112" zoomScaleNormal="112" workbookViewId="0">
      <selection activeCell="AX16" sqref="AX16"/>
    </sheetView>
  </sheetViews>
  <sheetFormatPr defaultColWidth="11.54296875" defaultRowHeight="12.75" customHeight="1" x14ac:dyDescent="0.25"/>
  <cols>
    <col min="1" max="1" width="26" style="18" bestFit="1" customWidth="1"/>
    <col min="2" max="2" width="5.81640625" style="68" customWidth="1"/>
    <col min="3" max="24" width="11.54296875" style="18"/>
    <col min="25" max="44" width="7" style="18" customWidth="1"/>
    <col min="45" max="46" width="11.54296875" style="18"/>
    <col min="47" max="47" width="17.54296875" style="27" bestFit="1" customWidth="1"/>
    <col min="48" max="64" width="4.81640625" style="23" customWidth="1"/>
    <col min="65" max="65" width="10" style="23" customWidth="1"/>
    <col min="66" max="69" width="11.54296875" style="18"/>
    <col min="70" max="70" width="5.26953125" style="18" customWidth="1"/>
    <col min="71" max="88" width="5.81640625" style="18" customWidth="1"/>
    <col min="89" max="16384" width="11.54296875" style="18"/>
  </cols>
  <sheetData>
    <row r="1" spans="1:67" ht="12.75" customHeight="1" x14ac:dyDescent="0.35">
      <c r="A1" s="49">
        <v>2024</v>
      </c>
    </row>
    <row r="3" spans="1:67" ht="12.75" customHeight="1" x14ac:dyDescent="0.3">
      <c r="A3" s="55" t="s">
        <v>235</v>
      </c>
      <c r="B3" s="18"/>
      <c r="C3" s="38" t="s">
        <v>183</v>
      </c>
    </row>
    <row r="4" spans="1:67" ht="12.75" customHeight="1" x14ac:dyDescent="0.3">
      <c r="B4" s="50"/>
    </row>
    <row r="5" spans="1:67" ht="13" x14ac:dyDescent="0.3">
      <c r="B5" s="18"/>
      <c r="C5" s="51" t="s">
        <v>111</v>
      </c>
      <c r="D5" s="51" t="s">
        <v>112</v>
      </c>
      <c r="E5" s="51" t="s">
        <v>113</v>
      </c>
      <c r="F5" s="51" t="s">
        <v>171</v>
      </c>
      <c r="G5" s="51" t="s">
        <v>115</v>
      </c>
      <c r="H5" s="51" t="s">
        <v>172</v>
      </c>
      <c r="I5" s="51" t="s">
        <v>117</v>
      </c>
      <c r="J5" s="51" t="s">
        <v>25</v>
      </c>
      <c r="K5" s="51" t="s">
        <v>118</v>
      </c>
      <c r="L5" s="51" t="s">
        <v>120</v>
      </c>
      <c r="M5" s="51" t="s">
        <v>173</v>
      </c>
      <c r="N5" s="51" t="s">
        <v>122</v>
      </c>
      <c r="O5" s="51" t="s">
        <v>123</v>
      </c>
      <c r="P5" s="51" t="s">
        <v>174</v>
      </c>
      <c r="Q5" s="51" t="s">
        <v>125</v>
      </c>
      <c r="R5" s="51" t="s">
        <v>175</v>
      </c>
      <c r="S5" s="51" t="s">
        <v>159</v>
      </c>
      <c r="T5" s="51" t="s">
        <v>214</v>
      </c>
      <c r="U5" s="18" t="s">
        <v>23</v>
      </c>
      <c r="X5" s="20"/>
      <c r="Y5" s="51"/>
      <c r="Z5" s="51"/>
      <c r="AA5" s="51"/>
      <c r="AB5" s="51"/>
      <c r="AC5" s="51"/>
      <c r="AD5" s="51"/>
      <c r="AE5" s="51"/>
      <c r="AF5" s="51"/>
      <c r="AG5" s="51"/>
      <c r="AH5" s="51"/>
      <c r="AI5" s="51"/>
      <c r="AJ5" s="51"/>
      <c r="AK5" s="51"/>
      <c r="AL5" s="51"/>
      <c r="AM5" s="51"/>
      <c r="AN5" s="51"/>
      <c r="AO5" s="51"/>
      <c r="AP5" s="51"/>
    </row>
    <row r="6" spans="1:67" ht="13" x14ac:dyDescent="0.3">
      <c r="B6" s="18"/>
      <c r="C6" s="18">
        <v>1</v>
      </c>
      <c r="D6" s="18">
        <v>3</v>
      </c>
      <c r="E6" s="18">
        <v>4</v>
      </c>
      <c r="F6" s="18">
        <v>6</v>
      </c>
      <c r="G6" s="18">
        <v>7</v>
      </c>
      <c r="H6" s="18">
        <v>8</v>
      </c>
      <c r="I6" s="18">
        <v>9</v>
      </c>
      <c r="J6" s="18">
        <v>10</v>
      </c>
      <c r="K6" s="18">
        <v>11</v>
      </c>
      <c r="L6" s="18">
        <v>13</v>
      </c>
      <c r="M6" s="18">
        <v>14</v>
      </c>
      <c r="N6" s="18">
        <v>15</v>
      </c>
      <c r="O6" s="18">
        <v>16</v>
      </c>
      <c r="P6" s="18">
        <v>17</v>
      </c>
      <c r="Q6" s="18">
        <v>18</v>
      </c>
      <c r="R6" s="18">
        <v>19</v>
      </c>
      <c r="S6" s="18">
        <v>78</v>
      </c>
      <c r="T6" s="18">
        <v>999</v>
      </c>
      <c r="U6" s="18" t="s">
        <v>2</v>
      </c>
      <c r="X6" s="20"/>
      <c r="Y6" s="51" t="s">
        <v>111</v>
      </c>
      <c r="Z6" s="51" t="s">
        <v>112</v>
      </c>
      <c r="AA6" s="51" t="s">
        <v>113</v>
      </c>
      <c r="AB6" s="51" t="s">
        <v>171</v>
      </c>
      <c r="AC6" s="51" t="s">
        <v>115</v>
      </c>
      <c r="AD6" s="51" t="s">
        <v>172</v>
      </c>
      <c r="AE6" s="51" t="s">
        <v>117</v>
      </c>
      <c r="AF6" s="51" t="s">
        <v>25</v>
      </c>
      <c r="AG6" s="51" t="s">
        <v>118</v>
      </c>
      <c r="AH6" s="51" t="s">
        <v>120</v>
      </c>
      <c r="AI6" s="51" t="s">
        <v>173</v>
      </c>
      <c r="AJ6" s="51" t="s">
        <v>122</v>
      </c>
      <c r="AK6" s="51" t="s">
        <v>123</v>
      </c>
      <c r="AL6" s="51" t="s">
        <v>174</v>
      </c>
      <c r="AM6" s="51" t="s">
        <v>125</v>
      </c>
      <c r="AN6" s="51" t="s">
        <v>175</v>
      </c>
      <c r="AO6" s="51" t="s">
        <v>159</v>
      </c>
      <c r="AP6" s="51" t="s">
        <v>177</v>
      </c>
      <c r="AQ6" s="48"/>
      <c r="AT6" s="24"/>
      <c r="AU6" s="28"/>
      <c r="AV6" s="25"/>
      <c r="AW6" s="25"/>
      <c r="AX6" s="25"/>
      <c r="AY6" s="25"/>
      <c r="AZ6" s="25"/>
      <c r="BA6" s="25"/>
      <c r="BB6" s="25"/>
      <c r="BC6" s="25"/>
      <c r="BD6" s="25"/>
      <c r="BE6" s="25"/>
      <c r="BF6" s="25"/>
      <c r="BG6" s="25"/>
      <c r="BH6" s="25"/>
      <c r="BI6" s="25"/>
      <c r="BJ6" s="25"/>
      <c r="BK6" s="25"/>
      <c r="BL6" s="25"/>
      <c r="BM6" s="25"/>
      <c r="BN6" s="24"/>
      <c r="BO6" s="24"/>
    </row>
    <row r="7" spans="1:67" ht="12.5" x14ac:dyDescent="0.25">
      <c r="B7" s="18"/>
      <c r="X7" s="29"/>
      <c r="Y7" s="53" t="s">
        <v>129</v>
      </c>
      <c r="Z7" s="53" t="s">
        <v>130</v>
      </c>
      <c r="AA7" s="53" t="s">
        <v>131</v>
      </c>
      <c r="AB7" s="53" t="s">
        <v>132</v>
      </c>
      <c r="AC7" s="53" t="s">
        <v>133</v>
      </c>
      <c r="AD7" s="53" t="s">
        <v>134</v>
      </c>
      <c r="AE7" s="53" t="s">
        <v>135</v>
      </c>
      <c r="AF7" s="53" t="s">
        <v>136</v>
      </c>
      <c r="AG7" s="53" t="s">
        <v>137</v>
      </c>
      <c r="AH7" s="53" t="s">
        <v>139</v>
      </c>
      <c r="AI7" s="53" t="s">
        <v>140</v>
      </c>
      <c r="AJ7" s="53" t="s">
        <v>141</v>
      </c>
      <c r="AK7" s="53" t="s">
        <v>142</v>
      </c>
      <c r="AL7" s="53" t="s">
        <v>143</v>
      </c>
      <c r="AM7" s="53" t="s">
        <v>144</v>
      </c>
      <c r="AN7" s="53" t="s">
        <v>145</v>
      </c>
      <c r="AO7" s="53">
        <v>78</v>
      </c>
      <c r="AP7" s="53" t="s">
        <v>127</v>
      </c>
      <c r="AQ7" s="53" t="s">
        <v>2</v>
      </c>
      <c r="AT7" s="26"/>
      <c r="AU7" s="31"/>
      <c r="AV7" s="32" t="s">
        <v>129</v>
      </c>
      <c r="AW7" s="32" t="s">
        <v>178</v>
      </c>
      <c r="AX7" s="32" t="s">
        <v>179</v>
      </c>
      <c r="AY7" s="32" t="s">
        <v>132</v>
      </c>
      <c r="AZ7" s="32" t="s">
        <v>133</v>
      </c>
      <c r="BA7" s="32" t="s">
        <v>134</v>
      </c>
      <c r="BB7" s="32" t="s">
        <v>135</v>
      </c>
      <c r="BC7" s="32" t="s">
        <v>136</v>
      </c>
      <c r="BD7" s="32" t="s">
        <v>137</v>
      </c>
      <c r="BE7" s="32" t="s">
        <v>139</v>
      </c>
      <c r="BF7" s="32" t="s">
        <v>140</v>
      </c>
      <c r="BG7" s="32" t="s">
        <v>141</v>
      </c>
      <c r="BH7" s="32" t="s">
        <v>142</v>
      </c>
      <c r="BI7" s="32" t="s">
        <v>143</v>
      </c>
      <c r="BJ7" s="32" t="s">
        <v>144</v>
      </c>
      <c r="BK7" s="32" t="s">
        <v>145</v>
      </c>
      <c r="BL7" s="32">
        <v>78</v>
      </c>
      <c r="BM7" s="32" t="s">
        <v>127</v>
      </c>
      <c r="BN7" s="33" t="s">
        <v>31</v>
      </c>
      <c r="BO7" s="26"/>
    </row>
    <row r="8" spans="1:67" ht="12.5" x14ac:dyDescent="0.25">
      <c r="A8" s="51" t="s">
        <v>146</v>
      </c>
      <c r="B8" s="18">
        <v>1</v>
      </c>
      <c r="C8" s="18">
        <v>36</v>
      </c>
      <c r="D8" s="18">
        <v>3212</v>
      </c>
      <c r="E8" s="18">
        <v>193</v>
      </c>
      <c r="F8" s="18">
        <v>126</v>
      </c>
      <c r="G8" s="18">
        <v>721</v>
      </c>
      <c r="H8" s="18">
        <v>178</v>
      </c>
      <c r="I8" s="18">
        <v>36</v>
      </c>
      <c r="J8" s="18">
        <v>77</v>
      </c>
      <c r="K8" s="18">
        <v>122</v>
      </c>
      <c r="L8" s="18">
        <v>636</v>
      </c>
      <c r="M8" s="18">
        <v>81</v>
      </c>
      <c r="N8" s="18">
        <v>174</v>
      </c>
      <c r="O8" s="18">
        <v>69</v>
      </c>
      <c r="P8" s="18">
        <v>200</v>
      </c>
      <c r="Q8" s="18">
        <v>31</v>
      </c>
      <c r="R8" s="18">
        <v>44</v>
      </c>
      <c r="S8" s="18">
        <v>643</v>
      </c>
      <c r="T8" s="18">
        <v>4228</v>
      </c>
      <c r="U8" s="18">
        <v>10807</v>
      </c>
      <c r="V8" s="37"/>
      <c r="X8" s="29" t="s">
        <v>146</v>
      </c>
      <c r="Y8" s="56">
        <f t="shared" ref="Y8:AN16" si="0">IFERROR(C8/1000,"")</f>
        <v>3.5999999999999997E-2</v>
      </c>
      <c r="Z8" s="56">
        <f t="shared" si="0"/>
        <v>3.2120000000000002</v>
      </c>
      <c r="AA8" s="56">
        <f t="shared" si="0"/>
        <v>0.193</v>
      </c>
      <c r="AB8" s="56">
        <f t="shared" si="0"/>
        <v>0.126</v>
      </c>
      <c r="AC8" s="56">
        <f t="shared" si="0"/>
        <v>0.72099999999999997</v>
      </c>
      <c r="AD8" s="56">
        <f t="shared" si="0"/>
        <v>0.17799999999999999</v>
      </c>
      <c r="AE8" s="56">
        <f t="shared" si="0"/>
        <v>3.5999999999999997E-2</v>
      </c>
      <c r="AF8" s="56">
        <f t="shared" si="0"/>
        <v>7.6999999999999999E-2</v>
      </c>
      <c r="AG8" s="56">
        <f t="shared" si="0"/>
        <v>0.122</v>
      </c>
      <c r="AH8" s="56">
        <f t="shared" si="0"/>
        <v>0.63600000000000001</v>
      </c>
      <c r="AI8" s="56">
        <f t="shared" si="0"/>
        <v>8.1000000000000003E-2</v>
      </c>
      <c r="AJ8" s="56">
        <f t="shared" si="0"/>
        <v>0.17399999999999999</v>
      </c>
      <c r="AK8" s="56">
        <f t="shared" si="0"/>
        <v>6.9000000000000006E-2</v>
      </c>
      <c r="AL8" s="56">
        <f t="shared" si="0"/>
        <v>0.2</v>
      </c>
      <c r="AM8" s="56">
        <f t="shared" si="0"/>
        <v>3.1E-2</v>
      </c>
      <c r="AN8" s="56">
        <f t="shared" si="0"/>
        <v>4.3999999999999997E-2</v>
      </c>
      <c r="AO8" s="56">
        <f t="shared" ref="AO8:AQ16" si="1">IFERROR(S8/1000,"")</f>
        <v>0.64300000000000002</v>
      </c>
      <c r="AP8" s="56">
        <f t="shared" si="1"/>
        <v>4.2279999999999998</v>
      </c>
      <c r="AQ8" s="56">
        <f t="shared" si="1"/>
        <v>10.807</v>
      </c>
      <c r="AT8" s="26"/>
      <c r="AU8" s="31" t="s">
        <v>146</v>
      </c>
      <c r="AV8" s="77">
        <f>IFERROR(IF(Y8&gt;0,Y8,"x")/$AQ8,"")*100</f>
        <v>0.33311742389192189</v>
      </c>
      <c r="AW8" s="77">
        <f t="shared" ref="AW8:BL16" si="2">IFERROR(IF(Z8&gt;0,Z8,"x")/$AQ8,"")*100</f>
        <v>29.721476820579255</v>
      </c>
      <c r="AX8" s="77">
        <f t="shared" si="2"/>
        <v>1.7858795225316926</v>
      </c>
      <c r="AY8" s="77">
        <f t="shared" si="2"/>
        <v>1.1659109836217267</v>
      </c>
      <c r="AZ8" s="77">
        <f t="shared" si="2"/>
        <v>6.6716017396132132</v>
      </c>
      <c r="BA8" s="77">
        <f t="shared" si="2"/>
        <v>1.6470805959100581</v>
      </c>
      <c r="BB8" s="77">
        <f t="shared" si="2"/>
        <v>0.33311742389192189</v>
      </c>
      <c r="BC8" s="77">
        <f t="shared" si="2"/>
        <v>0.71250115665772185</v>
      </c>
      <c r="BD8" s="77">
        <f t="shared" si="2"/>
        <v>1.1288979365226242</v>
      </c>
      <c r="BE8" s="77">
        <f t="shared" si="2"/>
        <v>5.8850744887572866</v>
      </c>
      <c r="BF8" s="77">
        <f t="shared" si="2"/>
        <v>0.7495142037568242</v>
      </c>
      <c r="BG8" s="77">
        <f t="shared" si="2"/>
        <v>1.6100675488109557</v>
      </c>
      <c r="BH8" s="77">
        <f t="shared" si="2"/>
        <v>0.63847506245951702</v>
      </c>
      <c r="BI8" s="77">
        <f t="shared" si="2"/>
        <v>1.8506523549551217</v>
      </c>
      <c r="BJ8" s="77">
        <f t="shared" si="2"/>
        <v>0.28685111501804389</v>
      </c>
      <c r="BK8" s="77">
        <f t="shared" si="2"/>
        <v>0.40714351809012672</v>
      </c>
      <c r="BL8" s="77">
        <f t="shared" si="2"/>
        <v>5.9498473211807159</v>
      </c>
      <c r="BM8" s="78">
        <f>IFERROR(IF(AP8&gt;0,AP8,"x")/$AQ8,"")*100</f>
        <v>39.12279078375127</v>
      </c>
      <c r="BN8" s="116">
        <f t="shared" ref="BN8:BN16" si="3">SUM(AV8:BM8)</f>
        <v>100</v>
      </c>
      <c r="BO8" s="26"/>
    </row>
    <row r="9" spans="1:67" ht="12.5" x14ac:dyDescent="0.25">
      <c r="A9" s="51" t="s">
        <v>147</v>
      </c>
      <c r="B9" s="18">
        <v>2</v>
      </c>
      <c r="C9" s="18">
        <v>62</v>
      </c>
      <c r="D9" s="18">
        <v>4452</v>
      </c>
      <c r="E9" s="18">
        <v>206</v>
      </c>
      <c r="F9" s="18">
        <v>656</v>
      </c>
      <c r="G9" s="18">
        <v>1805</v>
      </c>
      <c r="H9" s="18">
        <v>291</v>
      </c>
      <c r="I9" s="18">
        <v>145</v>
      </c>
      <c r="J9" s="18">
        <v>519</v>
      </c>
      <c r="K9" s="18">
        <v>179</v>
      </c>
      <c r="L9" s="18">
        <v>1362</v>
      </c>
      <c r="M9" s="18">
        <v>215</v>
      </c>
      <c r="N9" s="18">
        <v>257</v>
      </c>
      <c r="O9" s="18">
        <v>183</v>
      </c>
      <c r="P9" s="18">
        <v>284</v>
      </c>
      <c r="Q9" s="18">
        <v>69</v>
      </c>
      <c r="R9" s="18">
        <v>57</v>
      </c>
      <c r="S9" s="18">
        <v>1522</v>
      </c>
      <c r="T9" s="18">
        <v>8432</v>
      </c>
      <c r="U9" s="18">
        <v>20696</v>
      </c>
      <c r="X9" s="29" t="s">
        <v>147</v>
      </c>
      <c r="Y9" s="56">
        <f t="shared" si="0"/>
        <v>6.2E-2</v>
      </c>
      <c r="Z9" s="56">
        <f t="shared" si="0"/>
        <v>4.452</v>
      </c>
      <c r="AA9" s="56">
        <f t="shared" si="0"/>
        <v>0.20599999999999999</v>
      </c>
      <c r="AB9" s="56">
        <f t="shared" si="0"/>
        <v>0.65600000000000003</v>
      </c>
      <c r="AC9" s="56">
        <f t="shared" si="0"/>
        <v>1.8049999999999999</v>
      </c>
      <c r="AD9" s="56">
        <f t="shared" si="0"/>
        <v>0.29099999999999998</v>
      </c>
      <c r="AE9" s="56">
        <f t="shared" si="0"/>
        <v>0.14499999999999999</v>
      </c>
      <c r="AF9" s="56">
        <f t="shared" si="0"/>
        <v>0.51900000000000002</v>
      </c>
      <c r="AG9" s="56">
        <f t="shared" si="0"/>
        <v>0.17899999999999999</v>
      </c>
      <c r="AH9" s="56">
        <f t="shared" si="0"/>
        <v>1.3620000000000001</v>
      </c>
      <c r="AI9" s="56">
        <f t="shared" si="0"/>
        <v>0.215</v>
      </c>
      <c r="AJ9" s="56">
        <f t="shared" si="0"/>
        <v>0.25700000000000001</v>
      </c>
      <c r="AK9" s="56">
        <f t="shared" si="0"/>
        <v>0.183</v>
      </c>
      <c r="AL9" s="56">
        <f t="shared" si="0"/>
        <v>0.28399999999999997</v>
      </c>
      <c r="AM9" s="56">
        <f t="shared" si="0"/>
        <v>6.9000000000000006E-2</v>
      </c>
      <c r="AN9" s="56">
        <f t="shared" si="0"/>
        <v>5.7000000000000002E-2</v>
      </c>
      <c r="AO9" s="56">
        <f t="shared" si="1"/>
        <v>1.522</v>
      </c>
      <c r="AP9" s="56">
        <f t="shared" si="1"/>
        <v>8.4320000000000004</v>
      </c>
      <c r="AQ9" s="56">
        <f t="shared" si="1"/>
        <v>20.696000000000002</v>
      </c>
      <c r="AT9" s="26"/>
      <c r="AU9" s="31" t="s">
        <v>147</v>
      </c>
      <c r="AV9" s="77">
        <f t="shared" ref="AV9:AV15" si="4">IFERROR(IF(Y9&gt;0,Y9,"x")/$AQ9,"")*100</f>
        <v>0.29957479706223422</v>
      </c>
      <c r="AW9" s="77">
        <f t="shared" si="2"/>
        <v>21.511403169694628</v>
      </c>
      <c r="AX9" s="77">
        <f t="shared" si="2"/>
        <v>0.9953614224971008</v>
      </c>
      <c r="AY9" s="77">
        <f t="shared" si="2"/>
        <v>3.1696946269810589</v>
      </c>
      <c r="AZ9" s="77">
        <f t="shared" si="2"/>
        <v>8.7214920757634324</v>
      </c>
      <c r="BA9" s="77">
        <f t="shared" si="2"/>
        <v>1.4060688055662927</v>
      </c>
      <c r="BB9" s="77">
        <f t="shared" si="2"/>
        <v>0.70061847700038649</v>
      </c>
      <c r="BC9" s="77">
        <f t="shared" si="2"/>
        <v>2.5077309625048319</v>
      </c>
      <c r="BD9" s="77">
        <f t="shared" si="2"/>
        <v>0.86490143022806332</v>
      </c>
      <c r="BE9" s="77">
        <f t="shared" si="2"/>
        <v>6.5809818322381144</v>
      </c>
      <c r="BF9" s="77">
        <f t="shared" si="2"/>
        <v>1.03884808658678</v>
      </c>
      <c r="BG9" s="77">
        <f t="shared" si="2"/>
        <v>1.241785852338616</v>
      </c>
      <c r="BH9" s="77">
        <f t="shared" si="2"/>
        <v>0.88422883649014283</v>
      </c>
      <c r="BI9" s="77">
        <f t="shared" si="2"/>
        <v>1.3722458446076535</v>
      </c>
      <c r="BJ9" s="77">
        <f t="shared" si="2"/>
        <v>0.33339775802087362</v>
      </c>
      <c r="BK9" s="77">
        <f t="shared" si="2"/>
        <v>0.27541553923463469</v>
      </c>
      <c r="BL9" s="77">
        <f t="shared" si="2"/>
        <v>7.3540780827212977</v>
      </c>
      <c r="BM9" s="78">
        <f t="shared" ref="BM9:BM16" si="5">IFERROR(IF(AP9&gt;0,AP9,"x")/$AQ9,"")*100</f>
        <v>40.742172400463858</v>
      </c>
      <c r="BN9" s="116">
        <f t="shared" si="3"/>
        <v>100.00000000000001</v>
      </c>
      <c r="BO9" s="26"/>
    </row>
    <row r="10" spans="1:67" ht="12.5" x14ac:dyDescent="0.25">
      <c r="A10" s="51" t="s">
        <v>148</v>
      </c>
      <c r="B10" s="18">
        <v>3</v>
      </c>
      <c r="C10" s="18">
        <v>69</v>
      </c>
      <c r="D10" s="18">
        <v>1574</v>
      </c>
      <c r="E10" s="18">
        <v>747</v>
      </c>
      <c r="F10" s="18">
        <v>771</v>
      </c>
      <c r="G10" s="18">
        <v>3735</v>
      </c>
      <c r="H10" s="18">
        <v>931</v>
      </c>
      <c r="I10" s="18">
        <v>469</v>
      </c>
      <c r="J10" s="18">
        <v>15049</v>
      </c>
      <c r="K10" s="18">
        <v>2419</v>
      </c>
      <c r="L10" s="18">
        <v>4555</v>
      </c>
      <c r="M10" s="18">
        <v>941</v>
      </c>
      <c r="N10" s="18">
        <v>2440</v>
      </c>
      <c r="O10" s="18">
        <v>917</v>
      </c>
      <c r="P10" s="18">
        <v>1622</v>
      </c>
      <c r="Q10" s="18">
        <v>345</v>
      </c>
      <c r="R10" s="18">
        <v>505</v>
      </c>
      <c r="S10" s="18">
        <v>3269</v>
      </c>
      <c r="T10" s="18">
        <v>19540</v>
      </c>
      <c r="U10" s="18">
        <v>59898</v>
      </c>
      <c r="X10" s="29" t="s">
        <v>148</v>
      </c>
      <c r="Y10" s="56">
        <f t="shared" si="0"/>
        <v>6.9000000000000006E-2</v>
      </c>
      <c r="Z10" s="56">
        <f t="shared" si="0"/>
        <v>1.5740000000000001</v>
      </c>
      <c r="AA10" s="56">
        <f t="shared" si="0"/>
        <v>0.747</v>
      </c>
      <c r="AB10" s="56">
        <f t="shared" si="0"/>
        <v>0.77100000000000002</v>
      </c>
      <c r="AC10" s="56">
        <f t="shared" si="0"/>
        <v>3.7349999999999999</v>
      </c>
      <c r="AD10" s="56">
        <f t="shared" si="0"/>
        <v>0.93100000000000005</v>
      </c>
      <c r="AE10" s="56">
        <f t="shared" si="0"/>
        <v>0.46899999999999997</v>
      </c>
      <c r="AF10" s="56">
        <f t="shared" si="0"/>
        <v>15.048999999999999</v>
      </c>
      <c r="AG10" s="56">
        <f t="shared" si="0"/>
        <v>2.419</v>
      </c>
      <c r="AH10" s="56">
        <f t="shared" si="0"/>
        <v>4.5549999999999997</v>
      </c>
      <c r="AI10" s="56">
        <f t="shared" si="0"/>
        <v>0.94099999999999995</v>
      </c>
      <c r="AJ10" s="56">
        <f t="shared" si="0"/>
        <v>2.44</v>
      </c>
      <c r="AK10" s="56">
        <f t="shared" si="0"/>
        <v>0.91700000000000004</v>
      </c>
      <c r="AL10" s="56">
        <f t="shared" si="0"/>
        <v>1.6220000000000001</v>
      </c>
      <c r="AM10" s="56">
        <f t="shared" si="0"/>
        <v>0.34499999999999997</v>
      </c>
      <c r="AN10" s="56">
        <f t="shared" si="0"/>
        <v>0.505</v>
      </c>
      <c r="AO10" s="56">
        <f t="shared" si="1"/>
        <v>3.2690000000000001</v>
      </c>
      <c r="AP10" s="56">
        <f t="shared" si="1"/>
        <v>19.54</v>
      </c>
      <c r="AQ10" s="56">
        <f t="shared" si="1"/>
        <v>59.898000000000003</v>
      </c>
      <c r="AT10" s="26"/>
      <c r="AU10" s="31" t="s">
        <v>148</v>
      </c>
      <c r="AV10" s="77">
        <f t="shared" si="4"/>
        <v>0.11519583291595714</v>
      </c>
      <c r="AW10" s="77">
        <f t="shared" si="2"/>
        <v>2.6278005943437175</v>
      </c>
      <c r="AX10" s="77">
        <f t="shared" si="2"/>
        <v>1.247120104177101</v>
      </c>
      <c r="AY10" s="77">
        <f t="shared" si="2"/>
        <v>1.2871882199739557</v>
      </c>
      <c r="AZ10" s="77">
        <f t="shared" si="2"/>
        <v>6.2356005208855052</v>
      </c>
      <c r="BA10" s="77">
        <f t="shared" si="2"/>
        <v>1.5543089919529867</v>
      </c>
      <c r="BB10" s="77">
        <f t="shared" si="2"/>
        <v>0.78299776286353451</v>
      </c>
      <c r="BC10" s="77">
        <f t="shared" si="2"/>
        <v>25.124378109452731</v>
      </c>
      <c r="BD10" s="77">
        <f t="shared" si="2"/>
        <v>4.0385321713579749</v>
      </c>
      <c r="BE10" s="77">
        <f t="shared" si="2"/>
        <v>7.6045944772780389</v>
      </c>
      <c r="BF10" s="77">
        <f t="shared" si="2"/>
        <v>1.5710040402016761</v>
      </c>
      <c r="BG10" s="77">
        <f t="shared" si="2"/>
        <v>4.0735917726802224</v>
      </c>
      <c r="BH10" s="77">
        <f t="shared" si="2"/>
        <v>1.5309359244048215</v>
      </c>
      <c r="BI10" s="77">
        <f t="shared" si="2"/>
        <v>2.707936825937427</v>
      </c>
      <c r="BJ10" s="77">
        <f t="shared" si="2"/>
        <v>0.5759791645797856</v>
      </c>
      <c r="BK10" s="77">
        <f t="shared" si="2"/>
        <v>0.84309993655881654</v>
      </c>
      <c r="BL10" s="77">
        <f t="shared" si="2"/>
        <v>5.4576112724965773</v>
      </c>
      <c r="BM10" s="78">
        <f t="shared" si="5"/>
        <v>32.622124277939157</v>
      </c>
      <c r="BN10" s="116">
        <f t="shared" si="3"/>
        <v>100</v>
      </c>
      <c r="BO10" s="26"/>
    </row>
    <row r="11" spans="1:67" ht="12.5" x14ac:dyDescent="0.25">
      <c r="A11" s="51" t="s">
        <v>149</v>
      </c>
      <c r="B11" s="18">
        <v>4</v>
      </c>
      <c r="C11" s="18" t="s">
        <v>213</v>
      </c>
      <c r="D11" s="18">
        <v>82</v>
      </c>
      <c r="E11" s="18" t="s">
        <v>213</v>
      </c>
      <c r="F11" s="18">
        <v>36</v>
      </c>
      <c r="G11" s="18">
        <v>320</v>
      </c>
      <c r="H11" s="18">
        <v>43</v>
      </c>
      <c r="I11" s="18">
        <v>126</v>
      </c>
      <c r="J11" s="18">
        <v>57</v>
      </c>
      <c r="K11" s="18">
        <v>60</v>
      </c>
      <c r="L11" s="18">
        <v>152</v>
      </c>
      <c r="M11" s="18">
        <v>68</v>
      </c>
      <c r="N11" s="18">
        <v>216</v>
      </c>
      <c r="O11" s="18">
        <v>9706</v>
      </c>
      <c r="P11" s="18">
        <v>1569</v>
      </c>
      <c r="Q11" s="18">
        <v>192</v>
      </c>
      <c r="R11" s="18">
        <v>116</v>
      </c>
      <c r="S11" s="18">
        <v>343</v>
      </c>
      <c r="T11" s="18">
        <v>8993</v>
      </c>
      <c r="U11" s="18">
        <v>22102</v>
      </c>
      <c r="X11" s="29" t="s">
        <v>149</v>
      </c>
      <c r="Y11" s="56" t="str">
        <f t="shared" si="0"/>
        <v/>
      </c>
      <c r="Z11" s="56">
        <f t="shared" si="0"/>
        <v>8.2000000000000003E-2</v>
      </c>
      <c r="AA11" s="56" t="str">
        <f t="shared" si="0"/>
        <v/>
      </c>
      <c r="AB11" s="56">
        <f t="shared" si="0"/>
        <v>3.5999999999999997E-2</v>
      </c>
      <c r="AC11" s="56">
        <f t="shared" si="0"/>
        <v>0.32</v>
      </c>
      <c r="AD11" s="56">
        <f t="shared" si="0"/>
        <v>4.2999999999999997E-2</v>
      </c>
      <c r="AE11" s="56">
        <f t="shared" si="0"/>
        <v>0.126</v>
      </c>
      <c r="AF11" s="56">
        <f t="shared" si="0"/>
        <v>5.7000000000000002E-2</v>
      </c>
      <c r="AG11" s="56">
        <f t="shared" si="0"/>
        <v>0.06</v>
      </c>
      <c r="AH11" s="56">
        <f t="shared" si="0"/>
        <v>0.152</v>
      </c>
      <c r="AI11" s="56">
        <f t="shared" si="0"/>
        <v>6.8000000000000005E-2</v>
      </c>
      <c r="AJ11" s="56">
        <f t="shared" si="0"/>
        <v>0.216</v>
      </c>
      <c r="AK11" s="56">
        <f t="shared" si="0"/>
        <v>9.7059999999999995</v>
      </c>
      <c r="AL11" s="56">
        <f t="shared" si="0"/>
        <v>1.569</v>
      </c>
      <c r="AM11" s="56">
        <f t="shared" si="0"/>
        <v>0.192</v>
      </c>
      <c r="AN11" s="56">
        <f t="shared" si="0"/>
        <v>0.11600000000000001</v>
      </c>
      <c r="AO11" s="56">
        <f t="shared" si="1"/>
        <v>0.34300000000000003</v>
      </c>
      <c r="AP11" s="56">
        <f t="shared" si="1"/>
        <v>8.9930000000000003</v>
      </c>
      <c r="AQ11" s="56">
        <f t="shared" si="1"/>
        <v>22.102</v>
      </c>
      <c r="AT11" s="26"/>
      <c r="AU11" s="31" t="s">
        <v>149</v>
      </c>
      <c r="AV11" s="77"/>
      <c r="AW11" s="77">
        <f t="shared" si="2"/>
        <v>0.3710071486743281</v>
      </c>
      <c r="AX11" s="77"/>
      <c r="AY11" s="77">
        <f t="shared" si="2"/>
        <v>0.16288118722287576</v>
      </c>
      <c r="AZ11" s="77">
        <f t="shared" si="2"/>
        <v>1.4478327753144511</v>
      </c>
      <c r="BA11" s="77">
        <f t="shared" si="2"/>
        <v>0.19455252918287935</v>
      </c>
      <c r="BB11" s="77">
        <f t="shared" si="2"/>
        <v>0.57008415528006517</v>
      </c>
      <c r="BC11" s="77">
        <f t="shared" si="2"/>
        <v>0.25789521310288666</v>
      </c>
      <c r="BD11" s="77">
        <f t="shared" si="2"/>
        <v>0.27146864537145959</v>
      </c>
      <c r="BE11" s="77">
        <f t="shared" si="2"/>
        <v>0.68772056827436423</v>
      </c>
      <c r="BF11" s="77">
        <f t="shared" si="2"/>
        <v>0.30766446475432091</v>
      </c>
      <c r="BG11" s="77">
        <f t="shared" si="2"/>
        <v>0.97728712333725465</v>
      </c>
      <c r="BH11" s="77">
        <f t="shared" si="2"/>
        <v>43.914577866256444</v>
      </c>
      <c r="BI11" s="77">
        <f t="shared" si="2"/>
        <v>7.0989050764636685</v>
      </c>
      <c r="BJ11" s="77">
        <f t="shared" si="2"/>
        <v>0.8686996651886707</v>
      </c>
      <c r="BK11" s="77">
        <f t="shared" si="2"/>
        <v>0.52483938105148853</v>
      </c>
      <c r="BL11" s="77">
        <f t="shared" si="2"/>
        <v>1.5518957560401776</v>
      </c>
      <c r="BM11" s="78">
        <f t="shared" si="5"/>
        <v>40.688625463758939</v>
      </c>
      <c r="BN11" s="116">
        <f t="shared" si="3"/>
        <v>99.895937019274271</v>
      </c>
      <c r="BO11" s="26"/>
    </row>
    <row r="12" spans="1:67" ht="12.5" x14ac:dyDescent="0.25">
      <c r="A12" s="51" t="s">
        <v>150</v>
      </c>
      <c r="B12" s="18">
        <v>5</v>
      </c>
      <c r="C12" s="18">
        <v>27</v>
      </c>
      <c r="D12" s="18">
        <v>167</v>
      </c>
      <c r="E12" s="18">
        <v>40</v>
      </c>
      <c r="F12" s="18">
        <v>769</v>
      </c>
      <c r="G12" s="18">
        <v>354</v>
      </c>
      <c r="H12" s="18">
        <v>110</v>
      </c>
      <c r="I12" s="18">
        <v>145</v>
      </c>
      <c r="J12" s="18">
        <v>117</v>
      </c>
      <c r="K12" s="18">
        <v>94</v>
      </c>
      <c r="L12" s="18">
        <v>239</v>
      </c>
      <c r="M12" s="18">
        <v>103</v>
      </c>
      <c r="N12" s="18">
        <v>502</v>
      </c>
      <c r="O12" s="18">
        <v>11948</v>
      </c>
      <c r="P12" s="18">
        <v>1128</v>
      </c>
      <c r="Q12" s="18">
        <v>190</v>
      </c>
      <c r="R12" s="18">
        <v>184</v>
      </c>
      <c r="S12" s="18">
        <v>580</v>
      </c>
      <c r="T12" s="18">
        <v>10423</v>
      </c>
      <c r="U12" s="18">
        <v>27120</v>
      </c>
      <c r="X12" s="29" t="s">
        <v>150</v>
      </c>
      <c r="Y12" s="56">
        <f t="shared" si="0"/>
        <v>2.7E-2</v>
      </c>
      <c r="Z12" s="56">
        <f t="shared" si="0"/>
        <v>0.16700000000000001</v>
      </c>
      <c r="AA12" s="56">
        <f t="shared" si="0"/>
        <v>0.04</v>
      </c>
      <c r="AB12" s="56">
        <f t="shared" si="0"/>
        <v>0.76900000000000002</v>
      </c>
      <c r="AC12" s="56">
        <f t="shared" si="0"/>
        <v>0.35399999999999998</v>
      </c>
      <c r="AD12" s="56">
        <f t="shared" si="0"/>
        <v>0.11</v>
      </c>
      <c r="AE12" s="56">
        <f t="shared" si="0"/>
        <v>0.14499999999999999</v>
      </c>
      <c r="AF12" s="56">
        <f t="shared" si="0"/>
        <v>0.11700000000000001</v>
      </c>
      <c r="AG12" s="56">
        <f t="shared" si="0"/>
        <v>9.4E-2</v>
      </c>
      <c r="AH12" s="56">
        <f t="shared" si="0"/>
        <v>0.23899999999999999</v>
      </c>
      <c r="AI12" s="56">
        <f t="shared" si="0"/>
        <v>0.10299999999999999</v>
      </c>
      <c r="AJ12" s="56">
        <f t="shared" si="0"/>
        <v>0.502</v>
      </c>
      <c r="AK12" s="56">
        <f t="shared" si="0"/>
        <v>11.948</v>
      </c>
      <c r="AL12" s="56">
        <f t="shared" si="0"/>
        <v>1.1279999999999999</v>
      </c>
      <c r="AM12" s="56">
        <f t="shared" si="0"/>
        <v>0.19</v>
      </c>
      <c r="AN12" s="56">
        <f t="shared" si="0"/>
        <v>0.184</v>
      </c>
      <c r="AO12" s="56">
        <f t="shared" si="1"/>
        <v>0.57999999999999996</v>
      </c>
      <c r="AP12" s="56">
        <f t="shared" si="1"/>
        <v>10.423</v>
      </c>
      <c r="AQ12" s="56">
        <f t="shared" si="1"/>
        <v>27.12</v>
      </c>
      <c r="AT12" s="26"/>
      <c r="AU12" s="31" t="s">
        <v>150</v>
      </c>
      <c r="AV12" s="77">
        <f t="shared" si="4"/>
        <v>9.9557522123893807E-2</v>
      </c>
      <c r="AW12" s="77">
        <f t="shared" si="2"/>
        <v>0.61578171091445422</v>
      </c>
      <c r="AX12" s="77">
        <f t="shared" si="2"/>
        <v>0.14749262536873156</v>
      </c>
      <c r="AY12" s="77">
        <f t="shared" si="2"/>
        <v>2.8355457227138641</v>
      </c>
      <c r="AZ12" s="77">
        <f t="shared" si="2"/>
        <v>1.305309734513274</v>
      </c>
      <c r="BA12" s="77">
        <f t="shared" si="2"/>
        <v>0.4056047197640118</v>
      </c>
      <c r="BB12" s="77">
        <f t="shared" si="2"/>
        <v>0.53466076696165188</v>
      </c>
      <c r="BC12" s="77">
        <f t="shared" si="2"/>
        <v>0.43141592920353983</v>
      </c>
      <c r="BD12" s="77">
        <f t="shared" si="2"/>
        <v>0.34660766961651918</v>
      </c>
      <c r="BE12" s="77">
        <f t="shared" si="2"/>
        <v>0.881268436578171</v>
      </c>
      <c r="BF12" s="77">
        <f t="shared" si="2"/>
        <v>0.37979351032448372</v>
      </c>
      <c r="BG12" s="77">
        <f t="shared" si="2"/>
        <v>1.8510324483775809</v>
      </c>
      <c r="BH12" s="77">
        <f t="shared" si="2"/>
        <v>44.056047197640119</v>
      </c>
      <c r="BI12" s="77">
        <f t="shared" si="2"/>
        <v>4.159292035398229</v>
      </c>
      <c r="BJ12" s="77">
        <f t="shared" si="2"/>
        <v>0.70058997050147487</v>
      </c>
      <c r="BK12" s="77">
        <f t="shared" si="2"/>
        <v>0.67846607669616521</v>
      </c>
      <c r="BL12" s="77">
        <f t="shared" si="2"/>
        <v>2.1386430678466075</v>
      </c>
      <c r="BM12" s="78">
        <f t="shared" si="5"/>
        <v>38.432890855457224</v>
      </c>
      <c r="BN12" s="116">
        <f t="shared" si="3"/>
        <v>100</v>
      </c>
      <c r="BO12" s="26"/>
    </row>
    <row r="13" spans="1:67" ht="12.5" x14ac:dyDescent="0.25">
      <c r="A13" s="51" t="s">
        <v>151</v>
      </c>
      <c r="B13" s="18">
        <v>6</v>
      </c>
      <c r="C13" s="18">
        <v>96</v>
      </c>
      <c r="D13" s="18">
        <v>604</v>
      </c>
      <c r="E13" s="18">
        <v>94</v>
      </c>
      <c r="F13" s="18">
        <v>267</v>
      </c>
      <c r="G13" s="18">
        <v>1968</v>
      </c>
      <c r="H13" s="18">
        <v>358</v>
      </c>
      <c r="I13" s="18">
        <v>787</v>
      </c>
      <c r="J13" s="18">
        <v>509</v>
      </c>
      <c r="K13" s="18">
        <v>700</v>
      </c>
      <c r="L13" s="18">
        <v>1741</v>
      </c>
      <c r="M13" s="18">
        <v>482</v>
      </c>
      <c r="N13" s="18">
        <v>2649</v>
      </c>
      <c r="O13" s="18">
        <v>1738</v>
      </c>
      <c r="P13" s="18">
        <v>44138</v>
      </c>
      <c r="Q13" s="18">
        <v>470</v>
      </c>
      <c r="R13" s="18">
        <v>640</v>
      </c>
      <c r="S13" s="18">
        <v>2224</v>
      </c>
      <c r="T13" s="18">
        <v>31520</v>
      </c>
      <c r="U13" s="18">
        <v>90985</v>
      </c>
      <c r="X13" s="29" t="s">
        <v>151</v>
      </c>
      <c r="Y13" s="56">
        <f t="shared" si="0"/>
        <v>9.6000000000000002E-2</v>
      </c>
      <c r="Z13" s="56">
        <f t="shared" si="0"/>
        <v>0.60399999999999998</v>
      </c>
      <c r="AA13" s="56">
        <f t="shared" si="0"/>
        <v>9.4E-2</v>
      </c>
      <c r="AB13" s="56">
        <f t="shared" si="0"/>
        <v>0.26700000000000002</v>
      </c>
      <c r="AC13" s="56">
        <f t="shared" si="0"/>
        <v>1.968</v>
      </c>
      <c r="AD13" s="56">
        <f t="shared" si="0"/>
        <v>0.35799999999999998</v>
      </c>
      <c r="AE13" s="56">
        <f t="shared" si="0"/>
        <v>0.78700000000000003</v>
      </c>
      <c r="AF13" s="56">
        <f t="shared" si="0"/>
        <v>0.50900000000000001</v>
      </c>
      <c r="AG13" s="56">
        <f t="shared" si="0"/>
        <v>0.7</v>
      </c>
      <c r="AH13" s="56">
        <f t="shared" si="0"/>
        <v>1.7410000000000001</v>
      </c>
      <c r="AI13" s="56">
        <f t="shared" si="0"/>
        <v>0.48199999999999998</v>
      </c>
      <c r="AJ13" s="56">
        <f t="shared" si="0"/>
        <v>2.649</v>
      </c>
      <c r="AK13" s="56">
        <f t="shared" si="0"/>
        <v>1.738</v>
      </c>
      <c r="AL13" s="56">
        <f t="shared" si="0"/>
        <v>44.137999999999998</v>
      </c>
      <c r="AM13" s="56">
        <f t="shared" si="0"/>
        <v>0.47</v>
      </c>
      <c r="AN13" s="56">
        <f t="shared" si="0"/>
        <v>0.64</v>
      </c>
      <c r="AO13" s="56">
        <f t="shared" si="1"/>
        <v>2.2240000000000002</v>
      </c>
      <c r="AP13" s="56">
        <f t="shared" si="1"/>
        <v>31.52</v>
      </c>
      <c r="AQ13" s="56">
        <f t="shared" si="1"/>
        <v>90.984999999999999</v>
      </c>
      <c r="AT13" s="26"/>
      <c r="AU13" s="31" t="s">
        <v>151</v>
      </c>
      <c r="AV13" s="77">
        <f t="shared" si="4"/>
        <v>0.10551189756553278</v>
      </c>
      <c r="AW13" s="77">
        <f t="shared" si="2"/>
        <v>0.66384568884981043</v>
      </c>
      <c r="AX13" s="77">
        <f t="shared" si="2"/>
        <v>0.10331373303291752</v>
      </c>
      <c r="AY13" s="77">
        <f t="shared" si="2"/>
        <v>0.2934549651041381</v>
      </c>
      <c r="AZ13" s="77">
        <f t="shared" si="2"/>
        <v>2.1629939000934217</v>
      </c>
      <c r="BA13" s="77">
        <f t="shared" si="2"/>
        <v>0.39347145133813266</v>
      </c>
      <c r="BB13" s="77">
        <f t="shared" si="2"/>
        <v>0.86497774358410728</v>
      </c>
      <c r="BC13" s="77">
        <f t="shared" si="2"/>
        <v>0.55943287355058524</v>
      </c>
      <c r="BD13" s="77">
        <f t="shared" si="2"/>
        <v>0.76935758641534313</v>
      </c>
      <c r="BE13" s="77">
        <f t="shared" si="2"/>
        <v>1.9135022256415894</v>
      </c>
      <c r="BF13" s="77">
        <f t="shared" si="2"/>
        <v>0.52975765236027916</v>
      </c>
      <c r="BG13" s="77">
        <f t="shared" si="2"/>
        <v>2.9114689234489202</v>
      </c>
      <c r="BH13" s="77">
        <f t="shared" si="2"/>
        <v>1.9102049788426663</v>
      </c>
      <c r="BI13" s="77">
        <f t="shared" si="2"/>
        <v>48.511293070286307</v>
      </c>
      <c r="BJ13" s="77">
        <f t="shared" si="2"/>
        <v>0.51656866516458755</v>
      </c>
      <c r="BK13" s="77">
        <f t="shared" si="2"/>
        <v>0.70341265043688517</v>
      </c>
      <c r="BL13" s="77">
        <f t="shared" si="2"/>
        <v>2.4443589602681763</v>
      </c>
      <c r="BM13" s="78">
        <f t="shared" si="5"/>
        <v>34.643073034016595</v>
      </c>
      <c r="BN13" s="116">
        <f t="shared" si="3"/>
        <v>100</v>
      </c>
      <c r="BO13" s="26"/>
    </row>
    <row r="14" spans="1:67" ht="12.5" x14ac:dyDescent="0.25">
      <c r="A14" s="51" t="s">
        <v>153</v>
      </c>
      <c r="B14" s="18">
        <v>7</v>
      </c>
      <c r="C14" s="18">
        <v>161</v>
      </c>
      <c r="D14" s="18">
        <v>523</v>
      </c>
      <c r="E14" s="18">
        <v>62</v>
      </c>
      <c r="F14" s="18">
        <v>317</v>
      </c>
      <c r="G14" s="18">
        <v>2676</v>
      </c>
      <c r="H14" s="18">
        <v>436</v>
      </c>
      <c r="I14" s="18">
        <v>1290</v>
      </c>
      <c r="J14" s="18">
        <v>239</v>
      </c>
      <c r="K14" s="18">
        <v>505</v>
      </c>
      <c r="L14" s="18">
        <v>1296</v>
      </c>
      <c r="M14" s="18">
        <v>671</v>
      </c>
      <c r="N14" s="18">
        <v>1797</v>
      </c>
      <c r="O14" s="18">
        <v>1519</v>
      </c>
      <c r="P14" s="18">
        <v>43397</v>
      </c>
      <c r="Q14" s="18">
        <v>440</v>
      </c>
      <c r="R14" s="18">
        <v>566</v>
      </c>
      <c r="S14" s="18">
        <v>3440</v>
      </c>
      <c r="T14" s="18">
        <v>31572</v>
      </c>
      <c r="U14" s="18">
        <v>90907</v>
      </c>
      <c r="X14" s="29" t="s">
        <v>153</v>
      </c>
      <c r="Y14" s="56">
        <f t="shared" si="0"/>
        <v>0.161</v>
      </c>
      <c r="Z14" s="56">
        <f t="shared" si="0"/>
        <v>0.52300000000000002</v>
      </c>
      <c r="AA14" s="56">
        <f t="shared" si="0"/>
        <v>6.2E-2</v>
      </c>
      <c r="AB14" s="56">
        <f t="shared" si="0"/>
        <v>0.317</v>
      </c>
      <c r="AC14" s="56">
        <f t="shared" si="0"/>
        <v>2.6760000000000002</v>
      </c>
      <c r="AD14" s="56">
        <f t="shared" si="0"/>
        <v>0.436</v>
      </c>
      <c r="AE14" s="56">
        <f t="shared" si="0"/>
        <v>1.29</v>
      </c>
      <c r="AF14" s="56">
        <f t="shared" si="0"/>
        <v>0.23899999999999999</v>
      </c>
      <c r="AG14" s="56">
        <f t="shared" si="0"/>
        <v>0.505</v>
      </c>
      <c r="AH14" s="56">
        <f t="shared" si="0"/>
        <v>1.296</v>
      </c>
      <c r="AI14" s="56">
        <f t="shared" si="0"/>
        <v>0.67100000000000004</v>
      </c>
      <c r="AJ14" s="56">
        <f t="shared" si="0"/>
        <v>1.7969999999999999</v>
      </c>
      <c r="AK14" s="56">
        <f t="shared" si="0"/>
        <v>1.5189999999999999</v>
      </c>
      <c r="AL14" s="56">
        <f t="shared" si="0"/>
        <v>43.396999999999998</v>
      </c>
      <c r="AM14" s="56">
        <f t="shared" si="0"/>
        <v>0.44</v>
      </c>
      <c r="AN14" s="56">
        <f t="shared" si="0"/>
        <v>0.56599999999999995</v>
      </c>
      <c r="AO14" s="56">
        <f t="shared" si="1"/>
        <v>3.44</v>
      </c>
      <c r="AP14" s="56">
        <f t="shared" si="1"/>
        <v>31.571999999999999</v>
      </c>
      <c r="AQ14" s="56">
        <f t="shared" si="1"/>
        <v>90.906999999999996</v>
      </c>
      <c r="AT14" s="26"/>
      <c r="AU14" s="31" t="s">
        <v>153</v>
      </c>
      <c r="AV14" s="77">
        <f t="shared" si="4"/>
        <v>0.17710407339368806</v>
      </c>
      <c r="AW14" s="77">
        <f t="shared" si="2"/>
        <v>0.57531323220434083</v>
      </c>
      <c r="AX14" s="77">
        <f t="shared" si="2"/>
        <v>6.8201568636078638E-2</v>
      </c>
      <c r="AY14" s="77">
        <f t="shared" si="2"/>
        <v>0.34870802028446657</v>
      </c>
      <c r="AZ14" s="77">
        <f t="shared" si="2"/>
        <v>2.9436677043572006</v>
      </c>
      <c r="BA14" s="77">
        <f t="shared" si="2"/>
        <v>0.47961103105371422</v>
      </c>
      <c r="BB14" s="77">
        <f t="shared" si="2"/>
        <v>1.4190326377506683</v>
      </c>
      <c r="BC14" s="77">
        <f t="shared" si="2"/>
        <v>0.26290604683907731</v>
      </c>
      <c r="BD14" s="77">
        <f t="shared" si="2"/>
        <v>0.55551277679386635</v>
      </c>
      <c r="BE14" s="77">
        <f t="shared" si="2"/>
        <v>1.4256327895541598</v>
      </c>
      <c r="BF14" s="77">
        <f t="shared" si="2"/>
        <v>0.73811697669046394</v>
      </c>
      <c r="BG14" s="77">
        <f t="shared" si="2"/>
        <v>1.9767454651456982</v>
      </c>
      <c r="BH14" s="77">
        <f t="shared" si="2"/>
        <v>1.6709384315839264</v>
      </c>
      <c r="BI14" s="77">
        <f t="shared" si="2"/>
        <v>47.737797969353295</v>
      </c>
      <c r="BJ14" s="77">
        <f t="shared" si="2"/>
        <v>0.48401113225604186</v>
      </c>
      <c r="BK14" s="77">
        <f t="shared" si="2"/>
        <v>0.62261432012936291</v>
      </c>
      <c r="BL14" s="77">
        <f t="shared" si="2"/>
        <v>3.7840870340017818</v>
      </c>
      <c r="BM14" s="78">
        <f t="shared" si="5"/>
        <v>34.729998789972171</v>
      </c>
      <c r="BN14" s="116">
        <f t="shared" si="3"/>
        <v>100</v>
      </c>
      <c r="BO14" s="26"/>
    </row>
    <row r="15" spans="1:67" ht="12.5" x14ac:dyDescent="0.25">
      <c r="A15" s="51" t="s">
        <v>152</v>
      </c>
      <c r="B15" s="18">
        <v>8</v>
      </c>
      <c r="C15" s="18">
        <v>64</v>
      </c>
      <c r="D15" s="18">
        <v>259</v>
      </c>
      <c r="E15" s="18">
        <v>37</v>
      </c>
      <c r="F15" s="18">
        <v>99</v>
      </c>
      <c r="G15" s="18">
        <v>1613</v>
      </c>
      <c r="H15" s="18">
        <v>230</v>
      </c>
      <c r="I15" s="18">
        <v>761</v>
      </c>
      <c r="J15" s="18">
        <v>117</v>
      </c>
      <c r="K15" s="18">
        <v>152</v>
      </c>
      <c r="L15" s="18">
        <v>513</v>
      </c>
      <c r="M15" s="18">
        <v>764</v>
      </c>
      <c r="N15" s="18">
        <v>416</v>
      </c>
      <c r="O15" s="18">
        <v>399</v>
      </c>
      <c r="P15" s="18">
        <v>16027</v>
      </c>
      <c r="Q15" s="18">
        <v>262</v>
      </c>
      <c r="R15" s="18">
        <v>245</v>
      </c>
      <c r="S15" s="18">
        <v>1544</v>
      </c>
      <c r="T15" s="18">
        <v>13960</v>
      </c>
      <c r="U15" s="18">
        <v>37462</v>
      </c>
      <c r="X15" s="29" t="s">
        <v>152</v>
      </c>
      <c r="Y15" s="56">
        <f t="shared" si="0"/>
        <v>6.4000000000000001E-2</v>
      </c>
      <c r="Z15" s="56">
        <f t="shared" si="0"/>
        <v>0.25900000000000001</v>
      </c>
      <c r="AA15" s="56">
        <f t="shared" si="0"/>
        <v>3.6999999999999998E-2</v>
      </c>
      <c r="AB15" s="56">
        <f t="shared" si="0"/>
        <v>9.9000000000000005E-2</v>
      </c>
      <c r="AC15" s="56">
        <f t="shared" si="0"/>
        <v>1.613</v>
      </c>
      <c r="AD15" s="56">
        <f t="shared" si="0"/>
        <v>0.23</v>
      </c>
      <c r="AE15" s="56">
        <f t="shared" si="0"/>
        <v>0.76100000000000001</v>
      </c>
      <c r="AF15" s="56">
        <f t="shared" si="0"/>
        <v>0.11700000000000001</v>
      </c>
      <c r="AG15" s="56">
        <f t="shared" si="0"/>
        <v>0.152</v>
      </c>
      <c r="AH15" s="56">
        <f t="shared" si="0"/>
        <v>0.51300000000000001</v>
      </c>
      <c r="AI15" s="56">
        <f t="shared" si="0"/>
        <v>0.76400000000000001</v>
      </c>
      <c r="AJ15" s="56">
        <f t="shared" si="0"/>
        <v>0.41599999999999998</v>
      </c>
      <c r="AK15" s="56">
        <f t="shared" si="0"/>
        <v>0.39900000000000002</v>
      </c>
      <c r="AL15" s="56">
        <f t="shared" si="0"/>
        <v>16.027000000000001</v>
      </c>
      <c r="AM15" s="56">
        <f t="shared" si="0"/>
        <v>0.26200000000000001</v>
      </c>
      <c r="AN15" s="56">
        <f t="shared" si="0"/>
        <v>0.245</v>
      </c>
      <c r="AO15" s="56">
        <f t="shared" si="1"/>
        <v>1.544</v>
      </c>
      <c r="AP15" s="56">
        <f t="shared" si="1"/>
        <v>13.96</v>
      </c>
      <c r="AQ15" s="56">
        <f t="shared" si="1"/>
        <v>37.462000000000003</v>
      </c>
      <c r="AT15" s="26"/>
      <c r="AU15" s="31" t="s">
        <v>152</v>
      </c>
      <c r="AV15" s="77">
        <f t="shared" si="4"/>
        <v>0.17083978431477229</v>
      </c>
      <c r="AW15" s="77">
        <f t="shared" si="2"/>
        <v>0.69136725214884409</v>
      </c>
      <c r="AX15" s="77">
        <f t="shared" si="2"/>
        <v>9.8766750306977721E-2</v>
      </c>
      <c r="AY15" s="77">
        <f t="shared" si="2"/>
        <v>0.26426779136191336</v>
      </c>
      <c r="AZ15" s="77">
        <f t="shared" si="2"/>
        <v>4.3056964390582451</v>
      </c>
      <c r="BA15" s="77">
        <f t="shared" si="2"/>
        <v>0.61395547488121294</v>
      </c>
      <c r="BB15" s="77">
        <f t="shared" si="2"/>
        <v>2.0313918103678392</v>
      </c>
      <c r="BC15" s="77">
        <f t="shared" si="2"/>
        <v>0.3123164807004431</v>
      </c>
      <c r="BD15" s="77">
        <f t="shared" si="2"/>
        <v>0.40574448774758415</v>
      </c>
      <c r="BE15" s="77">
        <f t="shared" si="2"/>
        <v>1.3693876461480967</v>
      </c>
      <c r="BF15" s="77">
        <f t="shared" si="2"/>
        <v>2.0393999252575941</v>
      </c>
      <c r="BG15" s="77">
        <f t="shared" si="2"/>
        <v>1.1104585980460198</v>
      </c>
      <c r="BH15" s="77">
        <f t="shared" si="2"/>
        <v>1.0650792803374085</v>
      </c>
      <c r="BI15" s="77">
        <f t="shared" si="2"/>
        <v>42.782019112700873</v>
      </c>
      <c r="BJ15" s="77">
        <f t="shared" si="2"/>
        <v>0.69937536703859904</v>
      </c>
      <c r="BK15" s="77">
        <f t="shared" si="2"/>
        <v>0.65399604932998767</v>
      </c>
      <c r="BL15" s="77">
        <f t="shared" si="2"/>
        <v>4.1215097965938812</v>
      </c>
      <c r="BM15" s="78">
        <f t="shared" si="5"/>
        <v>37.264427953659705</v>
      </c>
      <c r="BN15" s="116">
        <f t="shared" si="3"/>
        <v>100</v>
      </c>
      <c r="BO15" s="26"/>
    </row>
    <row r="16" spans="1:67" ht="12.5" x14ac:dyDescent="0.25">
      <c r="A16" s="51" t="s">
        <v>154</v>
      </c>
      <c r="B16" s="18">
        <v>9</v>
      </c>
      <c r="C16" s="18" t="s">
        <v>213</v>
      </c>
      <c r="D16" s="18">
        <v>120</v>
      </c>
      <c r="E16" s="18" t="s">
        <v>213</v>
      </c>
      <c r="F16" s="18">
        <v>95</v>
      </c>
      <c r="G16" s="18">
        <v>740</v>
      </c>
      <c r="H16" s="18">
        <v>101</v>
      </c>
      <c r="I16" s="18">
        <v>323</v>
      </c>
      <c r="J16" s="18">
        <v>78</v>
      </c>
      <c r="K16" s="18">
        <v>96</v>
      </c>
      <c r="L16" s="18">
        <v>271</v>
      </c>
      <c r="M16" s="18">
        <v>146</v>
      </c>
      <c r="N16" s="18">
        <v>268</v>
      </c>
      <c r="O16" s="18">
        <v>1483</v>
      </c>
      <c r="P16" s="18">
        <v>10942</v>
      </c>
      <c r="Q16" s="18">
        <v>223</v>
      </c>
      <c r="R16" s="18">
        <v>106</v>
      </c>
      <c r="S16" s="18">
        <v>792</v>
      </c>
      <c r="T16" s="18">
        <v>6638</v>
      </c>
      <c r="U16" s="18">
        <v>22492</v>
      </c>
      <c r="X16" s="29" t="s">
        <v>154</v>
      </c>
      <c r="Y16" s="56" t="str">
        <f t="shared" si="0"/>
        <v/>
      </c>
      <c r="Z16" s="56">
        <f t="shared" si="0"/>
        <v>0.12</v>
      </c>
      <c r="AA16" s="56" t="str">
        <f t="shared" si="0"/>
        <v/>
      </c>
      <c r="AB16" s="56">
        <f t="shared" si="0"/>
        <v>9.5000000000000001E-2</v>
      </c>
      <c r="AC16" s="56">
        <f t="shared" si="0"/>
        <v>0.74</v>
      </c>
      <c r="AD16" s="56">
        <f t="shared" si="0"/>
        <v>0.10100000000000001</v>
      </c>
      <c r="AE16" s="56">
        <f t="shared" si="0"/>
        <v>0.32300000000000001</v>
      </c>
      <c r="AF16" s="56">
        <f t="shared" si="0"/>
        <v>7.8E-2</v>
      </c>
      <c r="AG16" s="56">
        <f t="shared" si="0"/>
        <v>9.6000000000000002E-2</v>
      </c>
      <c r="AH16" s="56">
        <f t="shared" si="0"/>
        <v>0.27100000000000002</v>
      </c>
      <c r="AI16" s="56">
        <f t="shared" si="0"/>
        <v>0.14599999999999999</v>
      </c>
      <c r="AJ16" s="56">
        <f t="shared" si="0"/>
        <v>0.26800000000000002</v>
      </c>
      <c r="AK16" s="56">
        <f t="shared" si="0"/>
        <v>1.4830000000000001</v>
      </c>
      <c r="AL16" s="56">
        <f t="shared" si="0"/>
        <v>10.942</v>
      </c>
      <c r="AM16" s="56">
        <f t="shared" si="0"/>
        <v>0.223</v>
      </c>
      <c r="AN16" s="56">
        <f t="shared" si="0"/>
        <v>0.106</v>
      </c>
      <c r="AO16" s="56">
        <f t="shared" si="1"/>
        <v>0.79200000000000004</v>
      </c>
      <c r="AP16" s="56">
        <f t="shared" si="1"/>
        <v>6.6379999999999999</v>
      </c>
      <c r="AQ16" s="56">
        <f t="shared" si="1"/>
        <v>22.492000000000001</v>
      </c>
      <c r="AT16" s="26"/>
      <c r="AU16" s="31" t="s">
        <v>154</v>
      </c>
      <c r="AV16" s="77"/>
      <c r="AW16" s="77">
        <f t="shared" si="2"/>
        <v>0.53352303041081262</v>
      </c>
      <c r="AX16" s="77"/>
      <c r="AY16" s="77">
        <f t="shared" si="2"/>
        <v>0.42237239907522672</v>
      </c>
      <c r="AZ16" s="77">
        <f t="shared" si="2"/>
        <v>3.2900586875333446</v>
      </c>
      <c r="BA16" s="77">
        <f t="shared" si="2"/>
        <v>0.44904855059576743</v>
      </c>
      <c r="BB16" s="77">
        <f t="shared" si="2"/>
        <v>1.4360661568557709</v>
      </c>
      <c r="BC16" s="77">
        <f t="shared" si="2"/>
        <v>0.34678996976702825</v>
      </c>
      <c r="BD16" s="77">
        <f t="shared" si="2"/>
        <v>0.42681842432865014</v>
      </c>
      <c r="BE16" s="77">
        <f t="shared" si="2"/>
        <v>1.2048728436777523</v>
      </c>
      <c r="BF16" s="77">
        <f t="shared" si="2"/>
        <v>0.64911968699982214</v>
      </c>
      <c r="BG16" s="77">
        <f t="shared" si="2"/>
        <v>1.1915347679174819</v>
      </c>
      <c r="BH16" s="77">
        <f t="shared" si="2"/>
        <v>6.5934554508269612</v>
      </c>
      <c r="BI16" s="77">
        <f t="shared" si="2"/>
        <v>48.648408322959277</v>
      </c>
      <c r="BJ16" s="77">
        <f t="shared" si="2"/>
        <v>0.99146363151342709</v>
      </c>
      <c r="BK16" s="77">
        <f t="shared" si="2"/>
        <v>0.47127867686288455</v>
      </c>
      <c r="BL16" s="77">
        <f t="shared" si="2"/>
        <v>3.5212520007113639</v>
      </c>
      <c r="BM16" s="78">
        <f t="shared" si="5"/>
        <v>29.51271563222479</v>
      </c>
      <c r="BN16" s="116">
        <f t="shared" si="3"/>
        <v>99.688778232260375</v>
      </c>
      <c r="BO16" s="26"/>
    </row>
    <row r="17" spans="1:67" ht="12.5" x14ac:dyDescent="0.25">
      <c r="A17" s="51"/>
      <c r="X17" s="29"/>
      <c r="Y17" s="56"/>
      <c r="Z17" s="56"/>
      <c r="AA17" s="56"/>
      <c r="AB17" s="56"/>
      <c r="AC17" s="56"/>
      <c r="AD17" s="56"/>
      <c r="AE17" s="56"/>
      <c r="AF17" s="56"/>
      <c r="AG17" s="56"/>
      <c r="AH17" s="56"/>
      <c r="AI17" s="56"/>
      <c r="AJ17" s="56"/>
      <c r="AK17" s="56"/>
      <c r="AL17" s="56"/>
      <c r="AM17" s="56"/>
      <c r="AN17" s="56"/>
      <c r="AO17" s="56"/>
      <c r="AP17" s="56"/>
      <c r="AQ17" s="56"/>
      <c r="AT17" s="26"/>
      <c r="AU17" s="31"/>
      <c r="AV17" s="77"/>
      <c r="AW17" s="77"/>
      <c r="AX17" s="77"/>
      <c r="AY17" s="77"/>
      <c r="AZ17" s="77"/>
      <c r="BA17" s="77"/>
      <c r="BB17" s="77"/>
      <c r="BC17" s="77"/>
      <c r="BD17" s="77"/>
      <c r="BE17" s="77"/>
      <c r="BF17" s="77"/>
      <c r="BG17" s="77"/>
      <c r="BH17" s="77"/>
      <c r="BI17" s="77"/>
      <c r="BJ17" s="77"/>
      <c r="BK17" s="77"/>
      <c r="BL17" s="77"/>
      <c r="BM17" s="78"/>
      <c r="BN17" s="116"/>
      <c r="BO17" s="26"/>
    </row>
    <row r="18" spans="1:67" ht="12.5" x14ac:dyDescent="0.25">
      <c r="A18" s="51"/>
      <c r="X18" s="29"/>
      <c r="Y18" s="56"/>
      <c r="Z18" s="56"/>
      <c r="AA18" s="56"/>
      <c r="AB18" s="56"/>
      <c r="AC18" s="56"/>
      <c r="AD18" s="56"/>
      <c r="AE18" s="56"/>
      <c r="AF18" s="56"/>
      <c r="AG18" s="56"/>
      <c r="AH18" s="56"/>
      <c r="AI18" s="56"/>
      <c r="AJ18" s="56"/>
      <c r="AK18" s="56"/>
      <c r="AL18" s="56"/>
      <c r="AM18" s="56"/>
      <c r="AN18" s="56"/>
      <c r="AO18" s="56"/>
      <c r="AP18" s="56"/>
      <c r="AQ18" s="56"/>
      <c r="AT18" s="26"/>
      <c r="AU18" s="31"/>
      <c r="AV18" s="77"/>
      <c r="AW18" s="77"/>
      <c r="AX18" s="77"/>
      <c r="AY18" s="77"/>
      <c r="AZ18" s="77"/>
      <c r="BA18" s="77"/>
      <c r="BB18" s="77"/>
      <c r="BC18" s="77"/>
      <c r="BD18" s="77"/>
      <c r="BE18" s="77"/>
      <c r="BF18" s="77"/>
      <c r="BG18" s="77"/>
      <c r="BH18" s="77"/>
      <c r="BI18" s="77"/>
      <c r="BJ18" s="77"/>
      <c r="BK18" s="77"/>
      <c r="BL18" s="77"/>
      <c r="BM18" s="78"/>
      <c r="BN18" s="116"/>
      <c r="BO18" s="26"/>
    </row>
    <row r="19" spans="1:67" ht="12.5" x14ac:dyDescent="0.25">
      <c r="A19" s="51"/>
      <c r="X19" s="29"/>
      <c r="Y19" s="56"/>
      <c r="Z19" s="56"/>
      <c r="AA19" s="56"/>
      <c r="AB19" s="56"/>
      <c r="AC19" s="56"/>
      <c r="AD19" s="56"/>
      <c r="AE19" s="56"/>
      <c r="AF19" s="56"/>
      <c r="AG19" s="56"/>
      <c r="AH19" s="56"/>
      <c r="AI19" s="56"/>
      <c r="AJ19" s="56"/>
      <c r="AK19" s="56"/>
      <c r="AL19" s="56"/>
      <c r="AM19" s="56"/>
      <c r="AN19" s="56"/>
      <c r="AO19" s="56"/>
      <c r="AP19" s="56"/>
      <c r="AQ19" s="56"/>
      <c r="AT19" s="26"/>
      <c r="AU19" s="31"/>
      <c r="AV19" s="77"/>
      <c r="AW19" s="77"/>
      <c r="AX19" s="77"/>
      <c r="AY19" s="77"/>
      <c r="AZ19" s="77"/>
      <c r="BA19" s="77"/>
      <c r="BB19" s="77"/>
      <c r="BC19" s="77"/>
      <c r="BD19" s="77"/>
      <c r="BE19" s="77"/>
      <c r="BF19" s="77"/>
      <c r="BG19" s="77"/>
      <c r="BH19" s="77"/>
      <c r="BI19" s="77"/>
      <c r="BJ19" s="77"/>
      <c r="BK19" s="77"/>
      <c r="BL19" s="77"/>
      <c r="BM19" s="78"/>
      <c r="BN19" s="116"/>
      <c r="BO19" s="26"/>
    </row>
    <row r="20" spans="1:67" ht="12.5" x14ac:dyDescent="0.25">
      <c r="A20" s="51"/>
      <c r="X20" s="29"/>
      <c r="Y20" s="56"/>
      <c r="Z20" s="56"/>
      <c r="AA20" s="56"/>
      <c r="AB20" s="56"/>
      <c r="AC20" s="56"/>
      <c r="AD20" s="56"/>
      <c r="AE20" s="56"/>
      <c r="AF20" s="56"/>
      <c r="AG20" s="56"/>
      <c r="AH20" s="56"/>
      <c r="AI20" s="56"/>
      <c r="AJ20" s="56"/>
      <c r="AK20" s="56"/>
      <c r="AL20" s="56"/>
      <c r="AM20" s="56"/>
      <c r="AN20" s="56"/>
      <c r="AO20" s="56"/>
      <c r="AP20" s="56"/>
      <c r="AQ20" s="56"/>
      <c r="AT20" s="26"/>
      <c r="AU20" s="31"/>
      <c r="AV20" s="77"/>
      <c r="AW20" s="77"/>
      <c r="AX20" s="77"/>
      <c r="AY20" s="77"/>
      <c r="AZ20" s="77"/>
      <c r="BA20" s="77"/>
      <c r="BB20" s="77"/>
      <c r="BC20" s="77"/>
      <c r="BD20" s="77"/>
      <c r="BE20" s="77"/>
      <c r="BF20" s="77"/>
      <c r="BG20" s="77"/>
      <c r="BH20" s="77"/>
      <c r="BI20" s="77"/>
      <c r="BJ20" s="77"/>
      <c r="BK20" s="77"/>
      <c r="BL20" s="77"/>
      <c r="BM20" s="78"/>
      <c r="BN20" s="116"/>
      <c r="BO20" s="26"/>
    </row>
    <row r="21" spans="1:67" ht="12.5" x14ac:dyDescent="0.25">
      <c r="A21" s="51"/>
      <c r="X21" s="29"/>
      <c r="Y21" s="56"/>
      <c r="Z21" s="56"/>
      <c r="AA21" s="56"/>
      <c r="AB21" s="56"/>
      <c r="AC21" s="56"/>
      <c r="AD21" s="56"/>
      <c r="AE21" s="56"/>
      <c r="AF21" s="56"/>
      <c r="AG21" s="56"/>
      <c r="AH21" s="56"/>
      <c r="AI21" s="56"/>
      <c r="AJ21" s="56"/>
      <c r="AK21" s="56"/>
      <c r="AL21" s="56"/>
      <c r="AM21" s="56"/>
      <c r="AN21" s="56"/>
      <c r="AO21" s="56"/>
      <c r="AP21" s="56"/>
      <c r="AQ21" s="56"/>
      <c r="AT21" s="26"/>
      <c r="AU21" s="31"/>
      <c r="AV21" s="77"/>
      <c r="AW21" s="77"/>
      <c r="AX21" s="77"/>
      <c r="AY21" s="77"/>
      <c r="AZ21" s="77"/>
      <c r="BA21" s="77"/>
      <c r="BB21" s="77"/>
      <c r="BC21" s="77"/>
      <c r="BD21" s="77"/>
      <c r="BE21" s="77"/>
      <c r="BF21" s="77"/>
      <c r="BG21" s="77"/>
      <c r="BH21" s="77"/>
      <c r="BI21" s="77"/>
      <c r="BJ21" s="77"/>
      <c r="BK21" s="77"/>
      <c r="BL21" s="77"/>
      <c r="BM21" s="78"/>
      <c r="BN21" s="116"/>
      <c r="BO21" s="26"/>
    </row>
    <row r="22" spans="1:67" ht="12.5" x14ac:dyDescent="0.25">
      <c r="A22" s="51"/>
      <c r="X22" s="29"/>
      <c r="Y22" s="56"/>
      <c r="Z22" s="56"/>
      <c r="AA22" s="56"/>
      <c r="AB22" s="56"/>
      <c r="AC22" s="56"/>
      <c r="AD22" s="56"/>
      <c r="AE22" s="56"/>
      <c r="AF22" s="56"/>
      <c r="AG22" s="56"/>
      <c r="AH22" s="56"/>
      <c r="AI22" s="56"/>
      <c r="AJ22" s="56"/>
      <c r="AK22" s="56"/>
      <c r="AL22" s="56"/>
      <c r="AM22" s="56"/>
      <c r="AN22" s="56"/>
      <c r="AO22" s="56"/>
      <c r="AP22" s="56"/>
      <c r="AQ22" s="56"/>
      <c r="AT22" s="26"/>
      <c r="AU22" s="31"/>
      <c r="AV22" s="77"/>
      <c r="AW22" s="77"/>
      <c r="AX22" s="77"/>
      <c r="AY22" s="77"/>
      <c r="AZ22" s="77"/>
      <c r="BA22" s="77"/>
      <c r="BB22" s="77"/>
      <c r="BC22" s="77"/>
      <c r="BD22" s="77"/>
      <c r="BE22" s="77"/>
      <c r="BF22" s="77"/>
      <c r="BG22" s="77"/>
      <c r="BH22" s="77"/>
      <c r="BI22" s="77"/>
      <c r="BJ22" s="77"/>
      <c r="BK22" s="77"/>
      <c r="BL22" s="77"/>
      <c r="BM22" s="78"/>
      <c r="BN22" s="116"/>
      <c r="BO22" s="26"/>
    </row>
    <row r="23" spans="1:67" ht="12.5" x14ac:dyDescent="0.25">
      <c r="A23" s="51"/>
      <c r="X23" s="29"/>
      <c r="Y23" s="56"/>
      <c r="Z23" s="56"/>
      <c r="AA23" s="56"/>
      <c r="AB23" s="56"/>
      <c r="AC23" s="56"/>
      <c r="AD23" s="56"/>
      <c r="AE23" s="56"/>
      <c r="AF23" s="56"/>
      <c r="AG23" s="56"/>
      <c r="AH23" s="56"/>
      <c r="AI23" s="56"/>
      <c r="AJ23" s="56"/>
      <c r="AK23" s="56"/>
      <c r="AL23" s="56"/>
      <c r="AM23" s="56"/>
      <c r="AN23" s="56"/>
      <c r="AO23" s="56"/>
      <c r="AP23" s="56"/>
      <c r="AQ23" s="56"/>
      <c r="AT23" s="26"/>
      <c r="AU23" s="31"/>
      <c r="AV23" s="77"/>
      <c r="AW23" s="77"/>
      <c r="AX23" s="77"/>
      <c r="AY23" s="77"/>
      <c r="AZ23" s="77"/>
      <c r="BA23" s="77"/>
      <c r="BB23" s="77"/>
      <c r="BC23" s="77"/>
      <c r="BD23" s="77"/>
      <c r="BE23" s="77"/>
      <c r="BF23" s="77"/>
      <c r="BG23" s="77"/>
      <c r="BH23" s="77"/>
      <c r="BI23" s="77"/>
      <c r="BJ23" s="77"/>
      <c r="BK23" s="77"/>
      <c r="BL23" s="77"/>
      <c r="BM23" s="78"/>
      <c r="BN23" s="116"/>
      <c r="BO23" s="26"/>
    </row>
    <row r="24" spans="1:67" ht="12.5" x14ac:dyDescent="0.25">
      <c r="A24" s="51"/>
      <c r="X24" s="29"/>
      <c r="Y24" s="56"/>
      <c r="Z24" s="56"/>
      <c r="AA24" s="56"/>
      <c r="AB24" s="56"/>
      <c r="AC24" s="56"/>
      <c r="AD24" s="56"/>
      <c r="AE24" s="56"/>
      <c r="AF24" s="56"/>
      <c r="AG24" s="56"/>
      <c r="AH24" s="56"/>
      <c r="AI24" s="56"/>
      <c r="AJ24" s="56"/>
      <c r="AK24" s="56"/>
      <c r="AL24" s="56"/>
      <c r="AM24" s="56"/>
      <c r="AN24" s="56"/>
      <c r="AO24" s="56"/>
      <c r="AP24" s="56"/>
      <c r="AQ24" s="56"/>
      <c r="AT24" s="26"/>
      <c r="AU24" s="31"/>
      <c r="AV24" s="77"/>
      <c r="AW24" s="77"/>
      <c r="AX24" s="77"/>
      <c r="AY24" s="77"/>
      <c r="AZ24" s="77"/>
      <c r="BA24" s="77"/>
      <c r="BB24" s="77"/>
      <c r="BC24" s="77"/>
      <c r="BD24" s="77"/>
      <c r="BE24" s="77"/>
      <c r="BF24" s="77"/>
      <c r="BG24" s="77"/>
      <c r="BH24" s="77"/>
      <c r="BI24" s="77"/>
      <c r="BJ24" s="77"/>
      <c r="BK24" s="77"/>
      <c r="BL24" s="77"/>
      <c r="BM24" s="78"/>
      <c r="BN24" s="116"/>
      <c r="BO24" s="26"/>
    </row>
    <row r="25" spans="1:67" ht="12.5" x14ac:dyDescent="0.25">
      <c r="A25" s="51"/>
      <c r="X25" s="29"/>
      <c r="Y25" s="56"/>
      <c r="Z25" s="56"/>
      <c r="AA25" s="56"/>
      <c r="AB25" s="56"/>
      <c r="AC25" s="56"/>
      <c r="AD25" s="56"/>
      <c r="AE25" s="56"/>
      <c r="AF25" s="56"/>
      <c r="AG25" s="56"/>
      <c r="AH25" s="56"/>
      <c r="AI25" s="56"/>
      <c r="AJ25" s="56"/>
      <c r="AK25" s="56"/>
      <c r="AL25" s="56"/>
      <c r="AM25" s="56"/>
      <c r="AN25" s="56"/>
      <c r="AO25" s="56"/>
      <c r="AP25" s="56"/>
      <c r="AQ25" s="56"/>
      <c r="AT25" s="26"/>
      <c r="AU25" s="31"/>
      <c r="AV25" s="77"/>
      <c r="AW25" s="77"/>
      <c r="AX25" s="77"/>
      <c r="AY25" s="77"/>
      <c r="AZ25" s="77"/>
      <c r="BA25" s="77"/>
      <c r="BB25" s="77"/>
      <c r="BC25" s="77"/>
      <c r="BD25" s="77"/>
      <c r="BE25" s="77"/>
      <c r="BF25" s="77"/>
      <c r="BG25" s="77"/>
      <c r="BH25" s="77"/>
      <c r="BI25" s="77"/>
      <c r="BJ25" s="77"/>
      <c r="BK25" s="77"/>
      <c r="BL25" s="77"/>
      <c r="BM25" s="78"/>
      <c r="BN25" s="116"/>
      <c r="BO25" s="26"/>
    </row>
    <row r="26" spans="1:67" ht="12.5" x14ac:dyDescent="0.25">
      <c r="X26" s="29"/>
      <c r="Y26" s="56"/>
      <c r="Z26" s="56"/>
      <c r="AA26" s="56"/>
      <c r="AB26" s="56"/>
      <c r="AC26" s="56"/>
      <c r="AD26" s="56"/>
      <c r="AE26" s="56"/>
      <c r="AF26" s="56"/>
      <c r="AG26" s="56"/>
      <c r="AH26" s="56"/>
      <c r="AI26" s="56"/>
      <c r="AJ26" s="56"/>
      <c r="AK26" s="56"/>
      <c r="AL26" s="56"/>
      <c r="AM26" s="56"/>
      <c r="AN26" s="56"/>
      <c r="AO26" s="56"/>
      <c r="AP26" s="56"/>
      <c r="AQ26" s="56"/>
      <c r="AT26" s="26"/>
      <c r="AU26" s="28"/>
      <c r="AV26" s="28"/>
      <c r="AW26" s="28"/>
      <c r="AX26" s="28"/>
      <c r="AY26" s="28"/>
      <c r="AZ26" s="28"/>
      <c r="BA26" s="28"/>
      <c r="BB26" s="28"/>
      <c r="BC26" s="28"/>
      <c r="BD26" s="28"/>
      <c r="BE26" s="28"/>
      <c r="BF26" s="28"/>
      <c r="BG26" s="28"/>
      <c r="BH26" s="28"/>
      <c r="BI26" s="28"/>
      <c r="BJ26" s="28"/>
      <c r="BK26" s="28"/>
      <c r="BL26" s="28"/>
      <c r="BM26" s="28"/>
      <c r="BN26" s="34"/>
      <c r="BO26" s="26"/>
    </row>
    <row r="27" spans="1:67" ht="12.5" x14ac:dyDescent="0.25">
      <c r="B27" s="68" t="s">
        <v>2</v>
      </c>
      <c r="C27" s="18">
        <v>14985</v>
      </c>
      <c r="D27" s="18">
        <v>73088</v>
      </c>
      <c r="E27" s="18">
        <v>7525</v>
      </c>
      <c r="F27" s="18">
        <v>40900</v>
      </c>
      <c r="G27" s="18">
        <v>256899</v>
      </c>
      <c r="H27" s="18">
        <v>47866</v>
      </c>
      <c r="I27" s="18">
        <v>139556</v>
      </c>
      <c r="J27" s="18">
        <v>46011</v>
      </c>
      <c r="K27" s="18">
        <v>35776</v>
      </c>
      <c r="L27" s="18">
        <v>7862</v>
      </c>
      <c r="M27" s="18">
        <v>85583</v>
      </c>
      <c r="N27" s="18">
        <v>47660</v>
      </c>
      <c r="O27" s="18">
        <v>25061</v>
      </c>
      <c r="P27" s="18">
        <v>48040</v>
      </c>
      <c r="Q27" s="18">
        <v>164831</v>
      </c>
      <c r="R27" s="18">
        <v>24949</v>
      </c>
      <c r="S27" s="18">
        <v>15861</v>
      </c>
      <c r="T27" s="18">
        <v>234022</v>
      </c>
      <c r="U27" s="18">
        <v>704347</v>
      </c>
      <c r="X27" s="29" t="s">
        <v>2</v>
      </c>
      <c r="Y27" s="56">
        <f t="shared" ref="Y27:AQ27" si="6">IFERROR(C27/1000,"")</f>
        <v>14.984999999999999</v>
      </c>
      <c r="Z27" s="56">
        <f t="shared" si="6"/>
        <v>73.087999999999994</v>
      </c>
      <c r="AA27" s="56">
        <f t="shared" si="6"/>
        <v>7.5250000000000004</v>
      </c>
      <c r="AB27" s="56">
        <f t="shared" si="6"/>
        <v>40.9</v>
      </c>
      <c r="AC27" s="56">
        <f t="shared" si="6"/>
        <v>256.899</v>
      </c>
      <c r="AD27" s="56">
        <f t="shared" si="6"/>
        <v>47.866</v>
      </c>
      <c r="AE27" s="56">
        <f t="shared" si="6"/>
        <v>139.55600000000001</v>
      </c>
      <c r="AF27" s="56">
        <f t="shared" si="6"/>
        <v>46.011000000000003</v>
      </c>
      <c r="AG27" s="56">
        <f t="shared" si="6"/>
        <v>35.776000000000003</v>
      </c>
      <c r="AH27" s="56">
        <f t="shared" si="6"/>
        <v>7.8620000000000001</v>
      </c>
      <c r="AI27" s="56">
        <f t="shared" si="6"/>
        <v>85.582999999999998</v>
      </c>
      <c r="AJ27" s="56">
        <f t="shared" si="6"/>
        <v>47.66</v>
      </c>
      <c r="AK27" s="56">
        <f t="shared" si="6"/>
        <v>25.061</v>
      </c>
      <c r="AL27" s="56">
        <f t="shared" si="6"/>
        <v>48.04</v>
      </c>
      <c r="AM27" s="56">
        <f t="shared" si="6"/>
        <v>164.83099999999999</v>
      </c>
      <c r="AN27" s="56">
        <f t="shared" si="6"/>
        <v>24.949000000000002</v>
      </c>
      <c r="AO27" s="56">
        <f t="shared" si="6"/>
        <v>15.861000000000001</v>
      </c>
      <c r="AP27" s="56">
        <f t="shared" si="6"/>
        <v>234.02199999999999</v>
      </c>
      <c r="AQ27" s="56">
        <f t="shared" si="6"/>
        <v>704.34699999999998</v>
      </c>
      <c r="AT27" s="24"/>
      <c r="AU27" s="28"/>
      <c r="AV27" s="58"/>
      <c r="AW27" s="58"/>
      <c r="AX27" s="58"/>
      <c r="AY27" s="58"/>
      <c r="AZ27" s="58"/>
      <c r="BA27" s="58"/>
      <c r="BB27" s="58"/>
      <c r="BC27" s="58"/>
      <c r="BD27" s="58"/>
      <c r="BE27" s="58"/>
      <c r="BF27" s="58"/>
      <c r="BG27" s="58"/>
      <c r="BH27" s="58"/>
      <c r="BI27" s="58"/>
      <c r="BJ27" s="58"/>
      <c r="BK27" s="58"/>
      <c r="BL27" s="58"/>
      <c r="BM27" s="58"/>
      <c r="BN27" s="59"/>
      <c r="BO27" s="59"/>
    </row>
    <row r="28" spans="1:67" ht="12.75" customHeight="1" x14ac:dyDescent="0.25">
      <c r="AT28" s="24"/>
      <c r="AU28" s="28"/>
      <c r="AV28" s="25"/>
      <c r="AW28" s="25"/>
      <c r="AX28" s="25"/>
      <c r="AY28" s="25"/>
      <c r="AZ28" s="25"/>
      <c r="BA28" s="25"/>
      <c r="BB28" s="25"/>
      <c r="BC28" s="25"/>
      <c r="BD28" s="25"/>
      <c r="BE28" s="25"/>
      <c r="BF28" s="25"/>
      <c r="BG28" s="25"/>
      <c r="BH28" s="25"/>
      <c r="BI28" s="25"/>
      <c r="BJ28" s="25"/>
      <c r="BK28" s="25"/>
      <c r="BL28" s="25"/>
      <c r="BM28" s="25"/>
      <c r="BN28" s="24"/>
      <c r="BO28" s="24"/>
    </row>
  </sheetData>
  <conditionalFormatting sqref="AV8:BL25">
    <cfRule type="cellIs" dxfId="0" priority="1" operator="greaterThan">
      <formula>20</formula>
    </cfRule>
    <cfRule type="colorScale" priority="2">
      <colorScale>
        <cfvo type="min"/>
        <cfvo type="max"/>
        <color rgb="FFFCFCFF"/>
        <color rgb="FF0070C0"/>
      </colorScale>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&amp;L&amp;"Aptos"&amp;10&amp;K2FB5E4 | DNB UNRESTRICTED |&amp;1#_x000D_&amp;C&amp;"Times New Roman,Standaard"&amp;12&amp;A</oddHeader>
    <oddFooter>&amp;C&amp;"Times New Roman,Standaard"&amp;12Pagina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TemplafyFormConfiguration><![CDATA[{"formFields":[],"formDataEntries":[]}]]></TemplafyFormConfiguration>
</file>

<file path=customXml/item4.xml><?xml version="1.0" encoding="utf-8"?>
<TemplafyTemplateConfiguration><![CDATA[{"transformationConfigurations":[],"templateName":"blankspreadsheet","templateDescription":"","enableDocumentContentUpdater":false,"version":"2.0"}]]></TemplafyTemplateConfiguration>
</file>

<file path=customXml/item5.xml><?xml version="1.0" encoding="utf-8"?>
<p:properties xmlns:p="http://schemas.microsoft.com/office/2006/metadata/properties" xmlns:xsi="http://www.w3.org/2001/XMLSchema-instance" xmlns:pc="http://schemas.microsoft.com/office/infopath/2007/PartnerControls">
  <documentManagement>
    <DNB_EmFromName xmlns="74810f75-3a22-461c-9426-e894accc3268" xsi:nil="true"/>
    <DNB_CCOntvanger xmlns="74810f75-3a22-461c-9426-e894accc3268">
      <UserInfo>
        <DisplayName/>
        <AccountId xsi:nil="true"/>
        <AccountType/>
      </UserInfo>
    </DNB_CCOntvanger>
    <DNB_Publiceren xmlns="74810f75-3a22-461c-9426-e894accc3268">false</DNB_Publiceren>
    <DNB_ProjectId xmlns="74810f75-3a22-461c-9426-e894accc3268" xsi:nil="true"/>
    <_dlc_DocId xmlns="http://schemas.dnb.nl/sharepoint">TM000157-1800326369-862</_dlc_DocId>
    <DNB_EmAttachmentNames xmlns="74810f75-3a22-461c-9426-e894accc3268" xsi:nil="true"/>
    <f416c62b8084a6924c1caabc0cb60db6 xmlns="74810f75-3a22-461c-9426-e894accc3268">
      <Terms xmlns="http://schemas.microsoft.com/office/infopath/2007/PartnerControls">
        <TermInfo xmlns="http://schemas.microsoft.com/office/infopath/2007/PartnerControls">
          <TermName xmlns="http://schemas.microsoft.com/office/infopath/2007/PartnerControls">Economisch Beleid ＆ Onderzoek</TermName>
          <TermId xmlns="http://schemas.microsoft.com/office/infopath/2007/PartnerControls">0ec73827-a545-47a2-8bd2-5627e8ce3897</TermId>
        </TermInfo>
      </Terms>
    </f416c62b8084a6924c1caabc0cb60db6>
    <DNB_Ontvanger xmlns="74810f75-3a22-461c-9426-e894accc3268">
      <UserInfo>
        <DisplayName/>
        <AccountId xsi:nil="true"/>
        <AccountType/>
      </UserInfo>
    </DNB_Ontvanger>
    <DNB_AuteurFix xmlns="74810f75-3a22-461c-9426-e894accc3268">
      <UserInfo>
        <DisplayName/>
        <AccountId xsi:nil="true"/>
        <AccountType/>
      </UserInfo>
    </DNB_AuteurFix>
    <DNB_EmDate xmlns="74810f75-3a22-461c-9426-e894accc3268" xsi:nil="true"/>
    <m2811a07b6c6fd47188d63596ada41d4 xmlns="74810f75-3a22-461c-9426-e894accc3268">
      <Terms xmlns="http://schemas.microsoft.com/office/infopath/2007/PartnerControls">
        <TermInfo xmlns="http://schemas.microsoft.com/office/infopath/2007/PartnerControls">
          <TermName xmlns="http://schemas.microsoft.com/office/infopath/2007/PartnerControls">Conjunctuur ＆ Macroanalyse</TermName>
          <TermId xmlns="http://schemas.microsoft.com/office/infopath/2007/PartnerControls">790d26fd-5c94-4eea-9f44-bf527e18cc74</TermId>
        </TermInfo>
      </Terms>
    </m2811a07b6c6fd47188d63596ada41d4>
    <_dlc_DocIdUrl xmlns="http://schemas.dnb.nl/sharepoint">
      <Url>https://dnbnl.sharepoint.com/sites/PJ-Arbeid/_layouts/15/DocIdRedir.aspx?ID=TM000157-1800326369-862</Url>
      <Description>TM000157-1800326369-862</Description>
    </_dlc_DocIdUrl>
    <DNB_EmCC xmlns="74810f75-3a22-461c-9426-e894accc3268" xsi:nil="true"/>
    <g5714a5784384524ac6d24494e7b5109 xmlns="74810f75-3a22-461c-9426-e894accc3268">
      <Terms xmlns="http://schemas.microsoft.com/office/infopath/2007/PartnerControls">
        <TermInfo xmlns="http://schemas.microsoft.com/office/infopath/2007/PartnerControls">
          <TermName xmlns="http://schemas.microsoft.com/office/infopath/2007/PartnerControls">Arbeid</TermName>
          <TermId xmlns="http://schemas.microsoft.com/office/infopath/2007/PartnerControls">1baf248a-cb1a-4222-b7d2-315590903e8e</TermId>
        </TermInfo>
      </Terms>
    </g5714a5784384524ac6d24494e7b5109>
    <DNB_EmTo xmlns="74810f75-3a22-461c-9426-e894accc3268" xsi:nil="true"/>
    <DNB_Show xmlns="74810f75-3a22-461c-9426-e894accc3268">false</DNB_Show>
    <DNB_Distributie xmlns="74810f75-3a22-461c-9426-e894accc3268">false</DNB_Distributie>
    <TaxCatchAll xmlns="74810f75-3a22-461c-9426-e894accc3268">
      <Value>6</Value>
      <Value>29</Value>
      <Value>2</Value>
      <Value>1</Value>
    </TaxCatchAll>
    <DNB_Opmerkingen xmlns="74810f75-3a22-461c-9426-e894accc3268" xsi:nil="true"/>
    <DNB_Sjabloon xmlns="74810f75-3a22-461c-9426-e894accc3268" xsi:nil="true"/>
    <k87fa04bff4d9972ce4710608e39267c xmlns="74810f75-3a22-461c-9426-e894accc3268">
      <Terms xmlns="http://schemas.microsoft.com/office/infopath/2007/PartnerControls">
        <TermInfo xmlns="http://schemas.microsoft.com/office/infopath/2007/PartnerControls">
          <TermName xmlns="http://schemas.microsoft.com/office/infopath/2007/PartnerControls">Projecten</TermName>
          <TermId xmlns="http://schemas.microsoft.com/office/infopath/2007/PartnerControls">6b72ff99-9c37-4a58-86d6-c50d28db3af0</TermId>
        </TermInfo>
      </Terms>
    </k87fa04bff4d9972ce4710608e39267c>
    <DNB_Projectnaam xmlns="74810f75-3a22-461c-9426-e894accc3268">Arbeid</DNB_Projectnaam>
    <DNB_EmAttachCount xmlns="74810f75-3a22-461c-9426-e894accc3268" xsi:nil="true"/>
    <lcf76f155ced4ddcb4097134ff3c332f xmlns="2604ecfd-9721-4e1c-a427-472c08bc6a49">
      <Terms xmlns="http://schemas.microsoft.com/office/infopath/2007/PartnerControls"/>
    </lcf76f155ced4ddcb4097134ff3c332f>
  </documentManagement>
</p:properties>
</file>

<file path=customXml/item6.xml><?xml version="1.0" encoding="utf-8"?>
<ct:contentTypeSchema xmlns:ct="http://schemas.microsoft.com/office/2006/metadata/contentType" xmlns:ma="http://schemas.microsoft.com/office/2006/metadata/properties/metaAttributes" ct:_="" ma:_="" ma:contentTypeName="DNB Project Document" ma:contentTypeID="0x0101001A9AF98CE4D646E7BAD5E0A615FBC4570033574BA5F6F8485F80DD011BE7D1CFF90088D68B749DE8BB45A0EC15006367EA4A" ma:contentTypeVersion="24" ma:contentTypeDescription="Het Content Type â€œDNB Project Documentâ€ is afgeleid van het Content Type â€œDNB Documentâ€. Het is het standaard document op projectensites. Door de naam van het project, het project ID en een label als metagegeven toe te voegen, kunnen projectdocumenten beter gezocht en gefilterd worden." ma:contentTypeScope="" ma:versionID="709b2f86ff934597a404109a96315d17">
  <xsd:schema xmlns:xsd="http://www.w3.org/2001/XMLSchema" xmlns:xs="http://www.w3.org/2001/XMLSchema" xmlns:p="http://schemas.microsoft.com/office/2006/metadata/properties" xmlns:ns2="74810f75-3a22-461c-9426-e894accc3268" xmlns:ns3="http://schemas.dnb.nl/sharepoint" xmlns:ns4="2604ecfd-9721-4e1c-a427-472c08bc6a49" targetNamespace="http://schemas.microsoft.com/office/2006/metadata/properties" ma:root="true" ma:fieldsID="d6faf66cac30546d640f1c0b915b84bc" ns2:_="" ns3:_="" ns4:_="">
    <xsd:import namespace="74810f75-3a22-461c-9426-e894accc3268"/>
    <xsd:import namespace="http://schemas.dnb.nl/sharepoint"/>
    <xsd:import namespace="2604ecfd-9721-4e1c-a427-472c08bc6a49"/>
    <xsd:element name="properties">
      <xsd:complexType>
        <xsd:sequence>
          <xsd:element name="documentManagement">
            <xsd:complexType>
              <xsd:all>
                <xsd:element ref="ns2:DNB_AuteurFix" minOccurs="0"/>
                <xsd:element ref="ns2:DNB_Ontvanger" minOccurs="0"/>
                <xsd:element ref="ns2:DNB_CCOntvanger" minOccurs="0"/>
                <xsd:element ref="ns2:DNB_Opmerkingen" minOccurs="0"/>
                <xsd:element ref="ns2:DNB_Sjabloon" minOccurs="0"/>
                <xsd:element ref="ns2:DNB_EmTo" minOccurs="0"/>
                <xsd:element ref="ns2:DNB_EmFromName" minOccurs="0"/>
                <xsd:element ref="ns2:DNB_EmCC" minOccurs="0"/>
                <xsd:element ref="ns2:DNB_EmDate" minOccurs="0"/>
                <xsd:element ref="ns2:DNB_EmAttachCount" minOccurs="0"/>
                <xsd:element ref="ns2:DNB_EmAttachmentNames" minOccurs="0"/>
                <xsd:element ref="ns2:DNB_Distributie" minOccurs="0"/>
                <xsd:element ref="ns2:DNB_Projectnaam"/>
                <xsd:element ref="ns2:DNB_ProjectId" minOccurs="0"/>
                <xsd:element ref="ns2:DNB_Publiceren" minOccurs="0"/>
                <xsd:element ref="ns2:DNB_Show"/>
                <xsd:element ref="ns3:_dlc_DocId" minOccurs="0"/>
                <xsd:element ref="ns3:_dlc_DocIdUrl" minOccurs="0"/>
                <xsd:element ref="ns2:_dlc_DocIdPersistId" minOccurs="0"/>
                <xsd:element ref="ns2:TaxCatchAll" minOccurs="0"/>
                <xsd:element ref="ns2:TaxCatchAllLabel" minOccurs="0"/>
                <xsd:element ref="ns2:f416c62b8084a6924c1caabc0cb60db6" minOccurs="0"/>
                <xsd:element ref="ns2:m2811a07b6c6fd47188d63596ada41d4" minOccurs="0"/>
                <xsd:element ref="ns2:k87fa04bff4d9972ce4710608e39267c" minOccurs="0"/>
                <xsd:element ref="ns2:g5714a5784384524ac6d24494e7b5109" minOccurs="0"/>
                <xsd:element ref="ns4:MediaServiceMetadata" minOccurs="0"/>
                <xsd:element ref="ns4:MediaServiceFastMetadata" minOccurs="0"/>
                <xsd:element ref="ns4:MediaServiceObjectDetectorVersions" minOccurs="0"/>
                <xsd:element ref="ns4:MediaServiceSearchProperties" minOccurs="0"/>
                <xsd:element ref="ns2:SharedWithUsers" minOccurs="0"/>
                <xsd:element ref="ns2:SharedWithDetails" minOccurs="0"/>
                <xsd:element ref="ns4:MediaServiceDateTaken"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810f75-3a22-461c-9426-e894accc3268" elementFormDefault="qualified">
    <xsd:import namespace="http://schemas.microsoft.com/office/2006/documentManagement/types"/>
    <xsd:import namespace="http://schemas.microsoft.com/office/infopath/2007/PartnerControls"/>
    <xsd:element name="DNB_AuteurFix" ma:index="6" nillable="true" ma:displayName="Author" ma:SearchPeopleOnly="false" ma:internalName="DNB_AuteurFix">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NB_Ontvanger" ma:index="7" nillable="true" ma:displayName="Recipient" ma:SearchPeopleOnly="false" ma:internalName="DNB_Ontvang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NB_CCOntvanger" ma:index="8" nillable="true" ma:displayName="CC Recipient" ma:SearchPeopleOnly="false" ma:internalName="DNB_CCOntvang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NB_Opmerkingen" ma:index="9" nillable="true" ma:displayName="Remarks" ma:hidden="true" ma:internalName="DNB_Opmerkingen">
      <xsd:simpleType>
        <xsd:restriction base="dms:Note"/>
      </xsd:simpleType>
    </xsd:element>
    <xsd:element name="DNB_Sjabloon" ma:index="10" nillable="true" ma:displayName="Sjabloon" ma:hidden="true" ma:internalName="DNB_Sjabloon">
      <xsd:simpleType>
        <xsd:restriction base="dms:Text"/>
      </xsd:simpleType>
    </xsd:element>
    <xsd:element name="DNB_EmTo" ma:index="11" nillable="true" ma:displayName="E-mail To" ma:hidden="true" ma:internalName="DNB_EmTo">
      <xsd:simpleType>
        <xsd:restriction base="dms:Note">
          <xsd:maxLength value="255"/>
        </xsd:restriction>
      </xsd:simpleType>
    </xsd:element>
    <xsd:element name="DNB_EmFromName" ma:index="12" nillable="true" ma:displayName="E-mail From Name" ma:hidden="true" ma:internalName="DNB_EmFromName">
      <xsd:simpleType>
        <xsd:restriction base="dms:Text"/>
      </xsd:simpleType>
    </xsd:element>
    <xsd:element name="DNB_EmCC" ma:index="13" nillable="true" ma:displayName="E-mail CC" ma:hidden="true" ma:internalName="DNB_EmCC">
      <xsd:simpleType>
        <xsd:restriction base="dms:Note">
          <xsd:maxLength value="255"/>
        </xsd:restriction>
      </xsd:simpleType>
    </xsd:element>
    <xsd:element name="DNB_EmDate" ma:index="14" nillable="true" ma:displayName="E-mail Date" ma:hidden="true" ma:internalName="DNB_EmDate">
      <xsd:simpleType>
        <xsd:restriction base="dms:DateTime"/>
      </xsd:simpleType>
    </xsd:element>
    <xsd:element name="DNB_EmAttachCount" ma:index="15" nillable="true" ma:displayName="E-mail Attachment Count" ma:hidden="true" ma:internalName="DNB_EmAttachCount">
      <xsd:simpleType>
        <xsd:restriction base="dms:Text"/>
      </xsd:simpleType>
    </xsd:element>
    <xsd:element name="DNB_EmAttachmentNames" ma:index="16" nillable="true" ma:displayName="E-mail Attachment Names" ma:hidden="true" ma:internalName="DNB_EmAttachmentNames">
      <xsd:simpleType>
        <xsd:restriction base="dms:Note">
          <xsd:maxLength value="255"/>
        </xsd:restriction>
      </xsd:simpleType>
    </xsd:element>
    <xsd:element name="DNB_Distributie" ma:index="17" nillable="true" ma:displayName="Distributie" ma:default="False" ma:internalName="DNB_Distributie">
      <xsd:simpleType>
        <xsd:restriction base="dms:Boolean"/>
      </xsd:simpleType>
    </xsd:element>
    <xsd:element name="DNB_Projectnaam" ma:index="18" ma:displayName="Project Name" ma:default="Arbeid" ma:internalName="DNB_Projectnaam">
      <xsd:simpleType>
        <xsd:restriction base="dms:Text"/>
      </xsd:simpleType>
    </xsd:element>
    <xsd:element name="DNB_ProjectId" ma:index="19" nillable="true" ma:displayName="Project ID" ma:default="" ma:internalName="DNB_ProjectId">
      <xsd:simpleType>
        <xsd:restriction base="dms:Text"/>
      </xsd:simpleType>
    </xsd:element>
    <xsd:element name="DNB_Publiceren" ma:index="20" nillable="true" ma:displayName="Publish" ma:default="False" ma:internalName="DNB_Publiceren">
      <xsd:simpleType>
        <xsd:restriction base="dms:Boolean"/>
      </xsd:simpleType>
    </xsd:element>
    <xsd:element name="DNB_Show" ma:index="21" ma:displayName="Show" ma:default="True" ma:description="A boolean value that indicates if a listitem is showed in the default view" ma:internalName="DNB_Show">
      <xsd:simpleType>
        <xsd:restriction base="dms:Boolean"/>
      </xsd:simpleType>
    </xsd:element>
    <xsd:element name="_dlc_DocIdPersistId" ma:index="26" nillable="true" ma:displayName="Persist ID" ma:description="Keep ID on add." ma:hidden="true" ma:internalName="_dlc_DocIdPersistId" ma:readOnly="true">
      <xsd:simpleType>
        <xsd:restriction base="dms:Boolean"/>
      </xsd:simpleType>
    </xsd:element>
    <xsd:element name="TaxCatchAll" ma:index="30" nillable="true" ma:displayName="Taxonomy Catch All Column" ma:hidden="true" ma:list="{df56d283-4997-4768-be2d-eaf583f8deba}" ma:internalName="TaxCatchAll" ma:showField="CatchAllData" ma:web="74810f75-3a22-461c-9426-e894accc3268">
      <xsd:complexType>
        <xsd:complexContent>
          <xsd:extension base="dms:MultiChoiceLookup">
            <xsd:sequence>
              <xsd:element name="Value" type="dms:Lookup" maxOccurs="unbounded" minOccurs="0" nillable="true"/>
            </xsd:sequence>
          </xsd:extension>
        </xsd:complexContent>
      </xsd:complexType>
    </xsd:element>
    <xsd:element name="TaxCatchAllLabel" ma:index="31" nillable="true" ma:displayName="Taxonomy Catch All Column1" ma:hidden="true" ma:list="{df56d283-4997-4768-be2d-eaf583f8deba}" ma:internalName="TaxCatchAllLabel" ma:readOnly="true" ma:showField="CatchAllDataLabel" ma:web="74810f75-3a22-461c-9426-e894accc3268">
      <xsd:complexType>
        <xsd:complexContent>
          <xsd:extension base="dms:MultiChoiceLookup">
            <xsd:sequence>
              <xsd:element name="Value" type="dms:Lookup" maxOccurs="unbounded" minOccurs="0" nillable="true"/>
            </xsd:sequence>
          </xsd:extension>
        </xsd:complexContent>
      </xsd:complexType>
    </xsd:element>
    <xsd:element name="f416c62b8084a6924c1caabc0cb60db6" ma:index="32" nillable="true" ma:taxonomy="true" ma:internalName="f416c62b8084a6924c1caabc0cb60db6" ma:taxonomyFieldName="DNB_Divisie" ma:displayName="Division" ma:default="2;#Economisch Beleid ＆ Onderzoek|0ec73827-a545-47a2-8bd2-5627e8ce3897" ma:fieldId="{f416c62b-8084-a692-4c1c-aabc0cb60db6}" ma:sspId="b8135cd8-dd77-44d6-bdcc-adbf336672a2" ma:termSetId="f1bb8585-b79d-427a-822a-3c18649c7534" ma:anchorId="00000000-0000-0000-0000-000000000000" ma:open="true" ma:isKeyword="false">
      <xsd:complexType>
        <xsd:sequence>
          <xsd:element ref="pc:Terms" minOccurs="0" maxOccurs="1"/>
        </xsd:sequence>
      </xsd:complexType>
    </xsd:element>
    <xsd:element name="m2811a07b6c6fd47188d63596ada41d4" ma:index="33" nillable="true" ma:taxonomy="true" ma:internalName="m2811a07b6c6fd47188d63596ada41d4" ma:taxonomyFieldName="DNB_Afdeling" ma:displayName="Department" ma:default="1;#Conjunctuur ＆ Macroanalyse|790d26fd-5c94-4eea-9f44-bf527e18cc74" ma:fieldId="{62811a07-b6c6-fd47-188d-63596ada41d4}" ma:sspId="b8135cd8-dd77-44d6-bdcc-adbf336672a2" ma:termSetId="f1bb8585-b79d-427a-822a-3c18649c7534" ma:anchorId="00000000-0000-0000-0000-000000000000" ma:open="true" ma:isKeyword="false">
      <xsd:complexType>
        <xsd:sequence>
          <xsd:element ref="pc:Terms" minOccurs="0" maxOccurs="1"/>
        </xsd:sequence>
      </xsd:complexType>
    </xsd:element>
    <xsd:element name="k87fa04bff4d9972ce4710608e39267c" ma:index="34" nillable="true" ma:taxonomy="true" ma:internalName="k87fa04bff4d9972ce4710608e39267c" ma:taxonomyFieldName="DNB_ProjectLabel" ma:displayName="DNB Label" ma:readOnly="false" ma:fieldId="{487fa04b-ff4d-9972-ce47-10608e39267c}" ma:taxonomyMulti="true" ma:sspId="b8135cd8-dd77-44d6-bdcc-adbf336672a2" ma:termSetId="4e9423d1-34f4-40fe-9ef1-6e83ad29c3f3" ma:anchorId="00000000-0000-0000-0000-000000000000" ma:open="false" ma:isKeyword="false">
      <xsd:complexType>
        <xsd:sequence>
          <xsd:element ref="pc:Terms" minOccurs="0" maxOccurs="1"/>
        </xsd:sequence>
      </xsd:complexType>
    </xsd:element>
    <xsd:element name="g5714a5784384524ac6d24494e7b5109" ma:index="35" nillable="true" ma:taxonomy="true" ma:internalName="g5714a5784384524ac6d24494e7b5109" ma:taxonomyFieldName="Arbeid_x0020_Label" ma:displayName="Arbeid Label" ma:indexed="true" ma:default="29;#Arbeid|1baf248a-cb1a-4222-b7d2-315590903e8e" ma:fieldId="{05714a57-8438-4524-ac6d-24494e7b5109}" ma:sspId="b8135cd8-dd77-44d6-bdcc-adbf336672a2" ma:termSetId="baebb78b-c227-4eb3-9671-f34fa4180b1a" ma:anchorId="00000000-0000-0000-0000-000000000000" ma:open="true" ma:isKeyword="false">
      <xsd:complexType>
        <xsd:sequence>
          <xsd:element ref="pc:Terms" minOccurs="0" maxOccurs="1"/>
        </xsd:sequence>
      </xsd:complexType>
    </xsd:element>
    <xsd:element name="SharedWithUsers" ma:index="4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dnb.nl/sharepoint" elementFormDefault="qualified">
    <xsd:import namespace="http://schemas.microsoft.com/office/2006/documentManagement/types"/>
    <xsd:import namespace="http://schemas.microsoft.com/office/infopath/2007/PartnerControls"/>
    <xsd:element name="_dlc_DocId" ma:index="24" nillable="true" ma:displayName="Document ID Value" ma:description="The value of the document ID assigned to this item." ma:indexed="true" ma:internalName="_dlc_DocId" ma:readOnly="true">
      <xsd:simpleType>
        <xsd:restriction base="dms:Text"/>
      </xsd:simpleType>
    </xsd:element>
    <xsd:element name="_dlc_DocIdUrl" ma:index="2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604ecfd-9721-4e1c-a427-472c08bc6a49" elementFormDefault="qualified">
    <xsd:import namespace="http://schemas.microsoft.com/office/2006/documentManagement/types"/>
    <xsd:import namespace="http://schemas.microsoft.com/office/infopath/2007/PartnerControls"/>
    <xsd:element name="MediaServiceMetadata" ma:index="37" nillable="true" ma:displayName="MediaServiceMetadata" ma:hidden="true" ma:internalName="MediaServiceMetadata" ma:readOnly="true">
      <xsd:simpleType>
        <xsd:restriction base="dms:Note"/>
      </xsd:simpleType>
    </xsd:element>
    <xsd:element name="MediaServiceFastMetadata" ma:index="38" nillable="true" ma:displayName="MediaServiceFastMetadata" ma:hidden="true" ma:internalName="MediaServiceFastMetadata" ma:readOnly="true">
      <xsd:simpleType>
        <xsd:restriction base="dms:Note"/>
      </xsd:simple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element name="MediaServiceDateTaken" ma:index="43" nillable="true" ma:displayName="MediaServiceDateTaken" ma:hidden="true" ma:indexed="true" ma:internalName="MediaServiceDateTaken" ma:readOnly="true">
      <xsd:simpleType>
        <xsd:restriction base="dms:Text"/>
      </xsd:simpleType>
    </xsd:element>
    <xsd:element name="lcf76f155ced4ddcb4097134ff3c332f" ma:index="45" nillable="true" ma:taxonomy="true" ma:internalName="lcf76f155ced4ddcb4097134ff3c332f" ma:taxonomyFieldName="MediaServiceImageTags" ma:displayName="Image Tags" ma:readOnly="false" ma:fieldId="{5cf76f15-5ced-4ddc-b409-7134ff3c332f}" ma:taxonomyMulti="true" ma:sspId="b8135cd8-dd77-44d6-bdcc-adbf336672a2" ma:termSetId="09814cd3-568e-fe90-9814-8d621ff8fb84" ma:anchorId="fba54fb3-c3e1-fe81-a776-ca4b69148c4d" ma:open="true" ma:isKeyword="false">
      <xsd:complexType>
        <xsd:sequence>
          <xsd:element ref="pc:Terms" minOccurs="0" maxOccurs="1"/>
        </xsd:sequence>
      </xsd:complexType>
    </xsd:element>
    <xsd:element name="MediaServiceOCR" ma:index="46" nillable="true" ma:displayName="Extracted Text" ma:internalName="MediaServiceOCR" ma:readOnly="true">
      <xsd:simpleType>
        <xsd:restriction base="dms:Note">
          <xsd:maxLength value="255"/>
        </xsd:restriction>
      </xsd:simpleType>
    </xsd:element>
    <xsd:element name="MediaServiceGenerationTime" ma:index="47" nillable="true" ma:displayName="MediaServiceGenerationTime" ma:hidden="true" ma:internalName="MediaServiceGenerationTime" ma:readOnly="true">
      <xsd:simpleType>
        <xsd:restriction base="dms:Text"/>
      </xsd:simpleType>
    </xsd:element>
    <xsd:element name="MediaServiceEventHashCode" ma:index="4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7"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E08362-8B3E-4279-A94C-47091E88F468}">
  <ds:schemaRefs>
    <ds:schemaRef ds:uri="http://schemas.microsoft.com/sharepoint/events"/>
  </ds:schemaRefs>
</ds:datastoreItem>
</file>

<file path=customXml/itemProps2.xml><?xml version="1.0" encoding="utf-8"?>
<ds:datastoreItem xmlns:ds="http://schemas.openxmlformats.org/officeDocument/2006/customXml" ds:itemID="{7DA31B2D-7EB3-4AEB-BEBD-D7D75C08DB72}">
  <ds:schemaRefs>
    <ds:schemaRef ds:uri="http://schemas.microsoft.com/sharepoint/v3/contenttype/forms"/>
  </ds:schemaRefs>
</ds:datastoreItem>
</file>

<file path=customXml/itemProps3.xml><?xml version="1.0" encoding="utf-8"?>
<ds:datastoreItem xmlns:ds="http://schemas.openxmlformats.org/officeDocument/2006/customXml" ds:itemID="{46E56178-A09E-4724-8840-5C719A4A3FCD}">
  <ds:schemaRefs/>
</ds:datastoreItem>
</file>

<file path=customXml/itemProps4.xml><?xml version="1.0" encoding="utf-8"?>
<ds:datastoreItem xmlns:ds="http://schemas.openxmlformats.org/officeDocument/2006/customXml" ds:itemID="{58FDB258-840B-4189-80A1-0F857939EFFB}">
  <ds:schemaRefs/>
</ds:datastoreItem>
</file>

<file path=customXml/itemProps5.xml><?xml version="1.0" encoding="utf-8"?>
<ds:datastoreItem xmlns:ds="http://schemas.openxmlformats.org/officeDocument/2006/customXml" ds:itemID="{6AA0E5B8-D55D-4026-A2C8-1C7625D2AD31}">
  <ds:schemaRefs>
    <ds:schemaRef ds:uri="http://schemas.microsoft.com/office/2006/metadata/properties"/>
    <ds:schemaRef ds:uri="http://schemas.microsoft.com/office/infopath/2007/PartnerControls"/>
    <ds:schemaRef ds:uri="74810f75-3a22-461c-9426-e894accc3268"/>
    <ds:schemaRef ds:uri="http://schemas.dnb.nl/sharepoint"/>
  </ds:schemaRefs>
</ds:datastoreItem>
</file>

<file path=customXml/itemProps6.xml><?xml version="1.0" encoding="utf-8"?>
<ds:datastoreItem xmlns:ds="http://schemas.openxmlformats.org/officeDocument/2006/customXml" ds:itemID="{59102505-6F6D-4064-9CF1-F0795F888D2A}"/>
</file>

<file path=docMetadata/LabelInfo.xml><?xml version="1.0" encoding="utf-8"?>
<clbl:labelList xmlns:clbl="http://schemas.microsoft.com/office/2020/mipLabelMetadata">
  <clbl:label id="{1caec839-348b-408e-853f-b3b328d45156}" enabled="1" method="Privileged" siteId="{9ecbd628-0072-405d-8567-32c6750b0d3e}"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Figuur_2</vt:lpstr>
      <vt:lpstr>Figuur_4a</vt:lpstr>
      <vt:lpstr>Figuur_4b</vt:lpstr>
      <vt:lpstr>Figuur_4c</vt:lpstr>
      <vt:lpstr>Figuur_4d</vt:lpstr>
      <vt:lpstr>Figuur_4e</vt:lpstr>
      <vt:lpstr>Figuur_4f</vt:lpstr>
      <vt:lpstr>Figuur_5</vt:lpstr>
      <vt:lpstr>Figuur_7</vt:lpstr>
      <vt:lpstr>Figuur_Box</vt:lpstr>
      <vt:lpstr>Tabel_1</vt:lpstr>
      <vt:lpstr>Tabel_2</vt:lpstr>
      <vt:lpstr>T_B.1.1</vt:lpstr>
      <vt:lpstr>F_B.2.1</vt:lpstr>
      <vt:lpstr>F_B.2.2</vt:lpstr>
      <vt:lpstr>T_B.3.1</vt:lpstr>
      <vt:lpstr>T_B.3.2</vt:lpstr>
      <vt:lpstr>F_C.1.1</vt:lpstr>
      <vt:lpstr>F_C.1.2</vt:lpstr>
      <vt:lpstr>T_C.1.2</vt:lpstr>
      <vt:lpstr>T_C.1.3</vt:lpstr>
      <vt:lpstr>T_C.2.allen</vt:lpstr>
      <vt:lpstr>T_C.3.1</vt:lpstr>
      <vt:lpstr>T_C.3.2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2025-04-07T16:19:18Z</dcterms:created>
  <dcterms:modified xsi:type="dcterms:W3CDTF">2026-05-27T11:25:44Z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dnb</vt:lpwstr>
  </property>
  <property fmtid="{D5CDD505-2E9C-101B-9397-08002B2CF9AE}" pid="3" name="TemplafyTemplateId">
    <vt:lpwstr>970965601742225776</vt:lpwstr>
  </property>
  <property fmtid="{D5CDD505-2E9C-101B-9397-08002B2CF9AE}" pid="4" name="TemplafyUserProfileId">
    <vt:lpwstr>637883899258169781</vt:lpwstr>
  </property>
  <property fmtid="{D5CDD505-2E9C-101B-9397-08002B2CF9AE}" pid="5" name="TemplafyFromBlank">
    <vt:bool>true</vt:bool>
  </property>
  <property fmtid="{D5CDD505-2E9C-101B-9397-08002B2CF9AE}" pid="6" name="Arbeid Label">
    <vt:lpwstr>29;#Arbeid|1baf248a-cb1a-4222-b7d2-315590903e8e</vt:lpwstr>
  </property>
  <property fmtid="{D5CDD505-2E9C-101B-9397-08002B2CF9AE}" pid="7" name="ContentTypeId">
    <vt:lpwstr>0x0101001A9AF98CE4D646E7BAD5E0A615FBC4570033574BA5F6F8485F80DD011BE7D1CFF90088D68B749DE8BB45A0EC15006367EA4A</vt:lpwstr>
  </property>
  <property fmtid="{D5CDD505-2E9C-101B-9397-08002B2CF9AE}" pid="8" name="DNB_Afdeling">
    <vt:lpwstr>1;#Conjunctuur ＆ Macroanalyse|790d26fd-5c94-4eea-9f44-bf527e18cc74</vt:lpwstr>
  </property>
  <property fmtid="{D5CDD505-2E9C-101B-9397-08002B2CF9AE}" pid="9" name="DNB_ProjectLabel">
    <vt:lpwstr>6;#Projecten|6b72ff99-9c37-4a58-86d6-c50d28db3af0</vt:lpwstr>
  </property>
  <property fmtid="{D5CDD505-2E9C-101B-9397-08002B2CF9AE}" pid="10" name="DNB_Divisie">
    <vt:lpwstr>2;#Economisch Beleid ＆ Onderzoek|0ec73827-a545-47a2-8bd2-5627e8ce3897</vt:lpwstr>
  </property>
  <property fmtid="{D5CDD505-2E9C-101B-9397-08002B2CF9AE}" pid="11" name="Arbeid_x0020_Label">
    <vt:lpwstr>29;#Arbeid|1baf248a-cb1a-4222-b7d2-315590903e8e</vt:lpwstr>
  </property>
  <property fmtid="{D5CDD505-2E9C-101B-9397-08002B2CF9AE}" pid="12" name="_dlc_DocIdItemGuid">
    <vt:lpwstr>ae942499-ee11-473a-9423-8883dbf6dfea</vt:lpwstr>
  </property>
  <property fmtid="{D5CDD505-2E9C-101B-9397-08002B2CF9AE}" pid="13" name="MediaServiceImageTags">
    <vt:lpwstr/>
  </property>
</Properties>
</file>